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aizaan-nasir/Documents/GitHub/PowerNext AI/"/>
    </mc:Choice>
  </mc:AlternateContent>
  <xr:revisionPtr revIDLastSave="0" documentId="8_{E290E202-3450-304E-B090-9C9465C8C4EE}" xr6:coauthVersionLast="47" xr6:coauthVersionMax="47" xr10:uidLastSave="{00000000-0000-0000-0000-000000000000}"/>
  <bookViews>
    <workbookView xWindow="0" yWindow="660" windowWidth="29400" windowHeight="16560" xr2:uid="{00000000-000D-0000-FFFF-FFFF00000000}"/>
  </bookViews>
  <sheets>
    <sheet name="Hybrid Calculator" sheetId="1" r:id="rId1"/>
    <sheet name="Resistor Inventory" sheetId="2" r:id="rId2"/>
    <sheet name="Synthetic Dataset" sheetId="3" r:id="rId3"/>
    <sheet name="ML Helper" sheetId="4" r:id="rId4"/>
    <sheet name="Model Validation" sheetId="5" r:id="rId5"/>
    <sheet name="Model C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15" i="1" s="1"/>
  <c r="E16" i="1" s="1"/>
  <c r="E17" i="1" s="1"/>
  <c r="B21" i="1"/>
  <c r="E20" i="1"/>
  <c r="B19" i="1"/>
  <c r="H12" i="1"/>
  <c r="E11" i="1"/>
  <c r="E10" i="1"/>
  <c r="E8" i="1"/>
  <c r="E9" i="1" s="1"/>
  <c r="E7" i="1"/>
  <c r="E5" i="1"/>
  <c r="E12" i="1" s="1"/>
  <c r="E13" i="1" s="1"/>
  <c r="E14" i="1" s="1"/>
  <c r="J1401" i="4" l="1"/>
  <c r="J1399" i="4"/>
  <c r="J1397" i="4"/>
  <c r="J1400" i="4"/>
  <c r="J1323" i="4"/>
  <c r="J1318" i="4"/>
  <c r="J1308" i="4"/>
  <c r="J1298" i="4"/>
  <c r="J1288" i="4"/>
  <c r="J1278" i="4"/>
  <c r="J1271" i="4"/>
  <c r="J1260" i="4"/>
  <c r="J1251" i="4"/>
  <c r="J1240" i="4"/>
  <c r="J1339" i="4"/>
  <c r="J1336" i="4"/>
  <c r="J1329" i="4"/>
  <c r="J1326" i="4"/>
  <c r="J1315" i="4"/>
  <c r="J1305" i="4"/>
  <c r="J1295" i="4"/>
  <c r="J1285" i="4"/>
  <c r="J1273" i="4"/>
  <c r="J1262" i="4"/>
  <c r="J1253" i="4"/>
  <c r="J1242" i="4"/>
  <c r="J1233" i="4"/>
  <c r="J1231" i="4"/>
  <c r="J1229" i="4"/>
  <c r="J1227" i="4"/>
  <c r="J1225" i="4"/>
  <c r="J1223" i="4"/>
  <c r="J1221" i="4"/>
  <c r="J1219" i="4"/>
  <c r="J1217" i="4"/>
  <c r="J1215" i="4"/>
  <c r="J1213" i="4"/>
  <c r="J1211" i="4"/>
  <c r="J1394" i="4"/>
  <c r="J1390" i="4"/>
  <c r="J1386" i="4"/>
  <c r="J1382" i="4"/>
  <c r="J1378" i="4"/>
  <c r="J1374" i="4"/>
  <c r="J1370" i="4"/>
  <c r="J1366" i="4"/>
  <c r="J1362" i="4"/>
  <c r="J1358" i="4"/>
  <c r="J1354" i="4"/>
  <c r="J1350" i="4"/>
  <c r="J1346" i="4"/>
  <c r="J1320" i="4"/>
  <c r="J1310" i="4"/>
  <c r="J1300" i="4"/>
  <c r="J1290" i="4"/>
  <c r="J1280" i="4"/>
  <c r="J1275" i="4"/>
  <c r="J1264" i="4"/>
  <c r="J1255" i="4"/>
  <c r="J1244" i="4"/>
  <c r="J1235" i="4"/>
  <c r="J1398" i="4"/>
  <c r="J1393" i="4"/>
  <c r="J1395" i="4"/>
  <c r="J1391" i="4"/>
  <c r="J1387" i="4"/>
  <c r="J1383" i="4"/>
  <c r="J1379" i="4"/>
  <c r="J1375" i="4"/>
  <c r="J1371" i="4"/>
  <c r="J1396" i="4"/>
  <c r="J1372" i="4"/>
  <c r="J1365" i="4"/>
  <c r="J1360" i="4"/>
  <c r="J1343" i="4"/>
  <c r="J1338" i="4"/>
  <c r="J1313" i="4"/>
  <c r="J1309" i="4"/>
  <c r="J1306" i="4"/>
  <c r="J1302" i="4"/>
  <c r="J1274" i="4"/>
  <c r="J1261" i="4"/>
  <c r="J1236" i="4"/>
  <c r="J1224" i="4"/>
  <c r="J1173" i="4"/>
  <c r="J1162" i="4"/>
  <c r="J1153" i="4"/>
  <c r="J1142" i="4"/>
  <c r="J1133" i="4"/>
  <c r="J1122" i="4"/>
  <c r="J1120" i="4"/>
  <c r="J1118" i="4"/>
  <c r="J1377" i="4"/>
  <c r="J1353" i="4"/>
  <c r="J1348" i="4"/>
  <c r="J1342" i="4"/>
  <c r="J1333" i="4"/>
  <c r="J1328" i="4"/>
  <c r="J1324" i="4"/>
  <c r="J1291" i="4"/>
  <c r="J1287" i="4"/>
  <c r="J1284" i="4"/>
  <c r="J1258" i="4"/>
  <c r="J1248" i="4"/>
  <c r="J1245" i="4"/>
  <c r="J1218" i="4"/>
  <c r="J1207" i="4"/>
  <c r="J1202" i="4"/>
  <c r="J1197" i="4"/>
  <c r="J1192" i="4"/>
  <c r="J1187" i="4"/>
  <c r="J1182" i="4"/>
  <c r="J1175" i="4"/>
  <c r="J1164" i="4"/>
  <c r="J1155" i="4"/>
  <c r="J1144" i="4"/>
  <c r="J1135" i="4"/>
  <c r="J1124" i="4"/>
  <c r="J1384" i="4"/>
  <c r="J1359" i="4"/>
  <c r="J1337" i="4"/>
  <c r="J1332" i="4"/>
  <c r="J1319" i="4"/>
  <c r="J1316" i="4"/>
  <c r="J1312" i="4"/>
  <c r="J1270" i="4"/>
  <c r="J1267" i="4"/>
  <c r="J1257" i="4"/>
  <c r="J1232" i="4"/>
  <c r="J1212" i="4"/>
  <c r="J1177" i="4"/>
  <c r="J1166" i="4"/>
  <c r="J1157" i="4"/>
  <c r="J1146" i="4"/>
  <c r="J1137" i="4"/>
  <c r="J1126" i="4"/>
  <c r="J1392" i="4"/>
  <c r="J1389" i="4"/>
  <c r="J1368" i="4"/>
  <c r="J1344" i="4"/>
  <c r="J1307" i="4"/>
  <c r="J1303" i="4"/>
  <c r="J1282" i="4"/>
  <c r="J1277" i="4"/>
  <c r="J1268" i="4"/>
  <c r="J1263" i="4"/>
  <c r="J1254" i="4"/>
  <c r="J1190" i="4"/>
  <c r="J1186" i="4"/>
  <c r="J1176" i="4"/>
  <c r="J1163" i="4"/>
  <c r="J1138" i="4"/>
  <c r="J1128" i="4"/>
  <c r="J1125" i="4"/>
  <c r="J1117" i="4"/>
  <c r="J1376" i="4"/>
  <c r="J1351" i="4"/>
  <c r="J1335" i="4"/>
  <c r="J1330" i="4"/>
  <c r="J1317" i="4"/>
  <c r="J1292" i="4"/>
  <c r="J1272" i="4"/>
  <c r="J1193" i="4"/>
  <c r="J1189" i="4"/>
  <c r="J1160" i="4"/>
  <c r="J1150" i="4"/>
  <c r="J1147" i="4"/>
  <c r="J1388" i="4"/>
  <c r="J1367" i="4"/>
  <c r="J1357" i="4"/>
  <c r="J1341" i="4"/>
  <c r="J1322" i="4"/>
  <c r="J1301" i="4"/>
  <c r="J1276" i="4"/>
  <c r="J1200" i="4"/>
  <c r="J1196" i="4"/>
  <c r="J1172" i="4"/>
  <c r="J1169" i="4"/>
  <c r="J1159" i="4"/>
  <c r="J1134" i="4"/>
  <c r="J1131" i="4"/>
  <c r="J1119" i="4"/>
  <c r="J1110" i="4"/>
  <c r="J1108" i="4"/>
  <c r="J1106" i="4"/>
  <c r="J1104" i="4"/>
  <c r="J1102" i="4"/>
  <c r="J1100" i="4"/>
  <c r="J1098" i="4"/>
  <c r="J1096" i="4"/>
  <c r="J1094" i="4"/>
  <c r="J1092" i="4"/>
  <c r="J1090" i="4"/>
  <c r="J1088" i="4"/>
  <c r="J1086" i="4"/>
  <c r="J1084" i="4"/>
  <c r="J1082" i="4"/>
  <c r="J1080" i="4"/>
  <c r="J1078" i="4"/>
  <c r="J1076" i="4"/>
  <c r="J1074" i="4"/>
  <c r="J1072" i="4"/>
  <c r="J1070" i="4"/>
  <c r="J1068" i="4"/>
  <c r="J1066" i="4"/>
  <c r="J1064" i="4"/>
  <c r="J1062" i="4"/>
  <c r="J1060" i="4"/>
  <c r="J1058" i="4"/>
  <c r="J1056" i="4"/>
  <c r="J1054" i="4"/>
  <c r="J1052" i="4"/>
  <c r="J1050" i="4"/>
  <c r="J1048" i="4"/>
  <c r="J1046" i="4"/>
  <c r="J1044" i="4"/>
  <c r="J1349" i="4"/>
  <c r="J1327" i="4"/>
  <c r="J1311" i="4"/>
  <c r="J1286" i="4"/>
  <c r="J1385" i="4"/>
  <c r="J1373" i="4"/>
  <c r="J1364" i="4"/>
  <c r="J1321" i="4"/>
  <c r="J1296" i="4"/>
  <c r="J1381" i="4"/>
  <c r="J1356" i="4"/>
  <c r="J1347" i="4"/>
  <c r="J1334" i="4"/>
  <c r="J1363" i="4"/>
  <c r="J1340" i="4"/>
  <c r="J1325" i="4"/>
  <c r="J1369" i="4"/>
  <c r="J1355" i="4"/>
  <c r="J1345" i="4"/>
  <c r="J1331" i="4"/>
  <c r="J1380" i="4"/>
  <c r="J1361" i="4"/>
  <c r="J1314" i="4"/>
  <c r="J1283" i="4"/>
  <c r="J1269" i="4"/>
  <c r="J1246" i="4"/>
  <c r="J1241" i="4"/>
  <c r="J1220" i="4"/>
  <c r="J1205" i="4"/>
  <c r="J1201" i="4"/>
  <c r="J1180" i="4"/>
  <c r="J1170" i="4"/>
  <c r="J1266" i="4"/>
  <c r="J1237" i="4"/>
  <c r="J1230" i="4"/>
  <c r="J1209" i="4"/>
  <c r="J1203" i="4"/>
  <c r="J1198" i="4"/>
  <c r="J1093" i="4"/>
  <c r="J1073" i="4"/>
  <c r="J1053" i="4"/>
  <c r="J1034" i="4"/>
  <c r="J1024" i="4"/>
  <c r="J1014" i="4"/>
  <c r="J1004" i="4"/>
  <c r="J994" i="4"/>
  <c r="J984" i="4"/>
  <c r="J974" i="4"/>
  <c r="J964" i="4"/>
  <c r="J954" i="4"/>
  <c r="J944" i="4"/>
  <c r="J934" i="4"/>
  <c r="J924" i="4"/>
  <c r="J914" i="4"/>
  <c r="J904" i="4"/>
  <c r="J1294" i="4"/>
  <c r="J1259" i="4"/>
  <c r="J1252" i="4"/>
  <c r="J1222" i="4"/>
  <c r="J1216" i="4"/>
  <c r="J1191" i="4"/>
  <c r="J1185" i="4"/>
  <c r="J1179" i="4"/>
  <c r="J1174" i="4"/>
  <c r="J1168" i="4"/>
  <c r="J1151" i="4"/>
  <c r="J1123" i="4"/>
  <c r="J1116" i="4"/>
  <c r="J1113" i="4"/>
  <c r="J1107" i="4"/>
  <c r="J1087" i="4"/>
  <c r="J1067" i="4"/>
  <c r="J1047" i="4"/>
  <c r="J1039" i="4"/>
  <c r="J1029" i="4"/>
  <c r="J1019" i="4"/>
  <c r="J1009" i="4"/>
  <c r="J999" i="4"/>
  <c r="J989" i="4"/>
  <c r="J979" i="4"/>
  <c r="J969" i="4"/>
  <c r="J959" i="4"/>
  <c r="J949" i="4"/>
  <c r="J939" i="4"/>
  <c r="J929" i="4"/>
  <c r="J919" i="4"/>
  <c r="J909" i="4"/>
  <c r="J1281" i="4"/>
  <c r="J1243" i="4"/>
  <c r="J1214" i="4"/>
  <c r="J1184" i="4"/>
  <c r="J1141" i="4"/>
  <c r="J1132" i="4"/>
  <c r="J1127" i="4"/>
  <c r="J1101" i="4"/>
  <c r="J1081" i="4"/>
  <c r="J1061" i="4"/>
  <c r="J1036" i="4"/>
  <c r="J1026" i="4"/>
  <c r="J1016" i="4"/>
  <c r="J1006" i="4"/>
  <c r="J996" i="4"/>
  <c r="J986" i="4"/>
  <c r="J976" i="4"/>
  <c r="J966" i="4"/>
  <c r="J956" i="4"/>
  <c r="J946" i="4"/>
  <c r="J936" i="4"/>
  <c r="J926" i="4"/>
  <c r="J916" i="4"/>
  <c r="J906" i="4"/>
  <c r="J899" i="4"/>
  <c r="J897" i="4"/>
  <c r="J895" i="4"/>
  <c r="J893" i="4"/>
  <c r="J891" i="4"/>
  <c r="J889" i="4"/>
  <c r="J887" i="4"/>
  <c r="J885" i="4"/>
  <c r="J883" i="4"/>
  <c r="J881" i="4"/>
  <c r="J879" i="4"/>
  <c r="J877" i="4"/>
  <c r="J875" i="4"/>
  <c r="J873" i="4"/>
  <c r="J871" i="4"/>
  <c r="J869" i="4"/>
  <c r="J867" i="4"/>
  <c r="J865" i="4"/>
  <c r="J863" i="4"/>
  <c r="J861" i="4"/>
  <c r="J859" i="4"/>
  <c r="J857" i="4"/>
  <c r="J855" i="4"/>
  <c r="J853" i="4"/>
  <c r="J1352" i="4"/>
  <c r="J1293" i="4"/>
  <c r="J1250" i="4"/>
  <c r="J1228" i="4"/>
  <c r="J1208" i="4"/>
  <c r="J1178" i="4"/>
  <c r="J1145" i="4"/>
  <c r="J1279" i="4"/>
  <c r="J1265" i="4"/>
  <c r="J1249" i="4"/>
  <c r="J1234" i="4"/>
  <c r="J1226" i="4"/>
  <c r="J1154" i="4"/>
  <c r="J1149" i="4"/>
  <c r="J1304" i="4"/>
  <c r="J1289" i="4"/>
  <c r="J1206" i="4"/>
  <c r="J1195" i="4"/>
  <c r="J1183" i="4"/>
  <c r="J1167" i="4"/>
  <c r="J1158" i="4"/>
  <c r="J1256" i="4"/>
  <c r="J1199" i="4"/>
  <c r="J1194" i="4"/>
  <c r="J1188" i="4"/>
  <c r="J1148" i="4"/>
  <c r="J1247" i="4"/>
  <c r="J1239" i="4"/>
  <c r="J1181" i="4"/>
  <c r="J1171" i="4"/>
  <c r="J1161" i="4"/>
  <c r="J1299" i="4"/>
  <c r="J1165" i="4"/>
  <c r="J1156" i="4"/>
  <c r="J1105" i="4"/>
  <c r="J1085" i="4"/>
  <c r="J1065" i="4"/>
  <c r="J1045" i="4"/>
  <c r="J1042" i="4"/>
  <c r="J1032" i="4"/>
  <c r="J1022" i="4"/>
  <c r="J1012" i="4"/>
  <c r="J1002" i="4"/>
  <c r="J992" i="4"/>
  <c r="J982" i="4"/>
  <c r="J1143" i="4"/>
  <c r="J1129" i="4"/>
  <c r="J1121" i="4"/>
  <c r="J1077" i="4"/>
  <c r="J1027" i="4"/>
  <c r="J1018" i="4"/>
  <c r="J1010" i="4"/>
  <c r="J977" i="4"/>
  <c r="J962" i="4"/>
  <c r="J958" i="4"/>
  <c r="J955" i="4"/>
  <c r="J951" i="4"/>
  <c r="J912" i="4"/>
  <c r="J908" i="4"/>
  <c r="J905" i="4"/>
  <c r="J901" i="4"/>
  <c r="J884" i="4"/>
  <c r="J864" i="4"/>
  <c r="J850" i="4"/>
  <c r="J836" i="4"/>
  <c r="J834" i="4"/>
  <c r="J832" i="4"/>
  <c r="J830" i="4"/>
  <c r="J828" i="4"/>
  <c r="J826" i="4"/>
  <c r="J824" i="4"/>
  <c r="J822" i="4"/>
  <c r="J820" i="4"/>
  <c r="J818" i="4"/>
  <c r="J816" i="4"/>
  <c r="J814" i="4"/>
  <c r="J812" i="4"/>
  <c r="J810" i="4"/>
  <c r="J808" i="4"/>
  <c r="J806" i="4"/>
  <c r="J804" i="4"/>
  <c r="J802" i="4"/>
  <c r="J800" i="4"/>
  <c r="J798" i="4"/>
  <c r="J796" i="4"/>
  <c r="J794" i="4"/>
  <c r="J792" i="4"/>
  <c r="J790" i="4"/>
  <c r="J788" i="4"/>
  <c r="J786" i="4"/>
  <c r="J784" i="4"/>
  <c r="J782" i="4"/>
  <c r="J780" i="4"/>
  <c r="J778" i="4"/>
  <c r="J776" i="4"/>
  <c r="J1297" i="4"/>
  <c r="J1115" i="4"/>
  <c r="J1095" i="4"/>
  <c r="J1091" i="4"/>
  <c r="J1043" i="4"/>
  <c r="J1035" i="4"/>
  <c r="J1001" i="4"/>
  <c r="J993" i="4"/>
  <c r="J985" i="4"/>
  <c r="J940" i="4"/>
  <c r="J937" i="4"/>
  <c r="J933" i="4"/>
  <c r="J898" i="4"/>
  <c r="J878" i="4"/>
  <c r="J858" i="4"/>
  <c r="J847" i="4"/>
  <c r="J838" i="4"/>
  <c r="J1210" i="4"/>
  <c r="J1109" i="4"/>
  <c r="J1057" i="4"/>
  <c r="J1038" i="4"/>
  <c r="J1030" i="4"/>
  <c r="J997" i="4"/>
  <c r="J988" i="4"/>
  <c r="J980" i="4"/>
  <c r="J972" i="4"/>
  <c r="J968" i="4"/>
  <c r="J965" i="4"/>
  <c r="J961" i="4"/>
  <c r="J922" i="4"/>
  <c r="J918" i="4"/>
  <c r="J915" i="4"/>
  <c r="J911" i="4"/>
  <c r="J892" i="4"/>
  <c r="J872" i="4"/>
  <c r="J852" i="4"/>
  <c r="J840" i="4"/>
  <c r="J1204" i="4"/>
  <c r="J1114" i="4"/>
  <c r="J1075" i="4"/>
  <c r="J1071" i="4"/>
  <c r="J1152" i="4"/>
  <c r="J1140" i="4"/>
  <c r="J1099" i="4"/>
  <c r="J1089" i="4"/>
  <c r="J1139" i="4"/>
  <c r="J1112" i="4"/>
  <c r="J1103" i="4"/>
  <c r="J1130" i="4"/>
  <c r="J1136" i="4"/>
  <c r="J1111" i="4"/>
  <c r="J1063" i="4"/>
  <c r="J1031" i="4"/>
  <c r="J1238" i="4"/>
  <c r="J1097" i="4"/>
  <c r="J1040" i="4"/>
  <c r="J1020" i="4"/>
  <c r="J1015" i="4"/>
  <c r="J978" i="4"/>
  <c r="J973" i="4"/>
  <c r="J947" i="4"/>
  <c r="J942" i="4"/>
  <c r="J921" i="4"/>
  <c r="J917" i="4"/>
  <c r="J860" i="4"/>
  <c r="J845" i="4"/>
  <c r="J821" i="4"/>
  <c r="J801" i="4"/>
  <c r="J781" i="4"/>
  <c r="J768" i="4"/>
  <c r="J758" i="4"/>
  <c r="J748" i="4"/>
  <c r="J738" i="4"/>
  <c r="J728" i="4"/>
  <c r="J718" i="4"/>
  <c r="J708" i="4"/>
  <c r="J698" i="4"/>
  <c r="J688" i="4"/>
  <c r="J678" i="4"/>
  <c r="J668" i="4"/>
  <c r="J1013" i="4"/>
  <c r="J990" i="4"/>
  <c r="J957" i="4"/>
  <c r="J952" i="4"/>
  <c r="J931" i="4"/>
  <c r="J927" i="4"/>
  <c r="J880" i="4"/>
  <c r="J868" i="4"/>
  <c r="J856" i="4"/>
  <c r="J835" i="4"/>
  <c r="J815" i="4"/>
  <c r="J795" i="4"/>
  <c r="J775" i="4"/>
  <c r="J765" i="4"/>
  <c r="J755" i="4"/>
  <c r="J745" i="4"/>
  <c r="J735" i="4"/>
  <c r="J725" i="4"/>
  <c r="J715" i="4"/>
  <c r="J705" i="4"/>
  <c r="J695" i="4"/>
  <c r="J685" i="4"/>
  <c r="J675" i="4"/>
  <c r="J665" i="4"/>
  <c r="J1025" i="4"/>
  <c r="J983" i="4"/>
  <c r="J971" i="4"/>
  <c r="J967" i="4"/>
  <c r="J941" i="4"/>
  <c r="J910" i="4"/>
  <c r="J900" i="4"/>
  <c r="J888" i="4"/>
  <c r="J876" i="4"/>
  <c r="J851" i="4"/>
  <c r="J848" i="4"/>
  <c r="J844" i="4"/>
  <c r="J841" i="4"/>
  <c r="J829" i="4"/>
  <c r="J809" i="4"/>
  <c r="J789" i="4"/>
  <c r="J770" i="4"/>
  <c r="J760" i="4"/>
  <c r="J750" i="4"/>
  <c r="J740" i="4"/>
  <c r="J730" i="4"/>
  <c r="J720" i="4"/>
  <c r="J710" i="4"/>
  <c r="J700" i="4"/>
  <c r="J690" i="4"/>
  <c r="J680" i="4"/>
  <c r="J670" i="4"/>
  <c r="J1069" i="4"/>
  <c r="J1007" i="4"/>
  <c r="J1000" i="4"/>
  <c r="J995" i="4"/>
  <c r="J950" i="4"/>
  <c r="J925" i="4"/>
  <c r="J920" i="4"/>
  <c r="J1037" i="4"/>
  <c r="J960" i="4"/>
  <c r="J935" i="4"/>
  <c r="J930" i="4"/>
  <c r="J1083" i="4"/>
  <c r="J1051" i="4"/>
  <c r="J1017" i="4"/>
  <c r="J1011" i="4"/>
  <c r="J1005" i="4"/>
  <c r="J970" i="4"/>
  <c r="J945" i="4"/>
  <c r="J1059" i="4"/>
  <c r="J1028" i="4"/>
  <c r="J1023" i="4"/>
  <c r="J987" i="4"/>
  <c r="J981" i="4"/>
  <c r="J975" i="4"/>
  <c r="J928" i="4"/>
  <c r="J1079" i="4"/>
  <c r="J1041" i="4"/>
  <c r="J1021" i="4"/>
  <c r="J998" i="4"/>
  <c r="J1049" i="4"/>
  <c r="J991" i="4"/>
  <c r="J1055" i="4"/>
  <c r="J1033" i="4"/>
  <c r="J1008" i="4"/>
  <c r="J1003" i="4"/>
  <c r="J963" i="4"/>
  <c r="J932" i="4"/>
  <c r="J907" i="4"/>
  <c r="J902" i="4"/>
  <c r="J953" i="4"/>
  <c r="J833" i="4"/>
  <c r="J772" i="4"/>
  <c r="J733" i="4"/>
  <c r="J729" i="4"/>
  <c r="J726" i="4"/>
  <c r="J722" i="4"/>
  <c r="J683" i="4"/>
  <c r="J679" i="4"/>
  <c r="J676" i="4"/>
  <c r="J672" i="4"/>
  <c r="J653" i="4"/>
  <c r="J644" i="4"/>
  <c r="J633" i="4"/>
  <c r="J624" i="4"/>
  <c r="J613" i="4"/>
  <c r="J604" i="4"/>
  <c r="J593" i="4"/>
  <c r="J584" i="4"/>
  <c r="J573" i="4"/>
  <c r="J564" i="4"/>
  <c r="J553" i="4"/>
  <c r="J550" i="4"/>
  <c r="J541" i="4"/>
  <c r="J532" i="4"/>
  <c r="J521" i="4"/>
  <c r="J512" i="4"/>
  <c r="J501" i="4"/>
  <c r="J948" i="4"/>
  <c r="J894" i="4"/>
  <c r="J874" i="4"/>
  <c r="J846" i="4"/>
  <c r="J783" i="4"/>
  <c r="J761" i="4"/>
  <c r="J757" i="4"/>
  <c r="J754" i="4"/>
  <c r="J711" i="4"/>
  <c r="J707" i="4"/>
  <c r="J704" i="4"/>
  <c r="J658" i="4"/>
  <c r="J647" i="4"/>
  <c r="J638" i="4"/>
  <c r="J627" i="4"/>
  <c r="J618" i="4"/>
  <c r="J607" i="4"/>
  <c r="J598" i="4"/>
  <c r="J587" i="4"/>
  <c r="J578" i="4"/>
  <c r="J567" i="4"/>
  <c r="J558" i="4"/>
  <c r="J543" i="4"/>
  <c r="J534" i="4"/>
  <c r="J523" i="4"/>
  <c r="J514" i="4"/>
  <c r="J503" i="4"/>
  <c r="J943" i="4"/>
  <c r="J923" i="4"/>
  <c r="J886" i="4"/>
  <c r="J862" i="4"/>
  <c r="J803" i="4"/>
  <c r="J791" i="4"/>
  <c r="J779" i="4"/>
  <c r="J743" i="4"/>
  <c r="J739" i="4"/>
  <c r="J736" i="4"/>
  <c r="J732" i="4"/>
  <c r="J693" i="4"/>
  <c r="J689" i="4"/>
  <c r="J686" i="4"/>
  <c r="J682" i="4"/>
  <c r="J661" i="4"/>
  <c r="J652" i="4"/>
  <c r="J641" i="4"/>
  <c r="J632" i="4"/>
  <c r="J621" i="4"/>
  <c r="J612" i="4"/>
  <c r="J601" i="4"/>
  <c r="J592" i="4"/>
  <c r="J581" i="4"/>
  <c r="J572" i="4"/>
  <c r="J561" i="4"/>
  <c r="J552" i="4"/>
  <c r="J545" i="4"/>
  <c r="J536" i="4"/>
  <c r="J525" i="4"/>
  <c r="J516" i="4"/>
  <c r="J505" i="4"/>
  <c r="J496" i="4"/>
  <c r="J494" i="4"/>
  <c r="J492" i="4"/>
  <c r="J882" i="4"/>
  <c r="J870" i="4"/>
  <c r="J842" i="4"/>
  <c r="J837" i="4"/>
  <c r="J825" i="4"/>
  <c r="J813" i="4"/>
  <c r="J751" i="4"/>
  <c r="J747" i="4"/>
  <c r="J744" i="4"/>
  <c r="J701" i="4"/>
  <c r="J697" i="4"/>
  <c r="J694" i="4"/>
  <c r="J659" i="4"/>
  <c r="J650" i="4"/>
  <c r="J639" i="4"/>
  <c r="J630" i="4"/>
  <c r="J619" i="4"/>
  <c r="J610" i="4"/>
  <c r="J599" i="4"/>
  <c r="J811" i="4"/>
  <c r="J785" i="4"/>
  <c r="J771" i="4"/>
  <c r="J724" i="4"/>
  <c r="J717" i="4"/>
  <c r="J664" i="4"/>
  <c r="J654" i="4"/>
  <c r="J635" i="4"/>
  <c r="J631" i="4"/>
  <c r="J606" i="4"/>
  <c r="J602" i="4"/>
  <c r="J588" i="4"/>
  <c r="J576" i="4"/>
  <c r="J548" i="4"/>
  <c r="J538" i="4"/>
  <c r="J513" i="4"/>
  <c r="J510" i="4"/>
  <c r="J500" i="4"/>
  <c r="J486" i="4"/>
  <c r="J938" i="4"/>
  <c r="J913" i="4"/>
  <c r="J839" i="4"/>
  <c r="J831" i="4"/>
  <c r="J805" i="4"/>
  <c r="J777" i="4"/>
  <c r="J766" i="4"/>
  <c r="J759" i="4"/>
  <c r="J753" i="4"/>
  <c r="J712" i="4"/>
  <c r="J706" i="4"/>
  <c r="J699" i="4"/>
  <c r="J649" i="4"/>
  <c r="J645" i="4"/>
  <c r="J620" i="4"/>
  <c r="J616" i="4"/>
  <c r="J597" i="4"/>
  <c r="J555" i="4"/>
  <c r="J535" i="4"/>
  <c r="J522" i="4"/>
  <c r="J497" i="4"/>
  <c r="J491" i="4"/>
  <c r="J481" i="4"/>
  <c r="J479" i="4"/>
  <c r="J477" i="4"/>
  <c r="J475" i="4"/>
  <c r="J473" i="4"/>
  <c r="J471" i="4"/>
  <c r="J469" i="4"/>
  <c r="J467" i="4"/>
  <c r="J465" i="4"/>
  <c r="J463" i="4"/>
  <c r="J461" i="4"/>
  <c r="J459" i="4"/>
  <c r="J457" i="4"/>
  <c r="J455" i="4"/>
  <c r="J453" i="4"/>
  <c r="J451" i="4"/>
  <c r="J449" i="4"/>
  <c r="J447" i="4"/>
  <c r="J445" i="4"/>
  <c r="J443" i="4"/>
  <c r="J441" i="4"/>
  <c r="J439" i="4"/>
  <c r="J437" i="4"/>
  <c r="J435" i="4"/>
  <c r="J433" i="4"/>
  <c r="J431" i="4"/>
  <c r="J429" i="4"/>
  <c r="J427" i="4"/>
  <c r="J425" i="4"/>
  <c r="J423" i="4"/>
  <c r="J421" i="4"/>
  <c r="J419" i="4"/>
  <c r="J417" i="4"/>
  <c r="J415" i="4"/>
  <c r="J413" i="4"/>
  <c r="J411" i="4"/>
  <c r="J409" i="4"/>
  <c r="J407" i="4"/>
  <c r="J405" i="4"/>
  <c r="J896" i="4"/>
  <c r="J854" i="4"/>
  <c r="J823" i="4"/>
  <c r="J797" i="4"/>
  <c r="J764" i="4"/>
  <c r="J741" i="4"/>
  <c r="J687" i="4"/>
  <c r="J681" i="4"/>
  <c r="J634" i="4"/>
  <c r="J615" i="4"/>
  <c r="J611" i="4"/>
  <c r="J575" i="4"/>
  <c r="J563" i="4"/>
  <c r="J551" i="4"/>
  <c r="J547" i="4"/>
  <c r="J544" i="4"/>
  <c r="J519" i="4"/>
  <c r="J509" i="4"/>
  <c r="J506" i="4"/>
  <c r="J488" i="4"/>
  <c r="J817" i="4"/>
  <c r="J752" i="4"/>
  <c r="J746" i="4"/>
  <c r="J723" i="4"/>
  <c r="J692" i="4"/>
  <c r="J890" i="4"/>
  <c r="J866" i="4"/>
  <c r="J819" i="4"/>
  <c r="J793" i="4"/>
  <c r="J773" i="4"/>
  <c r="J742" i="4"/>
  <c r="J719" i="4"/>
  <c r="J713" i="4"/>
  <c r="J666" i="4"/>
  <c r="J640" i="4"/>
  <c r="J636" i="4"/>
  <c r="J617" i="4"/>
  <c r="J585" i="4"/>
  <c r="J580" i="4"/>
  <c r="J568" i="4"/>
  <c r="J556" i="4"/>
  <c r="J539" i="4"/>
  <c r="J529" i="4"/>
  <c r="J526" i="4"/>
  <c r="J489" i="4"/>
  <c r="J734" i="4"/>
  <c r="J721" i="4"/>
  <c r="J566" i="4"/>
  <c r="J537" i="4"/>
  <c r="J531" i="4"/>
  <c r="J495" i="4"/>
  <c r="J402" i="4"/>
  <c r="J399" i="4"/>
  <c r="J382" i="4"/>
  <c r="J379" i="4"/>
  <c r="J362" i="4"/>
  <c r="J359" i="4"/>
  <c r="J342" i="4"/>
  <c r="J339" i="4"/>
  <c r="J322" i="4"/>
  <c r="J319" i="4"/>
  <c r="J769" i="4"/>
  <c r="J709" i="4"/>
  <c r="J677" i="4"/>
  <c r="J651" i="4"/>
  <c r="J642" i="4"/>
  <c r="J626" i="4"/>
  <c r="J603" i="4"/>
  <c r="J594" i="4"/>
  <c r="J586" i="4"/>
  <c r="J560" i="4"/>
  <c r="J542" i="4"/>
  <c r="J515" i="4"/>
  <c r="J478" i="4"/>
  <c r="J468" i="4"/>
  <c r="J458" i="4"/>
  <c r="J448" i="4"/>
  <c r="J438" i="4"/>
  <c r="J428" i="4"/>
  <c r="J418" i="4"/>
  <c r="J408" i="4"/>
  <c r="J396" i="4"/>
  <c r="J393" i="4"/>
  <c r="J376" i="4"/>
  <c r="J373" i="4"/>
  <c r="J356" i="4"/>
  <c r="J353" i="4"/>
  <c r="J336" i="4"/>
  <c r="J333" i="4"/>
  <c r="J316" i="4"/>
  <c r="J313" i="4"/>
  <c r="J305" i="4"/>
  <c r="J300" i="4"/>
  <c r="J295" i="4"/>
  <c r="J290" i="4"/>
  <c r="J767" i="4"/>
  <c r="J657" i="4"/>
  <c r="J648" i="4"/>
  <c r="J625" i="4"/>
  <c r="J609" i="4"/>
  <c r="J600" i="4"/>
  <c r="J559" i="4"/>
  <c r="J520" i="4"/>
  <c r="J499" i="4"/>
  <c r="J485" i="4"/>
  <c r="J390" i="4"/>
  <c r="J387" i="4"/>
  <c r="J370" i="4"/>
  <c r="J367" i="4"/>
  <c r="J350" i="4"/>
  <c r="J347" i="4"/>
  <c r="J330" i="4"/>
  <c r="J327" i="4"/>
  <c r="J310" i="4"/>
  <c r="J849" i="4"/>
  <c r="J807" i="4"/>
  <c r="J756" i="4"/>
  <c r="J696" i="4"/>
  <c r="J674" i="4"/>
  <c r="J579" i="4"/>
  <c r="J546" i="4"/>
  <c r="J540" i="4"/>
  <c r="J504" i="4"/>
  <c r="J498" i="4"/>
  <c r="J493" i="4"/>
  <c r="J474" i="4"/>
  <c r="J464" i="4"/>
  <c r="J454" i="4"/>
  <c r="J444" i="4"/>
  <c r="J731" i="4"/>
  <c r="J663" i="4"/>
  <c r="J656" i="4"/>
  <c r="J608" i="4"/>
  <c r="J571" i="4"/>
  <c r="J530" i="4"/>
  <c r="J524" i="4"/>
  <c r="J518" i="4"/>
  <c r="J398" i="4"/>
  <c r="J395" i="4"/>
  <c r="J378" i="4"/>
  <c r="J375" i="4"/>
  <c r="J827" i="4"/>
  <c r="J799" i="4"/>
  <c r="J737" i="4"/>
  <c r="J667" i="4"/>
  <c r="J643" i="4"/>
  <c r="J595" i="4"/>
  <c r="J589" i="4"/>
  <c r="J574" i="4"/>
  <c r="J517" i="4"/>
  <c r="J511" i="4"/>
  <c r="J490" i="4"/>
  <c r="J482" i="4"/>
  <c r="J472" i="4"/>
  <c r="J462" i="4"/>
  <c r="J452" i="4"/>
  <c r="J442" i="4"/>
  <c r="J432" i="4"/>
  <c r="J422" i="4"/>
  <c r="J412" i="4"/>
  <c r="J388" i="4"/>
  <c r="J385" i="4"/>
  <c r="J368" i="4"/>
  <c r="J365" i="4"/>
  <c r="J348" i="4"/>
  <c r="J345" i="4"/>
  <c r="J328" i="4"/>
  <c r="J325" i="4"/>
  <c r="J308" i="4"/>
  <c r="J303" i="4"/>
  <c r="J298" i="4"/>
  <c r="J293" i="4"/>
  <c r="J288" i="4"/>
  <c r="J787" i="4"/>
  <c r="J671" i="4"/>
  <c r="J646" i="4"/>
  <c r="J590" i="4"/>
  <c r="J470" i="4"/>
  <c r="J394" i="4"/>
  <c r="J371" i="4"/>
  <c r="J360" i="4"/>
  <c r="J321" i="4"/>
  <c r="J317" i="4"/>
  <c r="J312" i="4"/>
  <c r="J307" i="4"/>
  <c r="J299" i="4"/>
  <c r="J291" i="4"/>
  <c r="J283" i="4"/>
  <c r="J273" i="4"/>
  <c r="J263" i="4"/>
  <c r="J253" i="4"/>
  <c r="J243" i="4"/>
  <c r="J233" i="4"/>
  <c r="J223" i="4"/>
  <c r="J213" i="4"/>
  <c r="J203" i="4"/>
  <c r="J193" i="4"/>
  <c r="J183" i="4"/>
  <c r="J173" i="4"/>
  <c r="J163" i="4"/>
  <c r="J153" i="4"/>
  <c r="J143" i="4"/>
  <c r="J133" i="4"/>
  <c r="J123" i="4"/>
  <c r="J113" i="4"/>
  <c r="J103" i="4"/>
  <c r="J93" i="4"/>
  <c r="J83" i="4"/>
  <c r="J73" i="4"/>
  <c r="J63" i="4"/>
  <c r="J53" i="4"/>
  <c r="J43" i="4"/>
  <c r="J33" i="4"/>
  <c r="J23" i="4"/>
  <c r="J13" i="4"/>
  <c r="J3" i="4"/>
  <c r="B18" i="1"/>
  <c r="J9" i="4"/>
  <c r="J605" i="4"/>
  <c r="J569" i="4"/>
  <c r="J403" i="4"/>
  <c r="J363" i="4"/>
  <c r="J354" i="4"/>
  <c r="J311" i="4"/>
  <c r="J276" i="4"/>
  <c r="J266" i="4"/>
  <c r="J246" i="4"/>
  <c r="J226" i="4"/>
  <c r="J196" i="4"/>
  <c r="J186" i="4"/>
  <c r="J156" i="4"/>
  <c r="J136" i="4"/>
  <c r="J126" i="4"/>
  <c r="J86" i="4"/>
  <c r="J669" i="4"/>
  <c r="J628" i="4"/>
  <c r="J570" i="4"/>
  <c r="J554" i="4"/>
  <c r="J527" i="4"/>
  <c r="J424" i="4"/>
  <c r="J404" i="4"/>
  <c r="J381" i="4"/>
  <c r="J364" i="4"/>
  <c r="J335" i="4"/>
  <c r="J331" i="4"/>
  <c r="J326" i="4"/>
  <c r="J280" i="4"/>
  <c r="J270" i="4"/>
  <c r="J260" i="4"/>
  <c r="J250" i="4"/>
  <c r="J240" i="4"/>
  <c r="J230" i="4"/>
  <c r="J220" i="4"/>
  <c r="J210" i="4"/>
  <c r="J200" i="4"/>
  <c r="J190" i="4"/>
  <c r="J180" i="4"/>
  <c r="J170" i="4"/>
  <c r="J160" i="4"/>
  <c r="J150" i="4"/>
  <c r="J140" i="4"/>
  <c r="J130" i="4"/>
  <c r="J120" i="4"/>
  <c r="J110" i="4"/>
  <c r="J100" i="4"/>
  <c r="J90" i="4"/>
  <c r="J80" i="4"/>
  <c r="J70" i="4"/>
  <c r="J60" i="4"/>
  <c r="J50" i="4"/>
  <c r="J40" i="4"/>
  <c r="J30" i="4"/>
  <c r="J20" i="4"/>
  <c r="J10" i="4"/>
  <c r="J691" i="4"/>
  <c r="J623" i="4"/>
  <c r="J460" i="4"/>
  <c r="J446" i="4"/>
  <c r="J430" i="4"/>
  <c r="J410" i="4"/>
  <c r="J392" i="4"/>
  <c r="J369" i="4"/>
  <c r="J349" i="4"/>
  <c r="J344" i="4"/>
  <c r="J340" i="4"/>
  <c r="J302" i="4"/>
  <c r="J294" i="4"/>
  <c r="J279" i="4"/>
  <c r="J269" i="4"/>
  <c r="J259" i="4"/>
  <c r="J249" i="4"/>
  <c r="J239" i="4"/>
  <c r="J229" i="4"/>
  <c r="J219" i="4"/>
  <c r="J209" i="4"/>
  <c r="J199" i="4"/>
  <c r="J189" i="4"/>
  <c r="J179" i="4"/>
  <c r="J169" i="4"/>
  <c r="J159" i="4"/>
  <c r="J149" i="4"/>
  <c r="J139" i="4"/>
  <c r="J129" i="4"/>
  <c r="J119" i="4"/>
  <c r="J109" i="4"/>
  <c r="J99" i="4"/>
  <c r="J89" i="4"/>
  <c r="J79" i="4"/>
  <c r="J69" i="4"/>
  <c r="J59" i="4"/>
  <c r="J49" i="4"/>
  <c r="J39" i="4"/>
  <c r="J29" i="4"/>
  <c r="J19" i="4"/>
  <c r="J903" i="4"/>
  <c r="J749" i="4"/>
  <c r="J716" i="4"/>
  <c r="J662" i="4"/>
  <c r="J583" i="4"/>
  <c r="J487" i="4"/>
  <c r="J386" i="4"/>
  <c r="J358" i="4"/>
  <c r="J315" i="4"/>
  <c r="J286" i="4"/>
  <c r="J256" i="4"/>
  <c r="J236" i="4"/>
  <c r="J216" i="4"/>
  <c r="J206" i="4"/>
  <c r="J176" i="4"/>
  <c r="J166" i="4"/>
  <c r="J146" i="4"/>
  <c r="J116" i="4"/>
  <c r="J106" i="4"/>
  <c r="J96" i="4"/>
  <c r="J727" i="4"/>
  <c r="J591" i="4"/>
  <c r="J577" i="4"/>
  <c r="J502" i="4"/>
  <c r="J480" i="4"/>
  <c r="J456" i="4"/>
  <c r="J440" i="4"/>
  <c r="J383" i="4"/>
  <c r="J366" i="4"/>
  <c r="J341" i="4"/>
  <c r="J337" i="4"/>
  <c r="J332" i="4"/>
  <c r="J304" i="4"/>
  <c r="J296" i="4"/>
  <c r="J287" i="4"/>
  <c r="J277" i="4"/>
  <c r="J267" i="4"/>
  <c r="J257" i="4"/>
  <c r="J247" i="4"/>
  <c r="J237" i="4"/>
  <c r="J227" i="4"/>
  <c r="J217" i="4"/>
  <c r="J207" i="4"/>
  <c r="J197" i="4"/>
  <c r="J187" i="4"/>
  <c r="J177" i="4"/>
  <c r="J167" i="4"/>
  <c r="J157" i="4"/>
  <c r="J147" i="4"/>
  <c r="J137" i="4"/>
  <c r="J127" i="4"/>
  <c r="J117" i="4"/>
  <c r="J107" i="4"/>
  <c r="J97" i="4"/>
  <c r="J87" i="4"/>
  <c r="J77" i="4"/>
  <c r="J67" i="4"/>
  <c r="J57" i="4"/>
  <c r="J47" i="4"/>
  <c r="J37" i="4"/>
  <c r="J27" i="4"/>
  <c r="J17" i="4"/>
  <c r="J7" i="4"/>
  <c r="J762" i="4"/>
  <c r="J702" i="4"/>
  <c r="J673" i="4"/>
  <c r="J629" i="4"/>
  <c r="J557" i="4"/>
  <c r="J528" i="4"/>
  <c r="J426" i="4"/>
  <c r="J406" i="4"/>
  <c r="J400" i="4"/>
  <c r="J714" i="4"/>
  <c r="J655" i="4"/>
  <c r="J562" i="4"/>
  <c r="J414" i="4"/>
  <c r="J397" i="4"/>
  <c r="J374" i="4"/>
  <c r="J343" i="4"/>
  <c r="J334" i="4"/>
  <c r="J282" i="4"/>
  <c r="J262" i="4"/>
  <c r="J242" i="4"/>
  <c r="J222" i="4"/>
  <c r="J202" i="4"/>
  <c r="J182" i="4"/>
  <c r="J162" i="4"/>
  <c r="J142" i="4"/>
  <c r="J122" i="4"/>
  <c r="J102" i="4"/>
  <c r="J82" i="4"/>
  <c r="J75" i="4"/>
  <c r="J54" i="4"/>
  <c r="J31" i="4"/>
  <c r="J25" i="4"/>
  <c r="J4" i="4"/>
  <c r="J549" i="4"/>
  <c r="J351" i="4"/>
  <c r="J214" i="4"/>
  <c r="J194" i="4"/>
  <c r="J174" i="4"/>
  <c r="J134" i="4"/>
  <c r="J52" i="4"/>
  <c r="J2" i="4"/>
  <c r="J285" i="4"/>
  <c r="J265" i="4"/>
  <c r="J205" i="4"/>
  <c r="J192" i="4"/>
  <c r="J112" i="4"/>
  <c r="J6" i="4"/>
  <c r="J171" i="4"/>
  <c r="J91" i="4"/>
  <c r="J11" i="4"/>
  <c r="J16" i="4"/>
  <c r="J384" i="4"/>
  <c r="J361" i="4"/>
  <c r="J352" i="4"/>
  <c r="J281" i="4"/>
  <c r="J261" i="4"/>
  <c r="J241" i="4"/>
  <c r="J221" i="4"/>
  <c r="J201" i="4"/>
  <c r="J181" i="4"/>
  <c r="J161" i="4"/>
  <c r="J141" i="4"/>
  <c r="J121" i="4"/>
  <c r="J101" i="4"/>
  <c r="J81" i="4"/>
  <c r="J48" i="4"/>
  <c r="J42" i="4"/>
  <c r="J36" i="4"/>
  <c r="J274" i="4"/>
  <c r="J114" i="4"/>
  <c r="J94" i="4"/>
  <c r="J58" i="4"/>
  <c r="J8" i="4"/>
  <c r="J320" i="4"/>
  <c r="J185" i="4"/>
  <c r="J165" i="4"/>
  <c r="J145" i="4"/>
  <c r="J105" i="4"/>
  <c r="J74" i="4"/>
  <c r="J51" i="4"/>
  <c r="J24" i="4"/>
  <c r="J232" i="4"/>
  <c r="J152" i="4"/>
  <c r="J62" i="4"/>
  <c r="J774" i="4"/>
  <c r="J484" i="4"/>
  <c r="J466" i="4"/>
  <c r="J372" i="4"/>
  <c r="J323" i="4"/>
  <c r="J314" i="4"/>
  <c r="J268" i="4"/>
  <c r="J248" i="4"/>
  <c r="J228" i="4"/>
  <c r="J208" i="4"/>
  <c r="J188" i="4"/>
  <c r="J168" i="4"/>
  <c r="J148" i="4"/>
  <c r="J128" i="4"/>
  <c r="J108" i="4"/>
  <c r="J88" i="4"/>
  <c r="J64" i="4"/>
  <c r="J41" i="4"/>
  <c r="J35" i="4"/>
  <c r="J14" i="4"/>
  <c r="J254" i="4"/>
  <c r="J234" i="4"/>
  <c r="J154" i="4"/>
  <c r="J46" i="4"/>
  <c r="J225" i="4"/>
  <c r="J125" i="4"/>
  <c r="J85" i="4"/>
  <c r="J212" i="4"/>
  <c r="J132" i="4"/>
  <c r="J92" i="4"/>
  <c r="J56" i="4"/>
  <c r="J18" i="4"/>
  <c r="J211" i="4"/>
  <c r="J151" i="4"/>
  <c r="K151" i="4" s="1"/>
  <c r="L151" i="4" s="1"/>
  <c r="M151" i="4" s="1"/>
  <c r="O151" i="4" s="1"/>
  <c r="J111" i="4"/>
  <c r="J61" i="4"/>
  <c r="J5" i="4"/>
  <c r="J98" i="4"/>
  <c r="J66" i="4"/>
  <c r="J22" i="4"/>
  <c r="E18" i="1"/>
  <c r="J184" i="4"/>
  <c r="J65" i="4"/>
  <c r="J703" i="4"/>
  <c r="J596" i="4"/>
  <c r="J483" i="4"/>
  <c r="J104" i="4"/>
  <c r="J15" i="4"/>
  <c r="J843" i="4"/>
  <c r="J684" i="4"/>
  <c r="J508" i="4"/>
  <c r="J380" i="4"/>
  <c r="J329" i="4"/>
  <c r="J245" i="4"/>
  <c r="K245" i="4" s="1"/>
  <c r="L245" i="4" s="1"/>
  <c r="M245" i="4" s="1"/>
  <c r="O245" i="4" s="1"/>
  <c r="J45" i="4"/>
  <c r="J763" i="4"/>
  <c r="J637" i="4"/>
  <c r="J582" i="4"/>
  <c r="J391" i="4"/>
  <c r="J338" i="4"/>
  <c r="J272" i="4"/>
  <c r="J252" i="4"/>
  <c r="J622" i="4"/>
  <c r="J507" i="4"/>
  <c r="K507" i="4" s="1"/>
  <c r="L507" i="4" s="1"/>
  <c r="M507" i="4" s="1"/>
  <c r="O507" i="4" s="1"/>
  <c r="J476" i="4"/>
  <c r="J436" i="4"/>
  <c r="J357" i="4"/>
  <c r="J309" i="4"/>
  <c r="J301" i="4"/>
  <c r="J292" i="4"/>
  <c r="J271" i="4"/>
  <c r="J251" i="4"/>
  <c r="J231" i="4"/>
  <c r="J191" i="4"/>
  <c r="J55" i="4"/>
  <c r="J124" i="4"/>
  <c r="J21" i="4"/>
  <c r="J420" i="4"/>
  <c r="J389" i="4"/>
  <c r="J318" i="4"/>
  <c r="J278" i="4"/>
  <c r="J258" i="4"/>
  <c r="J238" i="4"/>
  <c r="J218" i="4"/>
  <c r="J198" i="4"/>
  <c r="J178" i="4"/>
  <c r="J158" i="4"/>
  <c r="J138" i="4"/>
  <c r="J72" i="4"/>
  <c r="J44" i="4"/>
  <c r="J614" i="4"/>
  <c r="J565" i="4"/>
  <c r="J434" i="4"/>
  <c r="J416" i="4"/>
  <c r="J401" i="4"/>
  <c r="J377" i="4"/>
  <c r="J355" i="4"/>
  <c r="J346" i="4"/>
  <c r="J284" i="4"/>
  <c r="J264" i="4"/>
  <c r="J244" i="4"/>
  <c r="J224" i="4"/>
  <c r="J204" i="4"/>
  <c r="J71" i="4"/>
  <c r="K71" i="4" s="1"/>
  <c r="L71" i="4" s="1"/>
  <c r="M71" i="4" s="1"/>
  <c r="O71" i="4" s="1"/>
  <c r="J660" i="4"/>
  <c r="J533" i="4"/>
  <c r="J450" i="4"/>
  <c r="J324" i="4"/>
  <c r="J306" i="4"/>
  <c r="J297" i="4"/>
  <c r="J289" i="4"/>
  <c r="J275" i="4"/>
  <c r="J255" i="4"/>
  <c r="J235" i="4"/>
  <c r="K235" i="4" s="1"/>
  <c r="L235" i="4" s="1"/>
  <c r="M235" i="4" s="1"/>
  <c r="O235" i="4" s="1"/>
  <c r="J215" i="4"/>
  <c r="J195" i="4"/>
  <c r="J175" i="4"/>
  <c r="J155" i="4"/>
  <c r="J135" i="4"/>
  <c r="J115" i="4"/>
  <c r="J95" i="4"/>
  <c r="J76" i="4"/>
  <c r="J38" i="4"/>
  <c r="J32" i="4"/>
  <c r="K32" i="4" s="1"/>
  <c r="L32" i="4" s="1"/>
  <c r="M32" i="4" s="1"/>
  <c r="O32" i="4" s="1"/>
  <c r="J26" i="4"/>
  <c r="J172" i="4"/>
  <c r="J68" i="4"/>
  <c r="J12" i="4"/>
  <c r="J131" i="4"/>
  <c r="J34" i="4"/>
  <c r="J118" i="4"/>
  <c r="J78" i="4"/>
  <c r="J28" i="4"/>
  <c r="J164" i="4"/>
  <c r="K164" i="4" s="1"/>
  <c r="L164" i="4" s="1"/>
  <c r="M164" i="4" s="1"/>
  <c r="O164" i="4" s="1"/>
  <c r="J144" i="4"/>
  <c r="J84" i="4"/>
  <c r="B20" i="1"/>
  <c r="E19" i="1"/>
  <c r="K1278" i="4" l="1"/>
  <c r="L1278" i="4" s="1"/>
  <c r="M1278" i="4" s="1"/>
  <c r="O1278" i="4" s="1"/>
  <c r="K191" i="4"/>
  <c r="L191" i="4" s="1"/>
  <c r="M191" i="4" s="1"/>
  <c r="O191" i="4" s="1"/>
  <c r="K372" i="4"/>
  <c r="L372" i="4" s="1"/>
  <c r="M372" i="4" s="1"/>
  <c r="O372" i="4" s="1"/>
  <c r="K171" i="4"/>
  <c r="L171" i="4" s="1"/>
  <c r="M171" i="4" s="1"/>
  <c r="O171" i="4" s="1"/>
  <c r="K127" i="4"/>
  <c r="L127" i="4" s="1"/>
  <c r="M127" i="4" s="1"/>
  <c r="O127" i="4" s="1"/>
  <c r="K340" i="4"/>
  <c r="L340" i="4" s="1"/>
  <c r="M340" i="4" s="1"/>
  <c r="O340" i="4" s="1"/>
  <c r="K100" i="4"/>
  <c r="L100" i="4" s="1"/>
  <c r="M100" i="4" s="1"/>
  <c r="O100" i="4" s="1"/>
  <c r="K213" i="4"/>
  <c r="L213" i="4" s="1"/>
  <c r="M213" i="4" s="1"/>
  <c r="O213" i="4" s="1"/>
  <c r="K667" i="4"/>
  <c r="L667" i="4" s="1"/>
  <c r="M667" i="4" s="1"/>
  <c r="O667" i="4" s="1"/>
  <c r="K290" i="4"/>
  <c r="L290" i="4" s="1"/>
  <c r="M290" i="4" s="1"/>
  <c r="O290" i="4" s="1"/>
  <c r="K373" i="4"/>
  <c r="L373" i="4" s="1"/>
  <c r="M373" i="4" s="1"/>
  <c r="O373" i="4" s="1"/>
  <c r="K468" i="4"/>
  <c r="L468" i="4" s="1"/>
  <c r="M468" i="4" s="1"/>
  <c r="O468" i="4" s="1"/>
  <c r="K489" i="4"/>
  <c r="L489" i="4" s="1"/>
  <c r="M489" i="4" s="1"/>
  <c r="O489" i="4" s="1"/>
  <c r="K415" i="4"/>
  <c r="L415" i="4" s="1"/>
  <c r="M415" i="4" s="1"/>
  <c r="O415" i="4" s="1"/>
  <c r="K435" i="4"/>
  <c r="L435" i="4" s="1"/>
  <c r="M435" i="4" s="1"/>
  <c r="O435" i="4" s="1"/>
  <c r="K455" i="4"/>
  <c r="L455" i="4" s="1"/>
  <c r="M455" i="4" s="1"/>
  <c r="O455" i="4" s="1"/>
  <c r="K475" i="4"/>
  <c r="L475" i="4" s="1"/>
  <c r="M475" i="4" s="1"/>
  <c r="O475" i="4" s="1"/>
  <c r="K616" i="4"/>
  <c r="L616" i="4" s="1"/>
  <c r="M616" i="4" s="1"/>
  <c r="O616" i="4" s="1"/>
  <c r="K777" i="4"/>
  <c r="L777" i="4" s="1"/>
  <c r="M777" i="4" s="1"/>
  <c r="O777" i="4" s="1"/>
  <c r="K538" i="4"/>
  <c r="L538" i="4" s="1"/>
  <c r="M538" i="4" s="1"/>
  <c r="O538" i="4" s="1"/>
  <c r="K717" i="4"/>
  <c r="L717" i="4" s="1"/>
  <c r="M717" i="4" s="1"/>
  <c r="O717" i="4" s="1"/>
  <c r="K650" i="4"/>
  <c r="L650" i="4" s="1"/>
  <c r="M650" i="4" s="1"/>
  <c r="O650" i="4" s="1"/>
  <c r="K837" i="4"/>
  <c r="L837" i="4" s="1"/>
  <c r="M837" i="4" s="1"/>
  <c r="O837" i="4" s="1"/>
  <c r="K536" i="4"/>
  <c r="L536" i="4" s="1"/>
  <c r="M536" i="4" s="1"/>
  <c r="O536" i="4" s="1"/>
  <c r="K632" i="4"/>
  <c r="L632" i="4" s="1"/>
  <c r="M632" i="4" s="1"/>
  <c r="O632" i="4" s="1"/>
  <c r="K739" i="4"/>
  <c r="L739" i="4" s="1"/>
  <c r="M739" i="4" s="1"/>
  <c r="O739" i="4" s="1"/>
  <c r="K514" i="4"/>
  <c r="L514" i="4" s="1"/>
  <c r="M514" i="4" s="1"/>
  <c r="O514" i="4" s="1"/>
  <c r="K618" i="4"/>
  <c r="L618" i="4" s="1"/>
  <c r="M618" i="4" s="1"/>
  <c r="O618" i="4" s="1"/>
  <c r="K761" i="4"/>
  <c r="L761" i="4" s="1"/>
  <c r="M761" i="4" s="1"/>
  <c r="O761" i="4" s="1"/>
  <c r="K541" i="4"/>
  <c r="L541" i="4" s="1"/>
  <c r="M541" i="4" s="1"/>
  <c r="O541" i="4" s="1"/>
  <c r="K633" i="4"/>
  <c r="L633" i="4" s="1"/>
  <c r="M633" i="4" s="1"/>
  <c r="O633" i="4" s="1"/>
  <c r="K733" i="4"/>
  <c r="L733" i="4" s="1"/>
  <c r="M733" i="4" s="1"/>
  <c r="O733" i="4" s="1"/>
  <c r="K1033" i="4"/>
  <c r="L1033" i="4" s="1"/>
  <c r="M1033" i="4" s="1"/>
  <c r="O1033" i="4" s="1"/>
  <c r="K981" i="4"/>
  <c r="L981" i="4" s="1"/>
  <c r="M981" i="4" s="1"/>
  <c r="O981" i="4" s="1"/>
  <c r="K1051" i="4"/>
  <c r="L1051" i="4" s="1"/>
  <c r="M1051" i="4" s="1"/>
  <c r="O1051" i="4" s="1"/>
  <c r="K1000" i="4"/>
  <c r="L1000" i="4" s="1"/>
  <c r="M1000" i="4" s="1"/>
  <c r="O1000" i="4" s="1"/>
  <c r="K740" i="4"/>
  <c r="L740" i="4" s="1"/>
  <c r="M740" i="4" s="1"/>
  <c r="O740" i="4" s="1"/>
  <c r="K851" i="4"/>
  <c r="L851" i="4" s="1"/>
  <c r="M851" i="4" s="1"/>
  <c r="O851" i="4" s="1"/>
  <c r="K665" i="4"/>
  <c r="L665" i="4" s="1"/>
  <c r="M665" i="4" s="1"/>
  <c r="O665" i="4" s="1"/>
  <c r="K765" i="4"/>
  <c r="L765" i="4" s="1"/>
  <c r="M765" i="4" s="1"/>
  <c r="O765" i="4" s="1"/>
  <c r="K952" i="4"/>
  <c r="L952" i="4" s="1"/>
  <c r="M952" i="4" s="1"/>
  <c r="O952" i="4" s="1"/>
  <c r="K728" i="4"/>
  <c r="L728" i="4" s="1"/>
  <c r="M728" i="4" s="1"/>
  <c r="O728" i="4" s="1"/>
  <c r="K917" i="4"/>
  <c r="L917" i="4" s="1"/>
  <c r="M917" i="4" s="1"/>
  <c r="O917" i="4" s="1"/>
  <c r="K1238" i="4"/>
  <c r="L1238" i="4" s="1"/>
  <c r="M1238" i="4" s="1"/>
  <c r="O1238" i="4" s="1"/>
  <c r="K1099" i="4"/>
  <c r="L1099" i="4" s="1"/>
  <c r="M1099" i="4" s="1"/>
  <c r="O1099" i="4" s="1"/>
  <c r="K892" i="4"/>
  <c r="L892" i="4" s="1"/>
  <c r="M892" i="4" s="1"/>
  <c r="O892" i="4" s="1"/>
  <c r="K988" i="4"/>
  <c r="L988" i="4" s="1"/>
  <c r="M988" i="4" s="1"/>
  <c r="O988" i="4" s="1"/>
  <c r="K878" i="4"/>
  <c r="L878" i="4" s="1"/>
  <c r="M878" i="4" s="1"/>
  <c r="O878" i="4" s="1"/>
  <c r="K1091" i="4"/>
  <c r="L1091" i="4" s="1"/>
  <c r="M1091" i="4" s="1"/>
  <c r="O1091" i="4" s="1"/>
  <c r="K788" i="4"/>
  <c r="L788" i="4" s="1"/>
  <c r="M788" i="4" s="1"/>
  <c r="O788" i="4" s="1"/>
  <c r="K808" i="4"/>
  <c r="L808" i="4" s="1"/>
  <c r="M808" i="4" s="1"/>
  <c r="O808" i="4" s="1"/>
  <c r="K828" i="4"/>
  <c r="L828" i="4" s="1"/>
  <c r="M828" i="4" s="1"/>
  <c r="O828" i="4" s="1"/>
  <c r="K908" i="4"/>
  <c r="L908" i="4" s="1"/>
  <c r="M908" i="4" s="1"/>
  <c r="O908" i="4" s="1"/>
  <c r="K1077" i="4"/>
  <c r="L1077" i="4" s="1"/>
  <c r="M1077" i="4" s="1"/>
  <c r="O1077" i="4" s="1"/>
  <c r="K1042" i="4"/>
  <c r="L1042" i="4" s="1"/>
  <c r="M1042" i="4" s="1"/>
  <c r="O1042" i="4" s="1"/>
  <c r="K1181" i="4"/>
  <c r="L1181" i="4" s="1"/>
  <c r="M1181" i="4" s="1"/>
  <c r="O1181" i="4" s="1"/>
  <c r="K1183" i="4"/>
  <c r="L1183" i="4" s="1"/>
  <c r="M1183" i="4" s="1"/>
  <c r="O1183" i="4" s="1"/>
  <c r="K1265" i="4"/>
  <c r="L1265" i="4" s="1"/>
  <c r="M1265" i="4" s="1"/>
  <c r="O1265" i="4" s="1"/>
  <c r="K855" i="4"/>
  <c r="L855" i="4" s="1"/>
  <c r="M855" i="4" s="1"/>
  <c r="O855" i="4" s="1"/>
  <c r="K875" i="4"/>
  <c r="L875" i="4" s="1"/>
  <c r="M875" i="4" s="1"/>
  <c r="O875" i="4" s="1"/>
  <c r="K895" i="4"/>
  <c r="L895" i="4" s="1"/>
  <c r="M895" i="4" s="1"/>
  <c r="O895" i="4" s="1"/>
  <c r="K976" i="4"/>
  <c r="L976" i="4" s="1"/>
  <c r="M976" i="4" s="1"/>
  <c r="O976" i="4" s="1"/>
  <c r="K1127" i="4"/>
  <c r="L1127" i="4" s="1"/>
  <c r="M1127" i="4" s="1"/>
  <c r="O1127" i="4" s="1"/>
  <c r="K939" i="4"/>
  <c r="L939" i="4" s="1"/>
  <c r="M939" i="4" s="1"/>
  <c r="O939" i="4" s="1"/>
  <c r="K1039" i="4"/>
  <c r="L1039" i="4" s="1"/>
  <c r="M1039" i="4" s="1"/>
  <c r="O1039" i="4" s="1"/>
  <c r="K1174" i="4"/>
  <c r="L1174" i="4" s="1"/>
  <c r="M1174" i="4" s="1"/>
  <c r="O1174" i="4" s="1"/>
  <c r="K914" i="4"/>
  <c r="L914" i="4" s="1"/>
  <c r="M914" i="4" s="1"/>
  <c r="O914" i="4" s="1"/>
  <c r="K1014" i="4"/>
  <c r="L1014" i="4" s="1"/>
  <c r="M1014" i="4" s="1"/>
  <c r="O1014" i="4" s="1"/>
  <c r="K1237" i="4"/>
  <c r="L1237" i="4" s="1"/>
  <c r="M1237" i="4" s="1"/>
  <c r="O1237" i="4" s="1"/>
  <c r="K1283" i="4"/>
  <c r="L1283" i="4" s="1"/>
  <c r="M1283" i="4" s="1"/>
  <c r="O1283" i="4" s="1"/>
  <c r="K1363" i="4"/>
  <c r="L1363" i="4" s="1"/>
  <c r="M1363" i="4" s="1"/>
  <c r="O1363" i="4" s="1"/>
  <c r="K1286" i="4"/>
  <c r="L1286" i="4" s="1"/>
  <c r="M1286" i="4" s="1"/>
  <c r="O1286" i="4" s="1"/>
  <c r="K1056" i="4"/>
  <c r="L1056" i="4" s="1"/>
  <c r="M1056" i="4" s="1"/>
  <c r="O1056" i="4" s="1"/>
  <c r="K1076" i="4"/>
  <c r="L1076" i="4" s="1"/>
  <c r="M1076" i="4" s="1"/>
  <c r="O1076" i="4" s="1"/>
  <c r="K1096" i="4"/>
  <c r="L1096" i="4" s="1"/>
  <c r="M1096" i="4" s="1"/>
  <c r="O1096" i="4" s="1"/>
  <c r="K1134" i="4"/>
  <c r="L1134" i="4" s="1"/>
  <c r="M1134" i="4" s="1"/>
  <c r="O1134" i="4" s="1"/>
  <c r="K1357" i="4"/>
  <c r="L1357" i="4" s="1"/>
  <c r="M1357" i="4" s="1"/>
  <c r="O1357" i="4" s="1"/>
  <c r="K1317" i="4"/>
  <c r="L1317" i="4" s="1"/>
  <c r="M1317" i="4" s="1"/>
  <c r="O1317" i="4" s="1"/>
  <c r="K1176" i="4"/>
  <c r="L1176" i="4" s="1"/>
  <c r="M1176" i="4" s="1"/>
  <c r="O1176" i="4" s="1"/>
  <c r="K1344" i="4"/>
  <c r="L1344" i="4" s="1"/>
  <c r="M1344" i="4" s="1"/>
  <c r="O1344" i="4" s="1"/>
  <c r="K1212" i="4"/>
  <c r="L1212" i="4" s="1"/>
  <c r="M1212" i="4" s="1"/>
  <c r="O1212" i="4" s="1"/>
  <c r="K1359" i="4"/>
  <c r="L1359" i="4" s="1"/>
  <c r="M1359" i="4" s="1"/>
  <c r="O1359" i="4" s="1"/>
  <c r="K1192" i="4"/>
  <c r="L1192" i="4" s="1"/>
  <c r="M1192" i="4" s="1"/>
  <c r="O1192" i="4" s="1"/>
  <c r="K1291" i="4"/>
  <c r="L1291" i="4" s="1"/>
  <c r="M1291" i="4" s="1"/>
  <c r="O1291" i="4" s="1"/>
  <c r="K1122" i="4"/>
  <c r="L1122" i="4" s="1"/>
  <c r="M1122" i="4" s="1"/>
  <c r="O1122" i="4" s="1"/>
  <c r="K1302" i="4"/>
  <c r="L1302" i="4" s="1"/>
  <c r="M1302" i="4" s="1"/>
  <c r="O1302" i="4" s="1"/>
  <c r="K1371" i="4"/>
  <c r="L1371" i="4" s="1"/>
  <c r="M1371" i="4" s="1"/>
  <c r="O1371" i="4" s="1"/>
  <c r="K1244" i="4"/>
  <c r="L1244" i="4" s="1"/>
  <c r="M1244" i="4" s="1"/>
  <c r="O1244" i="4" s="1"/>
  <c r="K1350" i="4"/>
  <c r="L1350" i="4" s="1"/>
  <c r="M1350" i="4" s="1"/>
  <c r="O1350" i="4" s="1"/>
  <c r="K1390" i="4"/>
  <c r="L1390" i="4" s="1"/>
  <c r="M1390" i="4" s="1"/>
  <c r="O1390" i="4" s="1"/>
  <c r="K1227" i="4"/>
  <c r="L1227" i="4" s="1"/>
  <c r="M1227" i="4" s="1"/>
  <c r="O1227" i="4" s="1"/>
  <c r="K1305" i="4"/>
  <c r="L1305" i="4" s="1"/>
  <c r="M1305" i="4" s="1"/>
  <c r="O1305" i="4" s="1"/>
  <c r="K28" i="4"/>
  <c r="L28" i="4" s="1"/>
  <c r="M28" i="4" s="1"/>
  <c r="O28" i="4" s="1"/>
  <c r="K38" i="4"/>
  <c r="L38" i="4" s="1"/>
  <c r="M38" i="4" s="1"/>
  <c r="O38" i="4" s="1"/>
  <c r="K255" i="4"/>
  <c r="L255" i="4" s="1"/>
  <c r="M255" i="4" s="1"/>
  <c r="O255" i="4" s="1"/>
  <c r="K204" i="4"/>
  <c r="L204" i="4" s="1"/>
  <c r="M204" i="4" s="1"/>
  <c r="O204" i="4" s="1"/>
  <c r="K434" i="4"/>
  <c r="L434" i="4" s="1"/>
  <c r="M434" i="4" s="1"/>
  <c r="O434" i="4" s="1"/>
  <c r="K238" i="4"/>
  <c r="L238" i="4" s="1"/>
  <c r="M238" i="4" s="1"/>
  <c r="O238" i="4" s="1"/>
  <c r="K231" i="4"/>
  <c r="L231" i="4" s="1"/>
  <c r="M231" i="4" s="1"/>
  <c r="O231" i="4" s="1"/>
  <c r="K622" i="4"/>
  <c r="L622" i="4" s="1"/>
  <c r="M622" i="4" s="1"/>
  <c r="O622" i="4" s="1"/>
  <c r="K329" i="4"/>
  <c r="L329" i="4" s="1"/>
  <c r="M329" i="4" s="1"/>
  <c r="O329" i="4" s="1"/>
  <c r="K65" i="4"/>
  <c r="L65" i="4" s="1"/>
  <c r="M65" i="4" s="1"/>
  <c r="O65" i="4" s="1"/>
  <c r="K211" i="4"/>
  <c r="L211" i="4" s="1"/>
  <c r="M211" i="4" s="1"/>
  <c r="O211" i="4" s="1"/>
  <c r="K154" i="4"/>
  <c r="L154" i="4" s="1"/>
  <c r="M154" i="4" s="1"/>
  <c r="O154" i="4" s="1"/>
  <c r="K148" i="4"/>
  <c r="L148" i="4" s="1"/>
  <c r="M148" i="4" s="1"/>
  <c r="O148" i="4" s="1"/>
  <c r="K466" i="4"/>
  <c r="L466" i="4" s="1"/>
  <c r="M466" i="4" s="1"/>
  <c r="O466" i="4" s="1"/>
  <c r="K145" i="4"/>
  <c r="L145" i="4" s="1"/>
  <c r="M145" i="4" s="1"/>
  <c r="O145" i="4" s="1"/>
  <c r="K42" i="4"/>
  <c r="L42" i="4" s="1"/>
  <c r="M42" i="4" s="1"/>
  <c r="O42" i="4" s="1"/>
  <c r="K241" i="4"/>
  <c r="L241" i="4" s="1"/>
  <c r="M241" i="4" s="1"/>
  <c r="O241" i="4" s="1"/>
  <c r="K6" i="4"/>
  <c r="L6" i="4" s="1"/>
  <c r="M6" i="4" s="1"/>
  <c r="O6" i="4" s="1"/>
  <c r="K194" i="4"/>
  <c r="L194" i="4" s="1"/>
  <c r="M194" i="4" s="1"/>
  <c r="O194" i="4" s="1"/>
  <c r="K102" i="4"/>
  <c r="L102" i="4" s="1"/>
  <c r="M102" i="4" s="1"/>
  <c r="O102" i="4" s="1"/>
  <c r="K334" i="4"/>
  <c r="L334" i="4" s="1"/>
  <c r="M334" i="4" s="1"/>
  <c r="O334" i="4" s="1"/>
  <c r="K426" i="4"/>
  <c r="L426" i="4" s="1"/>
  <c r="M426" i="4" s="1"/>
  <c r="O426" i="4" s="1"/>
  <c r="K37" i="4"/>
  <c r="L37" i="4" s="1"/>
  <c r="M37" i="4" s="1"/>
  <c r="O37" i="4" s="1"/>
  <c r="K137" i="4"/>
  <c r="L137" i="4" s="1"/>
  <c r="M137" i="4" s="1"/>
  <c r="O137" i="4" s="1"/>
  <c r="K237" i="4"/>
  <c r="L237" i="4" s="1"/>
  <c r="M237" i="4" s="1"/>
  <c r="O237" i="4" s="1"/>
  <c r="K341" i="4"/>
  <c r="L341" i="4" s="1"/>
  <c r="M341" i="4" s="1"/>
  <c r="O341" i="4" s="1"/>
  <c r="K96" i="4"/>
  <c r="L96" i="4" s="1"/>
  <c r="M96" i="4" s="1"/>
  <c r="O96" i="4" s="1"/>
  <c r="K286" i="4"/>
  <c r="L286" i="4" s="1"/>
  <c r="M286" i="4" s="1"/>
  <c r="O286" i="4" s="1"/>
  <c r="K19" i="4"/>
  <c r="L19" i="4" s="1"/>
  <c r="M19" i="4" s="1"/>
  <c r="O19" i="4" s="1"/>
  <c r="K119" i="4"/>
  <c r="L119" i="4" s="1"/>
  <c r="M119" i="4" s="1"/>
  <c r="O119" i="4" s="1"/>
  <c r="K219" i="4"/>
  <c r="L219" i="4" s="1"/>
  <c r="M219" i="4" s="1"/>
  <c r="O219" i="4" s="1"/>
  <c r="K344" i="4"/>
  <c r="L344" i="4" s="1"/>
  <c r="M344" i="4" s="1"/>
  <c r="O344" i="4" s="1"/>
  <c r="K10" i="4"/>
  <c r="L10" i="4" s="1"/>
  <c r="M10" i="4" s="1"/>
  <c r="O10" i="4" s="1"/>
  <c r="K110" i="4"/>
  <c r="L110" i="4" s="1"/>
  <c r="M110" i="4" s="1"/>
  <c r="O110" i="4" s="1"/>
  <c r="K210" i="4"/>
  <c r="L210" i="4" s="1"/>
  <c r="M210" i="4" s="1"/>
  <c r="O210" i="4" s="1"/>
  <c r="K335" i="4"/>
  <c r="L335" i="4" s="1"/>
  <c r="M335" i="4" s="1"/>
  <c r="O335" i="4" s="1"/>
  <c r="K86" i="4"/>
  <c r="L86" i="4" s="1"/>
  <c r="M86" i="4" s="1"/>
  <c r="O86" i="4" s="1"/>
  <c r="K311" i="4"/>
  <c r="L311" i="4" s="1"/>
  <c r="M311" i="4" s="1"/>
  <c r="O311" i="4" s="1"/>
  <c r="K23" i="4"/>
  <c r="L23" i="4" s="1"/>
  <c r="M23" i="4" s="1"/>
  <c r="O23" i="4" s="1"/>
  <c r="K123" i="4"/>
  <c r="L123" i="4" s="1"/>
  <c r="M123" i="4" s="1"/>
  <c r="O123" i="4" s="1"/>
  <c r="K223" i="4"/>
  <c r="L223" i="4" s="1"/>
  <c r="M223" i="4" s="1"/>
  <c r="O223" i="4" s="1"/>
  <c r="K312" i="4"/>
  <c r="L312" i="4" s="1"/>
  <c r="M312" i="4" s="1"/>
  <c r="O312" i="4" s="1"/>
  <c r="K787" i="4"/>
  <c r="L787" i="4" s="1"/>
  <c r="M787" i="4" s="1"/>
  <c r="O787" i="4" s="1"/>
  <c r="K365" i="4"/>
  <c r="L365" i="4" s="1"/>
  <c r="M365" i="4" s="1"/>
  <c r="O365" i="4" s="1"/>
  <c r="K472" i="4"/>
  <c r="L472" i="4" s="1"/>
  <c r="M472" i="4" s="1"/>
  <c r="O472" i="4" s="1"/>
  <c r="K737" i="4"/>
  <c r="L737" i="4" s="1"/>
  <c r="M737" i="4" s="1"/>
  <c r="O737" i="4" s="1"/>
  <c r="K571" i="4"/>
  <c r="L571" i="4" s="1"/>
  <c r="M571" i="4" s="1"/>
  <c r="O571" i="4" s="1"/>
  <c r="K498" i="4"/>
  <c r="L498" i="4" s="1"/>
  <c r="M498" i="4" s="1"/>
  <c r="O498" i="4" s="1"/>
  <c r="K310" i="4"/>
  <c r="L310" i="4" s="1"/>
  <c r="M310" i="4" s="1"/>
  <c r="O310" i="4" s="1"/>
  <c r="K499" i="4"/>
  <c r="L499" i="4" s="1"/>
  <c r="M499" i="4" s="1"/>
  <c r="O499" i="4" s="1"/>
  <c r="K295" i="4"/>
  <c r="L295" i="4" s="1"/>
  <c r="M295" i="4" s="1"/>
  <c r="O295" i="4" s="1"/>
  <c r="K376" i="4"/>
  <c r="L376" i="4" s="1"/>
  <c r="M376" i="4" s="1"/>
  <c r="O376" i="4" s="1"/>
  <c r="K478" i="4"/>
  <c r="L478" i="4" s="1"/>
  <c r="M478" i="4" s="1"/>
  <c r="O478" i="4" s="1"/>
  <c r="K677" i="4"/>
  <c r="L677" i="4" s="1"/>
  <c r="M677" i="4" s="1"/>
  <c r="O677" i="4" s="1"/>
  <c r="K382" i="4"/>
  <c r="L382" i="4" s="1"/>
  <c r="M382" i="4" s="1"/>
  <c r="O382" i="4" s="1"/>
  <c r="K526" i="4"/>
  <c r="L526" i="4" s="1"/>
  <c r="M526" i="4" s="1"/>
  <c r="O526" i="4" s="1"/>
  <c r="K666" i="4"/>
  <c r="L666" i="4" s="1"/>
  <c r="M666" i="4" s="1"/>
  <c r="O666" i="4" s="1"/>
  <c r="K723" i="4"/>
  <c r="L723" i="4" s="1"/>
  <c r="M723" i="4" s="1"/>
  <c r="O723" i="4" s="1"/>
  <c r="K551" i="4"/>
  <c r="L551" i="4" s="1"/>
  <c r="M551" i="4" s="1"/>
  <c r="O551" i="4" s="1"/>
  <c r="K797" i="4"/>
  <c r="L797" i="4" s="1"/>
  <c r="M797" i="4" s="1"/>
  <c r="O797" i="4" s="1"/>
  <c r="K417" i="4"/>
  <c r="L417" i="4" s="1"/>
  <c r="M417" i="4" s="1"/>
  <c r="O417" i="4" s="1"/>
  <c r="K437" i="4"/>
  <c r="L437" i="4" s="1"/>
  <c r="M437" i="4" s="1"/>
  <c r="O437" i="4" s="1"/>
  <c r="K457" i="4"/>
  <c r="L457" i="4" s="1"/>
  <c r="M457" i="4" s="1"/>
  <c r="O457" i="4" s="1"/>
  <c r="K477" i="4"/>
  <c r="L477" i="4" s="1"/>
  <c r="M477" i="4" s="1"/>
  <c r="O477" i="4" s="1"/>
  <c r="K620" i="4"/>
  <c r="L620" i="4" s="1"/>
  <c r="M620" i="4" s="1"/>
  <c r="O620" i="4" s="1"/>
  <c r="K805" i="4"/>
  <c r="L805" i="4" s="1"/>
  <c r="M805" i="4" s="1"/>
  <c r="O805" i="4" s="1"/>
  <c r="K548" i="4"/>
  <c r="L548" i="4" s="1"/>
  <c r="M548" i="4" s="1"/>
  <c r="O548" i="4" s="1"/>
  <c r="K724" i="4"/>
  <c r="L724" i="4" s="1"/>
  <c r="M724" i="4" s="1"/>
  <c r="O724" i="4" s="1"/>
  <c r="K659" i="4"/>
  <c r="L659" i="4" s="1"/>
  <c r="M659" i="4" s="1"/>
  <c r="O659" i="4" s="1"/>
  <c r="K842" i="4"/>
  <c r="L842" i="4" s="1"/>
  <c r="M842" i="4" s="1"/>
  <c r="O842" i="4" s="1"/>
  <c r="K545" i="4"/>
  <c r="L545" i="4" s="1"/>
  <c r="M545" i="4" s="1"/>
  <c r="O545" i="4" s="1"/>
  <c r="K641" i="4"/>
  <c r="L641" i="4" s="1"/>
  <c r="M641" i="4" s="1"/>
  <c r="O641" i="4" s="1"/>
  <c r="K743" i="4"/>
  <c r="L743" i="4" s="1"/>
  <c r="M743" i="4" s="1"/>
  <c r="O743" i="4" s="1"/>
  <c r="K523" i="4"/>
  <c r="L523" i="4" s="1"/>
  <c r="M523" i="4" s="1"/>
  <c r="O523" i="4" s="1"/>
  <c r="K627" i="4"/>
  <c r="L627" i="4" s="1"/>
  <c r="M627" i="4" s="1"/>
  <c r="O627" i="4" s="1"/>
  <c r="K783" i="4"/>
  <c r="L783" i="4" s="1"/>
  <c r="M783" i="4" s="1"/>
  <c r="O783" i="4" s="1"/>
  <c r="K550" i="4"/>
  <c r="L550" i="4" s="1"/>
  <c r="M550" i="4" s="1"/>
  <c r="O550" i="4" s="1"/>
  <c r="K644" i="4"/>
  <c r="L644" i="4" s="1"/>
  <c r="M644" i="4" s="1"/>
  <c r="O644" i="4" s="1"/>
  <c r="K772" i="4"/>
  <c r="L772" i="4" s="1"/>
  <c r="M772" i="4" s="1"/>
  <c r="O772" i="4" s="1"/>
  <c r="K1055" i="4"/>
  <c r="L1055" i="4" s="1"/>
  <c r="M1055" i="4" s="1"/>
  <c r="O1055" i="4" s="1"/>
  <c r="K987" i="4"/>
  <c r="L987" i="4" s="1"/>
  <c r="M987" i="4" s="1"/>
  <c r="O987" i="4" s="1"/>
  <c r="K1083" i="4"/>
  <c r="L1083" i="4" s="1"/>
  <c r="M1083" i="4" s="1"/>
  <c r="O1083" i="4" s="1"/>
  <c r="K1007" i="4"/>
  <c r="L1007" i="4" s="1"/>
  <c r="M1007" i="4" s="1"/>
  <c r="O1007" i="4" s="1"/>
  <c r="K750" i="4"/>
  <c r="L750" i="4" s="1"/>
  <c r="M750" i="4" s="1"/>
  <c r="O750" i="4" s="1"/>
  <c r="K876" i="4"/>
  <c r="L876" i="4" s="1"/>
  <c r="M876" i="4" s="1"/>
  <c r="O876" i="4" s="1"/>
  <c r="K675" i="4"/>
  <c r="L675" i="4" s="1"/>
  <c r="M675" i="4" s="1"/>
  <c r="O675" i="4" s="1"/>
  <c r="K775" i="4"/>
  <c r="L775" i="4" s="1"/>
  <c r="M775" i="4" s="1"/>
  <c r="O775" i="4" s="1"/>
  <c r="K957" i="4"/>
  <c r="L957" i="4" s="1"/>
  <c r="M957" i="4" s="1"/>
  <c r="O957" i="4" s="1"/>
  <c r="K738" i="4"/>
  <c r="L738" i="4" s="1"/>
  <c r="M738" i="4" s="1"/>
  <c r="O738" i="4" s="1"/>
  <c r="K921" i="4"/>
  <c r="L921" i="4" s="1"/>
  <c r="M921" i="4" s="1"/>
  <c r="O921" i="4" s="1"/>
  <c r="K1031" i="4"/>
  <c r="L1031" i="4" s="1"/>
  <c r="M1031" i="4" s="1"/>
  <c r="O1031" i="4" s="1"/>
  <c r="K1140" i="4"/>
  <c r="L1140" i="4" s="1"/>
  <c r="M1140" i="4" s="1"/>
  <c r="O1140" i="4" s="1"/>
  <c r="K911" i="4"/>
  <c r="L911" i="4" s="1"/>
  <c r="M911" i="4" s="1"/>
  <c r="O911" i="4" s="1"/>
  <c r="K997" i="4"/>
  <c r="L997" i="4" s="1"/>
  <c r="M997" i="4" s="1"/>
  <c r="O997" i="4" s="1"/>
  <c r="K898" i="4"/>
  <c r="L898" i="4" s="1"/>
  <c r="M898" i="4" s="1"/>
  <c r="O898" i="4" s="1"/>
  <c r="K1095" i="4"/>
  <c r="L1095" i="4" s="1"/>
  <c r="M1095" i="4" s="1"/>
  <c r="O1095" i="4" s="1"/>
  <c r="K790" i="4"/>
  <c r="L790" i="4" s="1"/>
  <c r="M790" i="4" s="1"/>
  <c r="O790" i="4" s="1"/>
  <c r="K810" i="4"/>
  <c r="L810" i="4" s="1"/>
  <c r="M810" i="4" s="1"/>
  <c r="O810" i="4" s="1"/>
  <c r="K830" i="4"/>
  <c r="L830" i="4" s="1"/>
  <c r="M830" i="4" s="1"/>
  <c r="O830" i="4" s="1"/>
  <c r="K912" i="4"/>
  <c r="L912" i="4" s="1"/>
  <c r="M912" i="4" s="1"/>
  <c r="O912" i="4" s="1"/>
  <c r="K1121" i="4"/>
  <c r="L1121" i="4" s="1"/>
  <c r="M1121" i="4" s="1"/>
  <c r="O1121" i="4" s="1"/>
  <c r="K1045" i="4"/>
  <c r="L1045" i="4" s="1"/>
  <c r="M1045" i="4" s="1"/>
  <c r="O1045" i="4" s="1"/>
  <c r="K1239" i="4"/>
  <c r="L1239" i="4" s="1"/>
  <c r="M1239" i="4" s="1"/>
  <c r="O1239" i="4" s="1"/>
  <c r="K1195" i="4"/>
  <c r="L1195" i="4" s="1"/>
  <c r="M1195" i="4" s="1"/>
  <c r="O1195" i="4" s="1"/>
  <c r="K1279" i="4"/>
  <c r="L1279" i="4" s="1"/>
  <c r="M1279" i="4" s="1"/>
  <c r="O1279" i="4" s="1"/>
  <c r="K857" i="4"/>
  <c r="L857" i="4" s="1"/>
  <c r="M857" i="4" s="1"/>
  <c r="O857" i="4" s="1"/>
  <c r="K877" i="4"/>
  <c r="L877" i="4" s="1"/>
  <c r="M877" i="4" s="1"/>
  <c r="O877" i="4" s="1"/>
  <c r="K897" i="4"/>
  <c r="L897" i="4" s="1"/>
  <c r="M897" i="4" s="1"/>
  <c r="O897" i="4" s="1"/>
  <c r="K986" i="4"/>
  <c r="L986" i="4" s="1"/>
  <c r="M986" i="4" s="1"/>
  <c r="O986" i="4" s="1"/>
  <c r="K1132" i="4"/>
  <c r="L1132" i="4" s="1"/>
  <c r="M1132" i="4" s="1"/>
  <c r="O1132" i="4" s="1"/>
  <c r="K949" i="4"/>
  <c r="L949" i="4" s="1"/>
  <c r="M949" i="4" s="1"/>
  <c r="O949" i="4" s="1"/>
  <c r="K1047" i="4"/>
  <c r="L1047" i="4" s="1"/>
  <c r="M1047" i="4" s="1"/>
  <c r="O1047" i="4" s="1"/>
  <c r="K1179" i="4"/>
  <c r="L1179" i="4" s="1"/>
  <c r="M1179" i="4" s="1"/>
  <c r="O1179" i="4" s="1"/>
  <c r="K924" i="4"/>
  <c r="L924" i="4" s="1"/>
  <c r="M924" i="4" s="1"/>
  <c r="O924" i="4" s="1"/>
  <c r="K1024" i="4"/>
  <c r="L1024" i="4" s="1"/>
  <c r="M1024" i="4" s="1"/>
  <c r="O1024" i="4" s="1"/>
  <c r="K1266" i="4"/>
  <c r="L1266" i="4" s="1"/>
  <c r="M1266" i="4" s="1"/>
  <c r="O1266" i="4" s="1"/>
  <c r="K1314" i="4"/>
  <c r="L1314" i="4" s="1"/>
  <c r="M1314" i="4" s="1"/>
  <c r="O1314" i="4" s="1"/>
  <c r="K1334" i="4"/>
  <c r="L1334" i="4" s="1"/>
  <c r="M1334" i="4" s="1"/>
  <c r="O1334" i="4" s="1"/>
  <c r="K1311" i="4"/>
  <c r="L1311" i="4" s="1"/>
  <c r="M1311" i="4" s="1"/>
  <c r="O1311" i="4" s="1"/>
  <c r="K1058" i="4"/>
  <c r="L1058" i="4" s="1"/>
  <c r="M1058" i="4" s="1"/>
  <c r="O1058" i="4" s="1"/>
  <c r="K1078" i="4"/>
  <c r="L1078" i="4" s="1"/>
  <c r="M1078" i="4" s="1"/>
  <c r="O1078" i="4" s="1"/>
  <c r="K174" i="4"/>
  <c r="L174" i="4" s="1"/>
  <c r="M174" i="4" s="1"/>
  <c r="O174" i="4" s="1"/>
  <c r="K256" i="4"/>
  <c r="L256" i="4" s="1"/>
  <c r="M256" i="4" s="1"/>
  <c r="O256" i="4" s="1"/>
  <c r="K113" i="4"/>
  <c r="L113" i="4" s="1"/>
  <c r="M113" i="4" s="1"/>
  <c r="O113" i="4" s="1"/>
  <c r="K849" i="4"/>
  <c r="L849" i="4" s="1"/>
  <c r="M849" i="4" s="1"/>
  <c r="O849" i="4" s="1"/>
  <c r="K640" i="4"/>
  <c r="L640" i="4" s="1"/>
  <c r="M640" i="4" s="1"/>
  <c r="O640" i="4" s="1"/>
  <c r="K251" i="4"/>
  <c r="L251" i="4" s="1"/>
  <c r="M251" i="4" s="1"/>
  <c r="O251" i="4" s="1"/>
  <c r="K484" i="4"/>
  <c r="L484" i="4" s="1"/>
  <c r="M484" i="4" s="1"/>
  <c r="O484" i="4" s="1"/>
  <c r="K343" i="4"/>
  <c r="L343" i="4" s="1"/>
  <c r="M343" i="4" s="1"/>
  <c r="O343" i="4" s="1"/>
  <c r="K106" i="4"/>
  <c r="L106" i="4" s="1"/>
  <c r="M106" i="4" s="1"/>
  <c r="O106" i="4" s="1"/>
  <c r="K20" i="4"/>
  <c r="L20" i="4" s="1"/>
  <c r="M20" i="4" s="1"/>
  <c r="O20" i="4" s="1"/>
  <c r="K120" i="4"/>
  <c r="L120" i="4" s="1"/>
  <c r="M120" i="4" s="1"/>
  <c r="O120" i="4" s="1"/>
  <c r="K220" i="4"/>
  <c r="L220" i="4" s="1"/>
  <c r="M220" i="4" s="1"/>
  <c r="O220" i="4" s="1"/>
  <c r="K364" i="4"/>
  <c r="L364" i="4" s="1"/>
  <c r="M364" i="4" s="1"/>
  <c r="O364" i="4" s="1"/>
  <c r="K126" i="4"/>
  <c r="L126" i="4" s="1"/>
  <c r="M126" i="4" s="1"/>
  <c r="O126" i="4" s="1"/>
  <c r="K354" i="4"/>
  <c r="L354" i="4" s="1"/>
  <c r="M354" i="4" s="1"/>
  <c r="O354" i="4" s="1"/>
  <c r="K33" i="4"/>
  <c r="L33" i="4" s="1"/>
  <c r="M33" i="4" s="1"/>
  <c r="O33" i="4" s="1"/>
  <c r="K133" i="4"/>
  <c r="L133" i="4" s="1"/>
  <c r="M133" i="4" s="1"/>
  <c r="O133" i="4" s="1"/>
  <c r="K233" i="4"/>
  <c r="L233" i="4" s="1"/>
  <c r="M233" i="4" s="1"/>
  <c r="O233" i="4" s="1"/>
  <c r="K317" i="4"/>
  <c r="L317" i="4" s="1"/>
  <c r="M317" i="4" s="1"/>
  <c r="O317" i="4" s="1"/>
  <c r="K288" i="4"/>
  <c r="L288" i="4" s="1"/>
  <c r="M288" i="4" s="1"/>
  <c r="O288" i="4" s="1"/>
  <c r="K368" i="4"/>
  <c r="L368" i="4" s="1"/>
  <c r="M368" i="4" s="1"/>
  <c r="O368" i="4" s="1"/>
  <c r="K482" i="4"/>
  <c r="L482" i="4" s="1"/>
  <c r="M482" i="4" s="1"/>
  <c r="O482" i="4" s="1"/>
  <c r="K799" i="4"/>
  <c r="L799" i="4" s="1"/>
  <c r="M799" i="4" s="1"/>
  <c r="O799" i="4" s="1"/>
  <c r="K608" i="4"/>
  <c r="L608" i="4" s="1"/>
  <c r="M608" i="4" s="1"/>
  <c r="O608" i="4" s="1"/>
  <c r="K504" i="4"/>
  <c r="L504" i="4" s="1"/>
  <c r="M504" i="4" s="1"/>
  <c r="O504" i="4" s="1"/>
  <c r="K327" i="4"/>
  <c r="L327" i="4" s="1"/>
  <c r="M327" i="4" s="1"/>
  <c r="O327" i="4" s="1"/>
  <c r="K520" i="4"/>
  <c r="L520" i="4" s="1"/>
  <c r="M520" i="4" s="1"/>
  <c r="O520" i="4" s="1"/>
  <c r="K300" i="4"/>
  <c r="L300" i="4" s="1"/>
  <c r="M300" i="4" s="1"/>
  <c r="O300" i="4" s="1"/>
  <c r="K393" i="4"/>
  <c r="L393" i="4" s="1"/>
  <c r="M393" i="4" s="1"/>
  <c r="O393" i="4" s="1"/>
  <c r="K515" i="4"/>
  <c r="L515" i="4" s="1"/>
  <c r="M515" i="4" s="1"/>
  <c r="O515" i="4" s="1"/>
  <c r="K709" i="4"/>
  <c r="L709" i="4" s="1"/>
  <c r="M709" i="4" s="1"/>
  <c r="O709" i="4" s="1"/>
  <c r="K399" i="4"/>
  <c r="L399" i="4" s="1"/>
  <c r="M399" i="4" s="1"/>
  <c r="O399" i="4" s="1"/>
  <c r="K36" i="4"/>
  <c r="L36" i="4" s="1"/>
  <c r="M36" i="4" s="1"/>
  <c r="O36" i="4" s="1"/>
  <c r="K337" i="4"/>
  <c r="L337" i="4" s="1"/>
  <c r="M337" i="4" s="1"/>
  <c r="O337" i="4" s="1"/>
  <c r="K200" i="4"/>
  <c r="L200" i="4" s="1"/>
  <c r="M200" i="4" s="1"/>
  <c r="O200" i="4" s="1"/>
  <c r="K671" i="4"/>
  <c r="L671" i="4" s="1"/>
  <c r="M671" i="4" s="1"/>
  <c r="O671" i="4" s="1"/>
  <c r="K651" i="4"/>
  <c r="L651" i="4" s="1"/>
  <c r="M651" i="4" s="1"/>
  <c r="O651" i="4" s="1"/>
  <c r="K275" i="4"/>
  <c r="L275" i="4" s="1"/>
  <c r="M275" i="4" s="1"/>
  <c r="O275" i="4" s="1"/>
  <c r="K380" i="4"/>
  <c r="L380" i="4" s="1"/>
  <c r="M380" i="4" s="1"/>
  <c r="O380" i="4" s="1"/>
  <c r="K48" i="4"/>
  <c r="L48" i="4" s="1"/>
  <c r="M48" i="4" s="1"/>
  <c r="O48" i="4" s="1"/>
  <c r="K528" i="4"/>
  <c r="L528" i="4" s="1"/>
  <c r="M528" i="4" s="1"/>
  <c r="O528" i="4" s="1"/>
  <c r="K29" i="4"/>
  <c r="L29" i="4" s="1"/>
  <c r="M29" i="4" s="1"/>
  <c r="O29" i="4" s="1"/>
  <c r="K244" i="4"/>
  <c r="L244" i="4" s="1"/>
  <c r="M244" i="4" s="1"/>
  <c r="O244" i="4" s="1"/>
  <c r="K56" i="4"/>
  <c r="L56" i="4" s="1"/>
  <c r="M56" i="4" s="1"/>
  <c r="O56" i="4" s="1"/>
  <c r="K351" i="4"/>
  <c r="L351" i="4" s="1"/>
  <c r="M351" i="4" s="1"/>
  <c r="O351" i="4" s="1"/>
  <c r="K116" i="4"/>
  <c r="L116" i="4" s="1"/>
  <c r="M116" i="4" s="1"/>
  <c r="O116" i="4" s="1"/>
  <c r="K230" i="4"/>
  <c r="L230" i="4" s="1"/>
  <c r="M230" i="4" s="1"/>
  <c r="O230" i="4" s="1"/>
  <c r="K293" i="4"/>
  <c r="L293" i="4" s="1"/>
  <c r="M293" i="4" s="1"/>
  <c r="O293" i="4" s="1"/>
  <c r="K330" i="4"/>
  <c r="L330" i="4" s="1"/>
  <c r="M330" i="4" s="1"/>
  <c r="O330" i="4" s="1"/>
  <c r="K396" i="4"/>
  <c r="L396" i="4" s="1"/>
  <c r="M396" i="4" s="1"/>
  <c r="O396" i="4" s="1"/>
  <c r="K539" i="4"/>
  <c r="L539" i="4" s="1"/>
  <c r="M539" i="4" s="1"/>
  <c r="O539" i="4" s="1"/>
  <c r="K719" i="4"/>
  <c r="L719" i="4" s="1"/>
  <c r="M719" i="4" s="1"/>
  <c r="O719" i="4" s="1"/>
  <c r="K752" i="4"/>
  <c r="L752" i="4" s="1"/>
  <c r="M752" i="4" s="1"/>
  <c r="O752" i="4" s="1"/>
  <c r="K575" i="4"/>
  <c r="L575" i="4" s="1"/>
  <c r="M575" i="4" s="1"/>
  <c r="O575" i="4" s="1"/>
  <c r="K854" i="4"/>
  <c r="L854" i="4" s="1"/>
  <c r="M854" i="4" s="1"/>
  <c r="O854" i="4" s="1"/>
  <c r="K421" i="4"/>
  <c r="L421" i="4" s="1"/>
  <c r="M421" i="4" s="1"/>
  <c r="O421" i="4" s="1"/>
  <c r="K441" i="4"/>
  <c r="L441" i="4" s="1"/>
  <c r="M441" i="4" s="1"/>
  <c r="O441" i="4" s="1"/>
  <c r="K461" i="4"/>
  <c r="L461" i="4" s="1"/>
  <c r="M461" i="4" s="1"/>
  <c r="O461" i="4" s="1"/>
  <c r="K481" i="4"/>
  <c r="L481" i="4" s="1"/>
  <c r="M481" i="4" s="1"/>
  <c r="O481" i="4" s="1"/>
  <c r="K649" i="4"/>
  <c r="L649" i="4" s="1"/>
  <c r="M649" i="4" s="1"/>
  <c r="O649" i="4" s="1"/>
  <c r="K839" i="4"/>
  <c r="L839" i="4" s="1"/>
  <c r="M839" i="4" s="1"/>
  <c r="O839" i="4" s="1"/>
  <c r="K588" i="4"/>
  <c r="L588" i="4" s="1"/>
  <c r="M588" i="4" s="1"/>
  <c r="O588" i="4" s="1"/>
  <c r="K785" i="4"/>
  <c r="L785" i="4" s="1"/>
  <c r="M785" i="4" s="1"/>
  <c r="O785" i="4" s="1"/>
  <c r="K697" i="4"/>
  <c r="L697" i="4" s="1"/>
  <c r="M697" i="4" s="1"/>
  <c r="O697" i="4" s="1"/>
  <c r="K882" i="4"/>
  <c r="L882" i="4" s="1"/>
  <c r="M882" i="4" s="1"/>
  <c r="O882" i="4" s="1"/>
  <c r="K561" i="4"/>
  <c r="L561" i="4" s="1"/>
  <c r="M561" i="4" s="1"/>
  <c r="O561" i="4" s="1"/>
  <c r="K661" i="4"/>
  <c r="L661" i="4" s="1"/>
  <c r="M661" i="4" s="1"/>
  <c r="O661" i="4" s="1"/>
  <c r="K791" i="4"/>
  <c r="L791" i="4" s="1"/>
  <c r="M791" i="4" s="1"/>
  <c r="O791" i="4" s="1"/>
  <c r="K543" i="4"/>
  <c r="L543" i="4" s="1"/>
  <c r="M543" i="4" s="1"/>
  <c r="O543" i="4" s="1"/>
  <c r="K647" i="4"/>
  <c r="L647" i="4" s="1"/>
  <c r="M647" i="4" s="1"/>
  <c r="O647" i="4" s="1"/>
  <c r="K874" i="4"/>
  <c r="L874" i="4" s="1"/>
  <c r="M874" i="4" s="1"/>
  <c r="O874" i="4" s="1"/>
  <c r="K564" i="4"/>
  <c r="L564" i="4" s="1"/>
  <c r="M564" i="4" s="1"/>
  <c r="O564" i="4" s="1"/>
  <c r="K672" i="4"/>
  <c r="L672" i="4" s="1"/>
  <c r="M672" i="4" s="1"/>
  <c r="O672" i="4" s="1"/>
  <c r="K953" i="4"/>
  <c r="L953" i="4" s="1"/>
  <c r="M953" i="4" s="1"/>
  <c r="O953" i="4" s="1"/>
  <c r="K1049" i="4"/>
  <c r="L1049" i="4" s="1"/>
  <c r="M1049" i="4" s="1"/>
  <c r="O1049" i="4" s="1"/>
  <c r="K1028" i="4"/>
  <c r="L1028" i="4" s="1"/>
  <c r="M1028" i="4" s="1"/>
  <c r="O1028" i="4" s="1"/>
  <c r="K935" i="4"/>
  <c r="L935" i="4" s="1"/>
  <c r="M935" i="4" s="1"/>
  <c r="O935" i="4" s="1"/>
  <c r="K670" i="4"/>
  <c r="L670" i="4" s="1"/>
  <c r="M670" i="4" s="1"/>
  <c r="O670" i="4" s="1"/>
  <c r="K770" i="4"/>
  <c r="L770" i="4" s="1"/>
  <c r="M770" i="4" s="1"/>
  <c r="O770" i="4" s="1"/>
  <c r="K900" i="4"/>
  <c r="L900" i="4" s="1"/>
  <c r="M900" i="4" s="1"/>
  <c r="O900" i="4" s="1"/>
  <c r="K695" i="4"/>
  <c r="L695" i="4" s="1"/>
  <c r="M695" i="4" s="1"/>
  <c r="O695" i="4" s="1"/>
  <c r="K815" i="4"/>
  <c r="L815" i="4" s="1"/>
  <c r="M815" i="4" s="1"/>
  <c r="O815" i="4" s="1"/>
  <c r="K1013" i="4"/>
  <c r="L1013" i="4" s="1"/>
  <c r="M1013" i="4" s="1"/>
  <c r="O1013" i="4" s="1"/>
  <c r="K758" i="4"/>
  <c r="L758" i="4" s="1"/>
  <c r="M758" i="4" s="1"/>
  <c r="O758" i="4" s="1"/>
  <c r="K947" i="4"/>
  <c r="L947" i="4" s="1"/>
  <c r="M947" i="4" s="1"/>
  <c r="O947" i="4" s="1"/>
  <c r="K1111" i="4"/>
  <c r="L1111" i="4" s="1"/>
  <c r="M1111" i="4" s="1"/>
  <c r="O1111" i="4" s="1"/>
  <c r="K1071" i="4"/>
  <c r="L1071" i="4" s="1"/>
  <c r="M1071" i="4" s="1"/>
  <c r="O1071" i="4" s="1"/>
  <c r="K918" i="4"/>
  <c r="L918" i="4" s="1"/>
  <c r="M918" i="4" s="1"/>
  <c r="O918" i="4" s="1"/>
  <c r="K1038" i="4"/>
  <c r="L1038" i="4" s="1"/>
  <c r="M1038" i="4" s="1"/>
  <c r="O1038" i="4" s="1"/>
  <c r="K937" i="4"/>
  <c r="L937" i="4" s="1"/>
  <c r="M937" i="4" s="1"/>
  <c r="O937" i="4" s="1"/>
  <c r="K1297" i="4"/>
  <c r="L1297" i="4" s="1"/>
  <c r="M1297" i="4" s="1"/>
  <c r="O1297" i="4" s="1"/>
  <c r="K794" i="4"/>
  <c r="L794" i="4" s="1"/>
  <c r="M794" i="4" s="1"/>
  <c r="O794" i="4" s="1"/>
  <c r="K814" i="4"/>
  <c r="L814" i="4" s="1"/>
  <c r="M814" i="4" s="1"/>
  <c r="O814" i="4" s="1"/>
  <c r="K834" i="4"/>
  <c r="L834" i="4" s="1"/>
  <c r="M834" i="4" s="1"/>
  <c r="O834" i="4" s="1"/>
  <c r="K955" i="4"/>
  <c r="L955" i="4" s="1"/>
  <c r="M955" i="4" s="1"/>
  <c r="O955" i="4" s="1"/>
  <c r="K1143" i="4"/>
  <c r="L1143" i="4" s="1"/>
  <c r="M1143" i="4" s="1"/>
  <c r="O1143" i="4" s="1"/>
  <c r="K1085" i="4"/>
  <c r="L1085" i="4" s="1"/>
  <c r="M1085" i="4" s="1"/>
  <c r="O1085" i="4" s="1"/>
  <c r="K1148" i="4"/>
  <c r="L1148" i="4" s="1"/>
  <c r="M1148" i="4" s="1"/>
  <c r="O1148" i="4" s="1"/>
  <c r="K1289" i="4"/>
  <c r="L1289" i="4" s="1"/>
  <c r="M1289" i="4" s="1"/>
  <c r="O1289" i="4" s="1"/>
  <c r="K1178" i="4"/>
  <c r="L1178" i="4" s="1"/>
  <c r="M1178" i="4" s="1"/>
  <c r="O1178" i="4" s="1"/>
  <c r="K861" i="4"/>
  <c r="L861" i="4" s="1"/>
  <c r="M861" i="4" s="1"/>
  <c r="O861" i="4" s="1"/>
  <c r="K881" i="4"/>
  <c r="L881" i="4" s="1"/>
  <c r="M881" i="4" s="1"/>
  <c r="O881" i="4" s="1"/>
  <c r="K906" i="4"/>
  <c r="L906" i="4" s="1"/>
  <c r="M906" i="4" s="1"/>
  <c r="O906" i="4" s="1"/>
  <c r="K1006" i="4"/>
  <c r="L1006" i="4" s="1"/>
  <c r="M1006" i="4" s="1"/>
  <c r="O1006" i="4" s="1"/>
  <c r="K1184" i="4"/>
  <c r="L1184" i="4" s="1"/>
  <c r="M1184" i="4" s="1"/>
  <c r="O1184" i="4" s="1"/>
  <c r="K969" i="4"/>
  <c r="L969" i="4" s="1"/>
  <c r="M969" i="4" s="1"/>
  <c r="O969" i="4" s="1"/>
  <c r="K1087" i="4"/>
  <c r="L1087" i="4" s="1"/>
  <c r="M1087" i="4" s="1"/>
  <c r="O1087" i="4" s="1"/>
  <c r="K1191" i="4"/>
  <c r="L1191" i="4" s="1"/>
  <c r="M1191" i="4" s="1"/>
  <c r="O1191" i="4" s="1"/>
  <c r="K406" i="4"/>
  <c r="L406" i="4" s="1"/>
  <c r="M406" i="4" s="1"/>
  <c r="O406" i="4" s="1"/>
  <c r="K903" i="4"/>
  <c r="L903" i="4" s="1"/>
  <c r="M903" i="4" s="1"/>
  <c r="O903" i="4" s="1"/>
  <c r="K669" i="4"/>
  <c r="L669" i="4" s="1"/>
  <c r="M669" i="4" s="1"/>
  <c r="O669" i="4" s="1"/>
  <c r="K462" i="4"/>
  <c r="L462" i="4" s="1"/>
  <c r="M462" i="4" s="1"/>
  <c r="O462" i="4" s="1"/>
  <c r="K379" i="4"/>
  <c r="L379" i="4" s="1"/>
  <c r="M379" i="4" s="1"/>
  <c r="O379" i="4" s="1"/>
  <c r="K76" i="4"/>
  <c r="L76" i="4" s="1"/>
  <c r="M76" i="4" s="1"/>
  <c r="O76" i="4" s="1"/>
  <c r="K252" i="4"/>
  <c r="L252" i="4" s="1"/>
  <c r="M252" i="4" s="1"/>
  <c r="O252" i="4" s="1"/>
  <c r="K165" i="4"/>
  <c r="L165" i="4" s="1"/>
  <c r="M165" i="4" s="1"/>
  <c r="O165" i="4" s="1"/>
  <c r="K47" i="4"/>
  <c r="L47" i="4" s="1"/>
  <c r="M47" i="4" s="1"/>
  <c r="O47" i="4" s="1"/>
  <c r="K315" i="4"/>
  <c r="L315" i="4" s="1"/>
  <c r="M315" i="4" s="1"/>
  <c r="O315" i="4" s="1"/>
  <c r="K95" i="4"/>
  <c r="L95" i="4" s="1"/>
  <c r="M95" i="4" s="1"/>
  <c r="O95" i="4" s="1"/>
  <c r="K272" i="4"/>
  <c r="L272" i="4" s="1"/>
  <c r="M272" i="4" s="1"/>
  <c r="O272" i="4" s="1"/>
  <c r="K81" i="4"/>
  <c r="L81" i="4" s="1"/>
  <c r="M81" i="4" s="1"/>
  <c r="O81" i="4" s="1"/>
  <c r="K157" i="4"/>
  <c r="L157" i="4" s="1"/>
  <c r="M157" i="4" s="1"/>
  <c r="O157" i="4" s="1"/>
  <c r="K369" i="4"/>
  <c r="L369" i="4" s="1"/>
  <c r="M369" i="4" s="1"/>
  <c r="O369" i="4" s="1"/>
  <c r="K143" i="4"/>
  <c r="L143" i="4" s="1"/>
  <c r="M143" i="4" s="1"/>
  <c r="O143" i="4" s="1"/>
  <c r="K540" i="4"/>
  <c r="L540" i="4" s="1"/>
  <c r="M540" i="4" s="1"/>
  <c r="O540" i="4" s="1"/>
  <c r="K542" i="4"/>
  <c r="L542" i="4" s="1"/>
  <c r="M542" i="4" s="1"/>
  <c r="O542" i="4" s="1"/>
  <c r="K44" i="4"/>
  <c r="L44" i="4" s="1"/>
  <c r="M44" i="4" s="1"/>
  <c r="O44" i="4" s="1"/>
  <c r="K62" i="4"/>
  <c r="L62" i="4" s="1"/>
  <c r="M62" i="4" s="1"/>
  <c r="O62" i="4" s="1"/>
  <c r="K67" i="4"/>
  <c r="L67" i="4" s="1"/>
  <c r="M67" i="4" s="1"/>
  <c r="O67" i="4" s="1"/>
  <c r="K249" i="4"/>
  <c r="L249" i="4" s="1"/>
  <c r="M249" i="4" s="1"/>
  <c r="O249" i="4" s="1"/>
  <c r="K53" i="4"/>
  <c r="L53" i="4" s="1"/>
  <c r="M53" i="4" s="1"/>
  <c r="O53" i="4" s="1"/>
  <c r="K663" i="4"/>
  <c r="L663" i="4" s="1"/>
  <c r="M663" i="4" s="1"/>
  <c r="O663" i="4" s="1"/>
  <c r="K319" i="4"/>
  <c r="L319" i="4" s="1"/>
  <c r="M319" i="4" s="1"/>
  <c r="O319" i="4" s="1"/>
  <c r="K817" i="4"/>
  <c r="L817" i="4" s="1"/>
  <c r="M817" i="4" s="1"/>
  <c r="O817" i="4" s="1"/>
  <c r="K423" i="4"/>
  <c r="L423" i="4" s="1"/>
  <c r="M423" i="4" s="1"/>
  <c r="O423" i="4" s="1"/>
  <c r="K443" i="4"/>
  <c r="L443" i="4" s="1"/>
  <c r="M443" i="4" s="1"/>
  <c r="O443" i="4" s="1"/>
  <c r="K463" i="4"/>
  <c r="L463" i="4" s="1"/>
  <c r="M463" i="4" s="1"/>
  <c r="O463" i="4" s="1"/>
  <c r="K491" i="4"/>
  <c r="L491" i="4" s="1"/>
  <c r="M491" i="4" s="1"/>
  <c r="O491" i="4" s="1"/>
  <c r="K699" i="4"/>
  <c r="L699" i="4" s="1"/>
  <c r="M699" i="4" s="1"/>
  <c r="O699" i="4" s="1"/>
  <c r="K913" i="4"/>
  <c r="L913" i="4" s="1"/>
  <c r="M913" i="4" s="1"/>
  <c r="O913" i="4" s="1"/>
  <c r="K602" i="4"/>
  <c r="L602" i="4" s="1"/>
  <c r="M602" i="4" s="1"/>
  <c r="O602" i="4" s="1"/>
  <c r="K811" i="4"/>
  <c r="L811" i="4" s="1"/>
  <c r="M811" i="4" s="1"/>
  <c r="O811" i="4" s="1"/>
  <c r="K701" i="4"/>
  <c r="L701" i="4" s="1"/>
  <c r="M701" i="4" s="1"/>
  <c r="O701" i="4" s="1"/>
  <c r="K492" i="4"/>
  <c r="L492" i="4" s="1"/>
  <c r="M492" i="4" s="1"/>
  <c r="O492" i="4" s="1"/>
  <c r="K572" i="4"/>
  <c r="L572" i="4" s="1"/>
  <c r="M572" i="4" s="1"/>
  <c r="O572" i="4" s="1"/>
  <c r="K682" i="4"/>
  <c r="L682" i="4" s="1"/>
  <c r="M682" i="4" s="1"/>
  <c r="O682" i="4" s="1"/>
  <c r="K803" i="4"/>
  <c r="L803" i="4" s="1"/>
  <c r="M803" i="4" s="1"/>
  <c r="O803" i="4" s="1"/>
  <c r="K558" i="4"/>
  <c r="L558" i="4" s="1"/>
  <c r="M558" i="4" s="1"/>
  <c r="O558" i="4" s="1"/>
  <c r="K658" i="4"/>
  <c r="L658" i="4" s="1"/>
  <c r="M658" i="4" s="1"/>
  <c r="O658" i="4" s="1"/>
  <c r="K894" i="4"/>
  <c r="L894" i="4" s="1"/>
  <c r="M894" i="4" s="1"/>
  <c r="O894" i="4" s="1"/>
  <c r="K573" i="4"/>
  <c r="L573" i="4" s="1"/>
  <c r="M573" i="4" s="1"/>
  <c r="O573" i="4" s="1"/>
  <c r="K676" i="4"/>
  <c r="L676" i="4" s="1"/>
  <c r="M676" i="4" s="1"/>
  <c r="O676" i="4" s="1"/>
  <c r="K902" i="4"/>
  <c r="L902" i="4" s="1"/>
  <c r="M902" i="4" s="1"/>
  <c r="O902" i="4" s="1"/>
  <c r="K998" i="4"/>
  <c r="L998" i="4" s="1"/>
  <c r="M998" i="4" s="1"/>
  <c r="O998" i="4" s="1"/>
  <c r="K1059" i="4"/>
  <c r="L1059" i="4" s="1"/>
  <c r="M1059" i="4" s="1"/>
  <c r="O1059" i="4" s="1"/>
  <c r="K960" i="4"/>
  <c r="L960" i="4" s="1"/>
  <c r="M960" i="4" s="1"/>
  <c r="O960" i="4" s="1"/>
  <c r="K680" i="4"/>
  <c r="L680" i="4" s="1"/>
  <c r="M680" i="4" s="1"/>
  <c r="O680" i="4" s="1"/>
  <c r="K789" i="4"/>
  <c r="L789" i="4" s="1"/>
  <c r="M789" i="4" s="1"/>
  <c r="O789" i="4" s="1"/>
  <c r="K910" i="4"/>
  <c r="L910" i="4" s="1"/>
  <c r="M910" i="4" s="1"/>
  <c r="O910" i="4" s="1"/>
  <c r="K705" i="4"/>
  <c r="L705" i="4" s="1"/>
  <c r="M705" i="4" s="1"/>
  <c r="O705" i="4" s="1"/>
  <c r="K835" i="4"/>
  <c r="L835" i="4" s="1"/>
  <c r="M835" i="4" s="1"/>
  <c r="O835" i="4" s="1"/>
  <c r="K668" i="4"/>
  <c r="L668" i="4" s="1"/>
  <c r="M668" i="4" s="1"/>
  <c r="O668" i="4" s="1"/>
  <c r="K768" i="4"/>
  <c r="L768" i="4" s="1"/>
  <c r="M768" i="4" s="1"/>
  <c r="O768" i="4" s="1"/>
  <c r="K973" i="4"/>
  <c r="L973" i="4" s="1"/>
  <c r="M973" i="4" s="1"/>
  <c r="O973" i="4" s="1"/>
  <c r="K1136" i="4"/>
  <c r="L1136" i="4" s="1"/>
  <c r="M1136" i="4" s="1"/>
  <c r="O1136" i="4" s="1"/>
  <c r="K1075" i="4"/>
  <c r="L1075" i="4" s="1"/>
  <c r="M1075" i="4" s="1"/>
  <c r="O1075" i="4" s="1"/>
  <c r="K922" i="4"/>
  <c r="L922" i="4" s="1"/>
  <c r="M922" i="4" s="1"/>
  <c r="O922" i="4" s="1"/>
  <c r="K1057" i="4"/>
  <c r="L1057" i="4" s="1"/>
  <c r="M1057" i="4" s="1"/>
  <c r="O1057" i="4" s="1"/>
  <c r="K940" i="4"/>
  <c r="L940" i="4" s="1"/>
  <c r="M940" i="4" s="1"/>
  <c r="O940" i="4" s="1"/>
  <c r="K776" i="4"/>
  <c r="L776" i="4" s="1"/>
  <c r="M776" i="4" s="1"/>
  <c r="O776" i="4" s="1"/>
  <c r="K796" i="4"/>
  <c r="L796" i="4" s="1"/>
  <c r="M796" i="4" s="1"/>
  <c r="O796" i="4" s="1"/>
  <c r="K816" i="4"/>
  <c r="L816" i="4" s="1"/>
  <c r="M816" i="4" s="1"/>
  <c r="O816" i="4" s="1"/>
  <c r="K836" i="4"/>
  <c r="L836" i="4" s="1"/>
  <c r="M836" i="4" s="1"/>
  <c r="O836" i="4" s="1"/>
  <c r="K958" i="4"/>
  <c r="L958" i="4" s="1"/>
  <c r="M958" i="4" s="1"/>
  <c r="O958" i="4" s="1"/>
  <c r="K982" i="4"/>
  <c r="L982" i="4" s="1"/>
  <c r="M982" i="4" s="1"/>
  <c r="O982" i="4" s="1"/>
  <c r="K1105" i="4"/>
  <c r="L1105" i="4" s="1"/>
  <c r="M1105" i="4" s="1"/>
  <c r="O1105" i="4" s="1"/>
  <c r="K1188" i="4"/>
  <c r="L1188" i="4" s="1"/>
  <c r="M1188" i="4" s="1"/>
  <c r="O1188" i="4" s="1"/>
  <c r="K1304" i="4"/>
  <c r="L1304" i="4" s="1"/>
  <c r="M1304" i="4" s="1"/>
  <c r="O1304" i="4" s="1"/>
  <c r="K1208" i="4"/>
  <c r="L1208" i="4" s="1"/>
  <c r="M1208" i="4" s="1"/>
  <c r="O1208" i="4" s="1"/>
  <c r="K863" i="4"/>
  <c r="L863" i="4" s="1"/>
  <c r="M863" i="4" s="1"/>
  <c r="O863" i="4" s="1"/>
  <c r="K883" i="4"/>
  <c r="L883" i="4" s="1"/>
  <c r="M883" i="4" s="1"/>
  <c r="O883" i="4" s="1"/>
  <c r="K82" i="4"/>
  <c r="L82" i="4" s="1"/>
  <c r="M82" i="4" s="1"/>
  <c r="O82" i="4" s="1"/>
  <c r="K209" i="4"/>
  <c r="L209" i="4" s="1"/>
  <c r="M209" i="4" s="1"/>
  <c r="O209" i="4" s="1"/>
  <c r="K276" i="4"/>
  <c r="L276" i="4" s="1"/>
  <c r="M276" i="4" s="1"/>
  <c r="O276" i="4" s="1"/>
  <c r="K530" i="4"/>
  <c r="L530" i="4" s="1"/>
  <c r="M530" i="4" s="1"/>
  <c r="O530" i="4" s="1"/>
  <c r="K547" i="4"/>
  <c r="L547" i="4" s="1"/>
  <c r="M547" i="4" s="1"/>
  <c r="O547" i="4" s="1"/>
  <c r="K224" i="4"/>
  <c r="L224" i="4" s="1"/>
  <c r="M224" i="4" s="1"/>
  <c r="O224" i="4" s="1"/>
  <c r="K234" i="4"/>
  <c r="L234" i="4" s="1"/>
  <c r="M234" i="4" s="1"/>
  <c r="O234" i="4" s="1"/>
  <c r="K214" i="4"/>
  <c r="L214" i="4" s="1"/>
  <c r="M214" i="4" s="1"/>
  <c r="O214" i="4" s="1"/>
  <c r="K366" i="4"/>
  <c r="L366" i="4" s="1"/>
  <c r="M366" i="4" s="1"/>
  <c r="O366" i="4" s="1"/>
  <c r="K229" i="4"/>
  <c r="L229" i="4" s="1"/>
  <c r="M229" i="4" s="1"/>
  <c r="O229" i="4" s="1"/>
  <c r="K271" i="4"/>
  <c r="L271" i="4" s="1"/>
  <c r="M271" i="4" s="1"/>
  <c r="O271" i="4" s="1"/>
  <c r="K774" i="4"/>
  <c r="L774" i="4" s="1"/>
  <c r="M774" i="4" s="1"/>
  <c r="O774" i="4" s="1"/>
  <c r="K142" i="4"/>
  <c r="L142" i="4" s="1"/>
  <c r="M142" i="4" s="1"/>
  <c r="O142" i="4" s="1"/>
  <c r="K358" i="4"/>
  <c r="L358" i="4" s="1"/>
  <c r="M358" i="4" s="1"/>
  <c r="O358" i="4" s="1"/>
  <c r="K381" i="4"/>
  <c r="L381" i="4" s="1"/>
  <c r="M381" i="4" s="1"/>
  <c r="O381" i="4" s="1"/>
  <c r="K385" i="4"/>
  <c r="L385" i="4" s="1"/>
  <c r="M385" i="4" s="1"/>
  <c r="O385" i="4" s="1"/>
  <c r="K559" i="4"/>
  <c r="L559" i="4" s="1"/>
  <c r="M559" i="4" s="1"/>
  <c r="O559" i="4" s="1"/>
  <c r="K115" i="4"/>
  <c r="L115" i="4" s="1"/>
  <c r="M115" i="4" s="1"/>
  <c r="O115" i="4" s="1"/>
  <c r="K92" i="4"/>
  <c r="L92" i="4" s="1"/>
  <c r="M92" i="4" s="1"/>
  <c r="O92" i="4" s="1"/>
  <c r="K162" i="4"/>
  <c r="L162" i="4" s="1"/>
  <c r="M162" i="4" s="1"/>
  <c r="O162" i="4" s="1"/>
  <c r="K386" i="4"/>
  <c r="L386" i="4" s="1"/>
  <c r="M386" i="4" s="1"/>
  <c r="O386" i="4" s="1"/>
  <c r="K404" i="4"/>
  <c r="L404" i="4" s="1"/>
  <c r="M404" i="4" s="1"/>
  <c r="O404" i="4" s="1"/>
  <c r="K388" i="4"/>
  <c r="L388" i="4" s="1"/>
  <c r="M388" i="4" s="1"/>
  <c r="O388" i="4" s="1"/>
  <c r="K495" i="4"/>
  <c r="L495" i="4" s="1"/>
  <c r="M495" i="4" s="1"/>
  <c r="O495" i="4" s="1"/>
  <c r="K301" i="4"/>
  <c r="L301" i="4" s="1"/>
  <c r="M301" i="4" s="1"/>
  <c r="O301" i="4" s="1"/>
  <c r="K152" i="4"/>
  <c r="L152" i="4" s="1"/>
  <c r="M152" i="4" s="1"/>
  <c r="O152" i="4" s="1"/>
  <c r="K414" i="4"/>
  <c r="L414" i="4" s="1"/>
  <c r="M414" i="4" s="1"/>
  <c r="O414" i="4" s="1"/>
  <c r="K456" i="4"/>
  <c r="L456" i="4" s="1"/>
  <c r="M456" i="4" s="1"/>
  <c r="O456" i="4" s="1"/>
  <c r="K410" i="4"/>
  <c r="L410" i="4" s="1"/>
  <c r="M410" i="4" s="1"/>
  <c r="O410" i="4" s="1"/>
  <c r="K569" i="4"/>
  <c r="L569" i="4" s="1"/>
  <c r="M569" i="4" s="1"/>
  <c r="O569" i="4" s="1"/>
  <c r="K303" i="4"/>
  <c r="L303" i="4" s="1"/>
  <c r="M303" i="4" s="1"/>
  <c r="O303" i="4" s="1"/>
  <c r="K579" i="4"/>
  <c r="L579" i="4" s="1"/>
  <c r="M579" i="4" s="1"/>
  <c r="O579" i="4" s="1"/>
  <c r="K322" i="4"/>
  <c r="L322" i="4" s="1"/>
  <c r="M322" i="4" s="1"/>
  <c r="O322" i="4" s="1"/>
  <c r="K405" i="4"/>
  <c r="L405" i="4" s="1"/>
  <c r="M405" i="4" s="1"/>
  <c r="O405" i="4" s="1"/>
  <c r="K706" i="4"/>
  <c r="L706" i="4" s="1"/>
  <c r="M706" i="4" s="1"/>
  <c r="O706" i="4" s="1"/>
  <c r="K494" i="4"/>
  <c r="L494" i="4" s="1"/>
  <c r="M494" i="4" s="1"/>
  <c r="O494" i="4" s="1"/>
  <c r="K704" i="4"/>
  <c r="L704" i="4" s="1"/>
  <c r="M704" i="4" s="1"/>
  <c r="O704" i="4" s="1"/>
  <c r="K584" i="4"/>
  <c r="L584" i="4" s="1"/>
  <c r="M584" i="4" s="1"/>
  <c r="O584" i="4" s="1"/>
  <c r="K679" i="4"/>
  <c r="L679" i="4" s="1"/>
  <c r="M679" i="4" s="1"/>
  <c r="O679" i="4" s="1"/>
  <c r="K945" i="4"/>
  <c r="L945" i="4" s="1"/>
  <c r="M945" i="4" s="1"/>
  <c r="O945" i="4" s="1"/>
  <c r="K690" i="4"/>
  <c r="L690" i="4" s="1"/>
  <c r="M690" i="4" s="1"/>
  <c r="O690" i="4" s="1"/>
  <c r="K809" i="4"/>
  <c r="L809" i="4" s="1"/>
  <c r="M809" i="4" s="1"/>
  <c r="O809" i="4" s="1"/>
  <c r="K941" i="4"/>
  <c r="L941" i="4" s="1"/>
  <c r="M941" i="4" s="1"/>
  <c r="O941" i="4" s="1"/>
  <c r="K715" i="4"/>
  <c r="L715" i="4" s="1"/>
  <c r="M715" i="4" s="1"/>
  <c r="O715" i="4" s="1"/>
  <c r="K856" i="4"/>
  <c r="L856" i="4" s="1"/>
  <c r="M856" i="4" s="1"/>
  <c r="O856" i="4" s="1"/>
  <c r="K678" i="4"/>
  <c r="L678" i="4" s="1"/>
  <c r="M678" i="4" s="1"/>
  <c r="O678" i="4" s="1"/>
  <c r="K781" i="4"/>
  <c r="L781" i="4" s="1"/>
  <c r="M781" i="4" s="1"/>
  <c r="O781" i="4" s="1"/>
  <c r="K978" i="4"/>
  <c r="L978" i="4" s="1"/>
  <c r="M978" i="4" s="1"/>
  <c r="O978" i="4" s="1"/>
  <c r="K1130" i="4"/>
  <c r="L1130" i="4" s="1"/>
  <c r="M1130" i="4" s="1"/>
  <c r="O1130" i="4" s="1"/>
  <c r="K1114" i="4"/>
  <c r="L1114" i="4" s="1"/>
  <c r="M1114" i="4" s="1"/>
  <c r="O1114" i="4" s="1"/>
  <c r="K961" i="4"/>
  <c r="L961" i="4" s="1"/>
  <c r="M961" i="4" s="1"/>
  <c r="O961" i="4" s="1"/>
  <c r="K1109" i="4"/>
  <c r="L1109" i="4" s="1"/>
  <c r="M1109" i="4" s="1"/>
  <c r="O1109" i="4" s="1"/>
  <c r="K985" i="4"/>
  <c r="L985" i="4" s="1"/>
  <c r="M985" i="4" s="1"/>
  <c r="O985" i="4" s="1"/>
  <c r="K778" i="4"/>
  <c r="L778" i="4" s="1"/>
  <c r="M778" i="4" s="1"/>
  <c r="O778" i="4" s="1"/>
  <c r="K798" i="4"/>
  <c r="L798" i="4" s="1"/>
  <c r="M798" i="4" s="1"/>
  <c r="O798" i="4" s="1"/>
  <c r="K818" i="4"/>
  <c r="L818" i="4" s="1"/>
  <c r="M818" i="4" s="1"/>
  <c r="O818" i="4" s="1"/>
  <c r="K850" i="4"/>
  <c r="L850" i="4" s="1"/>
  <c r="M850" i="4" s="1"/>
  <c r="O850" i="4" s="1"/>
  <c r="K962" i="4"/>
  <c r="L962" i="4" s="1"/>
  <c r="M962" i="4" s="1"/>
  <c r="O962" i="4" s="1"/>
  <c r="K992" i="4"/>
  <c r="L992" i="4" s="1"/>
  <c r="M992" i="4" s="1"/>
  <c r="O992" i="4" s="1"/>
  <c r="K1156" i="4"/>
  <c r="L1156" i="4" s="1"/>
  <c r="M1156" i="4" s="1"/>
  <c r="O1156" i="4" s="1"/>
  <c r="K1194" i="4"/>
  <c r="L1194" i="4" s="1"/>
  <c r="M1194" i="4" s="1"/>
  <c r="O1194" i="4" s="1"/>
  <c r="K1149" i="4"/>
  <c r="L1149" i="4" s="1"/>
  <c r="M1149" i="4" s="1"/>
  <c r="O1149" i="4" s="1"/>
  <c r="K1228" i="4"/>
  <c r="L1228" i="4" s="1"/>
  <c r="M1228" i="4" s="1"/>
  <c r="O1228" i="4" s="1"/>
  <c r="K865" i="4"/>
  <c r="L865" i="4" s="1"/>
  <c r="M865" i="4" s="1"/>
  <c r="O865" i="4" s="1"/>
  <c r="K885" i="4"/>
  <c r="L885" i="4" s="1"/>
  <c r="M885" i="4" s="1"/>
  <c r="O885" i="4" s="1"/>
  <c r="K926" i="4"/>
  <c r="L926" i="4" s="1"/>
  <c r="M926" i="4" s="1"/>
  <c r="O926" i="4" s="1"/>
  <c r="K1026" i="4"/>
  <c r="L1026" i="4" s="1"/>
  <c r="M1026" i="4" s="1"/>
  <c r="O1026" i="4" s="1"/>
  <c r="K1243" i="4"/>
  <c r="L1243" i="4" s="1"/>
  <c r="M1243" i="4" s="1"/>
  <c r="O1243" i="4" s="1"/>
  <c r="K703" i="4"/>
  <c r="L703" i="4" s="1"/>
  <c r="M703" i="4" s="1"/>
  <c r="O703" i="4" s="1"/>
  <c r="K282" i="4"/>
  <c r="L282" i="4" s="1"/>
  <c r="M282" i="4" s="1"/>
  <c r="O282" i="4" s="1"/>
  <c r="K109" i="4"/>
  <c r="L109" i="4" s="1"/>
  <c r="M109" i="4" s="1"/>
  <c r="O109" i="4" s="1"/>
  <c r="K13" i="4"/>
  <c r="L13" i="4" s="1"/>
  <c r="M13" i="4" s="1"/>
  <c r="O13" i="4" s="1"/>
  <c r="K493" i="4"/>
  <c r="L493" i="4" s="1"/>
  <c r="M493" i="4" s="1"/>
  <c r="O493" i="4" s="1"/>
  <c r="K764" i="4"/>
  <c r="L764" i="4" s="1"/>
  <c r="M764" i="4" s="1"/>
  <c r="O764" i="4" s="1"/>
  <c r="K258" i="4"/>
  <c r="L258" i="4" s="1"/>
  <c r="M258" i="4" s="1"/>
  <c r="O258" i="4" s="1"/>
  <c r="K18" i="4"/>
  <c r="L18" i="4" s="1"/>
  <c r="M18" i="4" s="1"/>
  <c r="O18" i="4" s="1"/>
  <c r="K112" i="4"/>
  <c r="L112" i="4" s="1"/>
  <c r="M112" i="4" s="1"/>
  <c r="O112" i="4" s="1"/>
  <c r="K247" i="4"/>
  <c r="L247" i="4" s="1"/>
  <c r="M247" i="4" s="1"/>
  <c r="O247" i="4" s="1"/>
  <c r="K349" i="4"/>
  <c r="L349" i="4" s="1"/>
  <c r="M349" i="4" s="1"/>
  <c r="O349" i="4" s="1"/>
  <c r="K278" i="4"/>
  <c r="L278" i="4" s="1"/>
  <c r="M278" i="4" s="1"/>
  <c r="O278" i="4" s="1"/>
  <c r="K254" i="4"/>
  <c r="L254" i="4" s="1"/>
  <c r="M254" i="4" s="1"/>
  <c r="O254" i="4" s="1"/>
  <c r="K374" i="4"/>
  <c r="L374" i="4" s="1"/>
  <c r="M374" i="4" s="1"/>
  <c r="O374" i="4" s="1"/>
  <c r="K39" i="4"/>
  <c r="L39" i="4" s="1"/>
  <c r="M39" i="4" s="1"/>
  <c r="O39" i="4" s="1"/>
  <c r="K136" i="4"/>
  <c r="L136" i="4" s="1"/>
  <c r="M136" i="4" s="1"/>
  <c r="O136" i="4" s="1"/>
  <c r="K490" i="4"/>
  <c r="L490" i="4" s="1"/>
  <c r="M490" i="4" s="1"/>
  <c r="O490" i="4" s="1"/>
  <c r="K305" i="4"/>
  <c r="L305" i="4" s="1"/>
  <c r="M305" i="4" s="1"/>
  <c r="O305" i="4" s="1"/>
  <c r="K34" i="4"/>
  <c r="L34" i="4" s="1"/>
  <c r="M34" i="4" s="1"/>
  <c r="O34" i="4" s="1"/>
  <c r="K684" i="4"/>
  <c r="L684" i="4" s="1"/>
  <c r="M684" i="4" s="1"/>
  <c r="O684" i="4" s="1"/>
  <c r="K352" i="4"/>
  <c r="L352" i="4" s="1"/>
  <c r="M352" i="4" s="1"/>
  <c r="O352" i="4" s="1"/>
  <c r="K267" i="4"/>
  <c r="L267" i="4" s="1"/>
  <c r="M267" i="4" s="1"/>
  <c r="O267" i="4" s="1"/>
  <c r="K40" i="4"/>
  <c r="L40" i="4" s="1"/>
  <c r="M40" i="4" s="1"/>
  <c r="O40" i="4" s="1"/>
  <c r="K153" i="4"/>
  <c r="L153" i="4" s="1"/>
  <c r="M153" i="4" s="1"/>
  <c r="O153" i="4" s="1"/>
  <c r="K546" i="4"/>
  <c r="L546" i="4" s="1"/>
  <c r="M546" i="4" s="1"/>
  <c r="O546" i="4" s="1"/>
  <c r="K556" i="4"/>
  <c r="L556" i="4" s="1"/>
  <c r="M556" i="4" s="1"/>
  <c r="O556" i="4" s="1"/>
  <c r="K306" i="4"/>
  <c r="L306" i="4" s="1"/>
  <c r="M306" i="4" s="1"/>
  <c r="O306" i="4" s="1"/>
  <c r="K66" i="4"/>
  <c r="L66" i="4" s="1"/>
  <c r="M66" i="4" s="1"/>
  <c r="O66" i="4" s="1"/>
  <c r="K361" i="4"/>
  <c r="L361" i="4" s="1"/>
  <c r="M361" i="4" s="1"/>
  <c r="O361" i="4" s="1"/>
  <c r="K77" i="4"/>
  <c r="L77" i="4" s="1"/>
  <c r="M77" i="4" s="1"/>
  <c r="O77" i="4" s="1"/>
  <c r="K487" i="4"/>
  <c r="L487" i="4" s="1"/>
  <c r="M487" i="4" s="1"/>
  <c r="O487" i="4" s="1"/>
  <c r="K250" i="4"/>
  <c r="L250" i="4" s="1"/>
  <c r="M250" i="4" s="1"/>
  <c r="O250" i="4" s="1"/>
  <c r="K163" i="4"/>
  <c r="L163" i="4" s="1"/>
  <c r="M163" i="4" s="1"/>
  <c r="O163" i="4" s="1"/>
  <c r="K517" i="4"/>
  <c r="L517" i="4" s="1"/>
  <c r="M517" i="4" s="1"/>
  <c r="O517" i="4" s="1"/>
  <c r="K609" i="4"/>
  <c r="L609" i="4" s="1"/>
  <c r="M609" i="4" s="1"/>
  <c r="O609" i="4" s="1"/>
  <c r="K531" i="4"/>
  <c r="L531" i="4" s="1"/>
  <c r="M531" i="4" s="1"/>
  <c r="O531" i="4" s="1"/>
  <c r="K615" i="4"/>
  <c r="L615" i="4" s="1"/>
  <c r="M615" i="4" s="1"/>
  <c r="O615" i="4" s="1"/>
  <c r="K497" i="4"/>
  <c r="L497" i="4" s="1"/>
  <c r="M497" i="4" s="1"/>
  <c r="O497" i="4" s="1"/>
  <c r="K744" i="4"/>
  <c r="L744" i="4" s="1"/>
  <c r="M744" i="4" s="1"/>
  <c r="O744" i="4" s="1"/>
  <c r="K567" i="4"/>
  <c r="L567" i="4" s="1"/>
  <c r="M567" i="4" s="1"/>
  <c r="O567" i="4" s="1"/>
  <c r="K1021" i="4"/>
  <c r="L1021" i="4" s="1"/>
  <c r="M1021" i="4" s="1"/>
  <c r="O1021" i="4" s="1"/>
  <c r="K420" i="4"/>
  <c r="L420" i="4" s="1"/>
  <c r="M420" i="4" s="1"/>
  <c r="O420" i="4" s="1"/>
  <c r="K41" i="4"/>
  <c r="L41" i="4" s="1"/>
  <c r="M41" i="4" s="1"/>
  <c r="O41" i="4" s="1"/>
  <c r="K25" i="4"/>
  <c r="L25" i="4" s="1"/>
  <c r="M25" i="4" s="1"/>
  <c r="O25" i="4" s="1"/>
  <c r="K480" i="4"/>
  <c r="L480" i="4" s="1"/>
  <c r="M480" i="4" s="1"/>
  <c r="O480" i="4" s="1"/>
  <c r="K430" i="4"/>
  <c r="L430" i="4" s="1"/>
  <c r="M430" i="4" s="1"/>
  <c r="O430" i="4" s="1"/>
  <c r="K605" i="4"/>
  <c r="L605" i="4" s="1"/>
  <c r="M605" i="4" s="1"/>
  <c r="O605" i="4" s="1"/>
  <c r="K574" i="4"/>
  <c r="L574" i="4" s="1"/>
  <c r="M574" i="4" s="1"/>
  <c r="O574" i="4" s="1"/>
  <c r="K333" i="4"/>
  <c r="L333" i="4" s="1"/>
  <c r="M333" i="4" s="1"/>
  <c r="O333" i="4" s="1"/>
  <c r="K793" i="4"/>
  <c r="L793" i="4" s="1"/>
  <c r="M793" i="4" s="1"/>
  <c r="O793" i="4" s="1"/>
  <c r="K467" i="4"/>
  <c r="L467" i="4" s="1"/>
  <c r="M467" i="4" s="1"/>
  <c r="O467" i="4" s="1"/>
  <c r="K747" i="4"/>
  <c r="L747" i="4" s="1"/>
  <c r="M747" i="4" s="1"/>
  <c r="O747" i="4" s="1"/>
  <c r="K501" i="4"/>
  <c r="L501" i="4" s="1"/>
  <c r="M501" i="4" s="1"/>
  <c r="O501" i="4" s="1"/>
  <c r="K967" i="4"/>
  <c r="L967" i="4" s="1"/>
  <c r="M967" i="4" s="1"/>
  <c r="O967" i="4" s="1"/>
  <c r="K1204" i="4"/>
  <c r="L1204" i="4" s="1"/>
  <c r="M1204" i="4" s="1"/>
  <c r="O1204" i="4" s="1"/>
  <c r="K864" i="4"/>
  <c r="L864" i="4" s="1"/>
  <c r="M864" i="4" s="1"/>
  <c r="O864" i="4" s="1"/>
  <c r="K1154" i="4"/>
  <c r="L1154" i="4" s="1"/>
  <c r="M1154" i="4" s="1"/>
  <c r="O1154" i="4" s="1"/>
  <c r="K1036" i="4"/>
  <c r="L1036" i="4" s="1"/>
  <c r="M1036" i="4" s="1"/>
  <c r="O1036" i="4" s="1"/>
  <c r="K999" i="4"/>
  <c r="L999" i="4" s="1"/>
  <c r="M999" i="4" s="1"/>
  <c r="O999" i="4" s="1"/>
  <c r="K1252" i="4"/>
  <c r="L1252" i="4" s="1"/>
  <c r="M1252" i="4" s="1"/>
  <c r="O1252" i="4" s="1"/>
  <c r="K974" i="4"/>
  <c r="L974" i="4" s="1"/>
  <c r="M974" i="4" s="1"/>
  <c r="O974" i="4" s="1"/>
  <c r="K1355" i="4"/>
  <c r="L1355" i="4" s="1"/>
  <c r="M1355" i="4" s="1"/>
  <c r="O1355" i="4" s="1"/>
  <c r="K1321" i="4"/>
  <c r="L1321" i="4" s="1"/>
  <c r="M1321" i="4" s="1"/>
  <c r="O1321" i="4" s="1"/>
  <c r="K338" i="4"/>
  <c r="L338" i="4" s="1"/>
  <c r="M338" i="4" s="1"/>
  <c r="O338" i="4" s="1"/>
  <c r="K101" i="4"/>
  <c r="L101" i="4" s="1"/>
  <c r="M101" i="4" s="1"/>
  <c r="O101" i="4" s="1"/>
  <c r="K167" i="4"/>
  <c r="L167" i="4" s="1"/>
  <c r="M167" i="4" s="1"/>
  <c r="O167" i="4" s="1"/>
  <c r="K392" i="4"/>
  <c r="L392" i="4" s="1"/>
  <c r="M392" i="4" s="1"/>
  <c r="O392" i="4" s="1"/>
  <c r="K253" i="4"/>
  <c r="L253" i="4" s="1"/>
  <c r="M253" i="4" s="1"/>
  <c r="O253" i="4" s="1"/>
  <c r="K347" i="4"/>
  <c r="L347" i="4" s="1"/>
  <c r="M347" i="4" s="1"/>
  <c r="O347" i="4" s="1"/>
  <c r="K742" i="4"/>
  <c r="L742" i="4" s="1"/>
  <c r="M742" i="4" s="1"/>
  <c r="O742" i="4" s="1"/>
  <c r="K135" i="4"/>
  <c r="L135" i="4" s="1"/>
  <c r="M135" i="4" s="1"/>
  <c r="O135" i="4" s="1"/>
  <c r="K843" i="4"/>
  <c r="L843" i="4" s="1"/>
  <c r="M843" i="4" s="1"/>
  <c r="O843" i="4" s="1"/>
  <c r="K121" i="4"/>
  <c r="L121" i="4" s="1"/>
  <c r="M121" i="4" s="1"/>
  <c r="O121" i="4" s="1"/>
  <c r="K177" i="4"/>
  <c r="L177" i="4" s="1"/>
  <c r="M177" i="4" s="1"/>
  <c r="O177" i="4" s="1"/>
  <c r="K59" i="4"/>
  <c r="L59" i="4" s="1"/>
  <c r="M59" i="4" s="1"/>
  <c r="O59" i="4" s="1"/>
  <c r="K150" i="4"/>
  <c r="L150" i="4" s="1"/>
  <c r="M150" i="4" s="1"/>
  <c r="O150" i="4" s="1"/>
  <c r="K63" i="4"/>
  <c r="L63" i="4" s="1"/>
  <c r="M63" i="4" s="1"/>
  <c r="O63" i="4" s="1"/>
  <c r="K412" i="4"/>
  <c r="L412" i="4" s="1"/>
  <c r="M412" i="4" s="1"/>
  <c r="O412" i="4" s="1"/>
  <c r="K350" i="4"/>
  <c r="L350" i="4" s="1"/>
  <c r="M350" i="4" s="1"/>
  <c r="O350" i="4" s="1"/>
  <c r="K586" i="4"/>
  <c r="L586" i="4" s="1"/>
  <c r="M586" i="4" s="1"/>
  <c r="O586" i="4" s="1"/>
  <c r="K488" i="4"/>
  <c r="L488" i="4" s="1"/>
  <c r="M488" i="4" s="1"/>
  <c r="O488" i="4" s="1"/>
  <c r="K465" i="4"/>
  <c r="L465" i="4" s="1"/>
  <c r="M465" i="4" s="1"/>
  <c r="O465" i="4" s="1"/>
  <c r="K599" i="4"/>
  <c r="L599" i="4" s="1"/>
  <c r="M599" i="4" s="1"/>
  <c r="O599" i="4" s="1"/>
  <c r="K862" i="4"/>
  <c r="L862" i="4" s="1"/>
  <c r="M862" i="4" s="1"/>
  <c r="O862" i="4" s="1"/>
  <c r="K907" i="4"/>
  <c r="L907" i="4" s="1"/>
  <c r="M907" i="4" s="1"/>
  <c r="O907" i="4" s="1"/>
  <c r="K138" i="4"/>
  <c r="L138" i="4" s="1"/>
  <c r="M138" i="4" s="1"/>
  <c r="O138" i="4" s="1"/>
  <c r="K212" i="4"/>
  <c r="L212" i="4" s="1"/>
  <c r="M212" i="4" s="1"/>
  <c r="O212" i="4" s="1"/>
  <c r="K285" i="4"/>
  <c r="L285" i="4" s="1"/>
  <c r="M285" i="4" s="1"/>
  <c r="O285" i="4" s="1"/>
  <c r="K287" i="4"/>
  <c r="L287" i="4" s="1"/>
  <c r="M287" i="4" s="1"/>
  <c r="O287" i="4" s="1"/>
  <c r="K269" i="4"/>
  <c r="L269" i="4" s="1"/>
  <c r="M269" i="4" s="1"/>
  <c r="O269" i="4" s="1"/>
  <c r="K196" i="4"/>
  <c r="L196" i="4" s="1"/>
  <c r="M196" i="4" s="1"/>
  <c r="O196" i="4" s="1"/>
  <c r="K308" i="4"/>
  <c r="L308" i="4" s="1"/>
  <c r="M308" i="4" s="1"/>
  <c r="O308" i="4" s="1"/>
  <c r="K367" i="4"/>
  <c r="L367" i="4" s="1"/>
  <c r="M367" i="4" s="1"/>
  <c r="O367" i="4" s="1"/>
  <c r="K537" i="4"/>
  <c r="L537" i="4" s="1"/>
  <c r="M537" i="4" s="1"/>
  <c r="O537" i="4" s="1"/>
  <c r="K427" i="4"/>
  <c r="L427" i="4" s="1"/>
  <c r="M427" i="4" s="1"/>
  <c r="O427" i="4" s="1"/>
  <c r="K496" i="4"/>
  <c r="L496" i="4" s="1"/>
  <c r="M496" i="4" s="1"/>
  <c r="O496" i="4" s="1"/>
  <c r="K1116" i="4"/>
  <c r="L1116" i="4" s="1"/>
  <c r="M1116" i="4" s="1"/>
  <c r="O1116" i="4" s="1"/>
  <c r="K68" i="4"/>
  <c r="L68" i="4" s="1"/>
  <c r="M68" i="4" s="1"/>
  <c r="O68" i="4" s="1"/>
  <c r="K94" i="4"/>
  <c r="L94" i="4" s="1"/>
  <c r="M94" i="4" s="1"/>
  <c r="O94" i="4" s="1"/>
  <c r="K296" i="4"/>
  <c r="L296" i="4" s="1"/>
  <c r="M296" i="4" s="1"/>
  <c r="O296" i="4" s="1"/>
  <c r="K179" i="4"/>
  <c r="L179" i="4" s="1"/>
  <c r="M179" i="4" s="1"/>
  <c r="O179" i="4" s="1"/>
  <c r="K70" i="4"/>
  <c r="L70" i="4" s="1"/>
  <c r="M70" i="4" s="1"/>
  <c r="O70" i="4" s="1"/>
  <c r="K170" i="4"/>
  <c r="L170" i="4" s="1"/>
  <c r="M170" i="4" s="1"/>
  <c r="O170" i="4" s="1"/>
  <c r="K270" i="4"/>
  <c r="L270" i="4" s="1"/>
  <c r="M270" i="4" s="1"/>
  <c r="O270" i="4" s="1"/>
  <c r="K554" i="4"/>
  <c r="L554" i="4" s="1"/>
  <c r="M554" i="4" s="1"/>
  <c r="O554" i="4" s="1"/>
  <c r="K226" i="4"/>
  <c r="L226" i="4" s="1"/>
  <c r="M226" i="4" s="1"/>
  <c r="O226" i="4" s="1"/>
  <c r="K9" i="4"/>
  <c r="L9" i="4" s="1"/>
  <c r="M9" i="4" s="1"/>
  <c r="O9" i="4" s="1"/>
  <c r="K83" i="4"/>
  <c r="L83" i="4" s="1"/>
  <c r="M83" i="4" s="1"/>
  <c r="O83" i="4" s="1"/>
  <c r="K183" i="4"/>
  <c r="L183" i="4" s="1"/>
  <c r="M183" i="4" s="1"/>
  <c r="O183" i="4" s="1"/>
  <c r="K283" i="4"/>
  <c r="L283" i="4" s="1"/>
  <c r="M283" i="4" s="1"/>
  <c r="O283" i="4" s="1"/>
  <c r="K470" i="4"/>
  <c r="L470" i="4" s="1"/>
  <c r="M470" i="4" s="1"/>
  <c r="O470" i="4" s="1"/>
  <c r="K325" i="4"/>
  <c r="L325" i="4" s="1"/>
  <c r="M325" i="4" s="1"/>
  <c r="O325" i="4" s="1"/>
  <c r="K432" i="4"/>
  <c r="L432" i="4" s="1"/>
  <c r="M432" i="4" s="1"/>
  <c r="O432" i="4" s="1"/>
  <c r="K589" i="4"/>
  <c r="L589" i="4" s="1"/>
  <c r="M589" i="4" s="1"/>
  <c r="O589" i="4" s="1"/>
  <c r="K398" i="4"/>
  <c r="L398" i="4" s="1"/>
  <c r="M398" i="4" s="1"/>
  <c r="O398" i="4" s="1"/>
  <c r="K454" i="4"/>
  <c r="L454" i="4" s="1"/>
  <c r="M454" i="4" s="1"/>
  <c r="O454" i="4" s="1"/>
  <c r="K696" i="4"/>
  <c r="L696" i="4" s="1"/>
  <c r="M696" i="4" s="1"/>
  <c r="O696" i="4" s="1"/>
  <c r="K370" i="4"/>
  <c r="L370" i="4" s="1"/>
  <c r="M370" i="4" s="1"/>
  <c r="O370" i="4" s="1"/>
  <c r="K648" i="4"/>
  <c r="L648" i="4" s="1"/>
  <c r="M648" i="4" s="1"/>
  <c r="O648" i="4" s="1"/>
  <c r="K336" i="4"/>
  <c r="L336" i="4" s="1"/>
  <c r="M336" i="4" s="1"/>
  <c r="O336" i="4" s="1"/>
  <c r="K438" i="4"/>
  <c r="L438" i="4" s="1"/>
  <c r="M438" i="4" s="1"/>
  <c r="O438" i="4" s="1"/>
  <c r="K416" i="4"/>
  <c r="L416" i="4" s="1"/>
  <c r="M416" i="4" s="1"/>
  <c r="O416" i="4" s="1"/>
  <c r="K46" i="4"/>
  <c r="L46" i="4" s="1"/>
  <c r="M46" i="4" s="1"/>
  <c r="O46" i="4" s="1"/>
  <c r="K105" i="4"/>
  <c r="L105" i="4" s="1"/>
  <c r="M105" i="4" s="1"/>
  <c r="O105" i="4" s="1"/>
  <c r="K227" i="4"/>
  <c r="L227" i="4" s="1"/>
  <c r="M227" i="4" s="1"/>
  <c r="O227" i="4" s="1"/>
  <c r="K185" i="4"/>
  <c r="L185" i="4" s="1"/>
  <c r="M185" i="4" s="1"/>
  <c r="O185" i="4" s="1"/>
  <c r="K192" i="4"/>
  <c r="L192" i="4" s="1"/>
  <c r="M192" i="4" s="1"/>
  <c r="O192" i="4" s="1"/>
  <c r="K57" i="4"/>
  <c r="L57" i="4" s="1"/>
  <c r="M57" i="4" s="1"/>
  <c r="O57" i="4" s="1"/>
  <c r="K383" i="4"/>
  <c r="L383" i="4" s="1"/>
  <c r="M383" i="4" s="1"/>
  <c r="O383" i="4" s="1"/>
  <c r="K239" i="4"/>
  <c r="L239" i="4" s="1"/>
  <c r="M239" i="4" s="1"/>
  <c r="O239" i="4" s="1"/>
  <c r="K30" i="4"/>
  <c r="L30" i="4" s="1"/>
  <c r="M30" i="4" s="1"/>
  <c r="O30" i="4" s="1"/>
  <c r="K363" i="4"/>
  <c r="L363" i="4" s="1"/>
  <c r="M363" i="4" s="1"/>
  <c r="O363" i="4" s="1"/>
  <c r="K321" i="4"/>
  <c r="L321" i="4" s="1"/>
  <c r="M321" i="4" s="1"/>
  <c r="O321" i="4" s="1"/>
  <c r="K827" i="4"/>
  <c r="L827" i="4" s="1"/>
  <c r="M827" i="4" s="1"/>
  <c r="O827" i="4" s="1"/>
  <c r="K402" i="4"/>
  <c r="L402" i="4" s="1"/>
  <c r="M402" i="4" s="1"/>
  <c r="O402" i="4" s="1"/>
  <c r="K264" i="4"/>
  <c r="L264" i="4" s="1"/>
  <c r="M264" i="4" s="1"/>
  <c r="O264" i="4" s="1"/>
  <c r="K292" i="4"/>
  <c r="L292" i="4" s="1"/>
  <c r="M292" i="4" s="1"/>
  <c r="O292" i="4" s="1"/>
  <c r="K14" i="4"/>
  <c r="L14" i="4" s="1"/>
  <c r="M14" i="4" s="1"/>
  <c r="O14" i="4" s="1"/>
  <c r="K320" i="4"/>
  <c r="L320" i="4" s="1"/>
  <c r="M320" i="4" s="1"/>
  <c r="O320" i="4" s="1"/>
  <c r="K549" i="4"/>
  <c r="L549" i="4" s="1"/>
  <c r="M549" i="4" s="1"/>
  <c r="O549" i="4" s="1"/>
  <c r="K629" i="4"/>
  <c r="L629" i="4" s="1"/>
  <c r="M629" i="4" s="1"/>
  <c r="O629" i="4" s="1"/>
  <c r="K146" i="4"/>
  <c r="L146" i="4" s="1"/>
  <c r="M146" i="4" s="1"/>
  <c r="O146" i="4" s="1"/>
  <c r="K149" i="4"/>
  <c r="L149" i="4" s="1"/>
  <c r="M149" i="4" s="1"/>
  <c r="O149" i="4" s="1"/>
  <c r="K240" i="4"/>
  <c r="L240" i="4" s="1"/>
  <c r="M240" i="4" s="1"/>
  <c r="O240" i="4" s="1"/>
  <c r="K403" i="4"/>
  <c r="L403" i="4" s="1"/>
  <c r="M403" i="4" s="1"/>
  <c r="O403" i="4" s="1"/>
  <c r="K298" i="4"/>
  <c r="L298" i="4" s="1"/>
  <c r="M298" i="4" s="1"/>
  <c r="O298" i="4" s="1"/>
  <c r="K375" i="4"/>
  <c r="L375" i="4" s="1"/>
  <c r="M375" i="4" s="1"/>
  <c r="O375" i="4" s="1"/>
  <c r="K313" i="4"/>
  <c r="L313" i="4" s="1"/>
  <c r="M313" i="4" s="1"/>
  <c r="O313" i="4" s="1"/>
  <c r="K560" i="4"/>
  <c r="L560" i="4" s="1"/>
  <c r="M560" i="4" s="1"/>
  <c r="O560" i="4" s="1"/>
  <c r="K611" i="4"/>
  <c r="L611" i="4" s="1"/>
  <c r="M611" i="4" s="1"/>
  <c r="O611" i="4" s="1"/>
  <c r="K131" i="4"/>
  <c r="L131" i="4" s="1"/>
  <c r="M131" i="4" s="1"/>
  <c r="O131" i="4" s="1"/>
  <c r="K72" i="4"/>
  <c r="L72" i="4" s="1"/>
  <c r="M72" i="4" s="1"/>
  <c r="O72" i="4" s="1"/>
  <c r="K391" i="4"/>
  <c r="L391" i="4" s="1"/>
  <c r="M391" i="4" s="1"/>
  <c r="O391" i="4" s="1"/>
  <c r="K132" i="4"/>
  <c r="L132" i="4" s="1"/>
  <c r="M132" i="4" s="1"/>
  <c r="O132" i="4" s="1"/>
  <c r="K228" i="4"/>
  <c r="L228" i="4" s="1"/>
  <c r="M228" i="4" s="1"/>
  <c r="O228" i="4" s="1"/>
  <c r="K265" i="4"/>
  <c r="L265" i="4" s="1"/>
  <c r="M265" i="4" s="1"/>
  <c r="O265" i="4" s="1"/>
  <c r="K182" i="4"/>
  <c r="L182" i="4" s="1"/>
  <c r="M182" i="4" s="1"/>
  <c r="O182" i="4" s="1"/>
  <c r="K159" i="4"/>
  <c r="L159" i="4" s="1"/>
  <c r="M159" i="4" s="1"/>
  <c r="O159" i="4" s="1"/>
  <c r="K155" i="4"/>
  <c r="L155" i="4" s="1"/>
  <c r="M155" i="4" s="1"/>
  <c r="O155" i="4" s="1"/>
  <c r="K346" i="4"/>
  <c r="L346" i="4" s="1"/>
  <c r="M346" i="4" s="1"/>
  <c r="O346" i="4" s="1"/>
  <c r="K582" i="4"/>
  <c r="L582" i="4" s="1"/>
  <c r="M582" i="4" s="1"/>
  <c r="O582" i="4" s="1"/>
  <c r="K98" i="4"/>
  <c r="L98" i="4" s="1"/>
  <c r="M98" i="4" s="1"/>
  <c r="O98" i="4" s="1"/>
  <c r="K232" i="4"/>
  <c r="L232" i="4" s="1"/>
  <c r="M232" i="4" s="1"/>
  <c r="O232" i="4" s="1"/>
  <c r="K141" i="4"/>
  <c r="L141" i="4" s="1"/>
  <c r="M141" i="4" s="1"/>
  <c r="O141" i="4" s="1"/>
  <c r="K202" i="4"/>
  <c r="L202" i="4" s="1"/>
  <c r="M202" i="4" s="1"/>
  <c r="O202" i="4" s="1"/>
  <c r="K702" i="4"/>
  <c r="L702" i="4" s="1"/>
  <c r="M702" i="4" s="1"/>
  <c r="O702" i="4" s="1"/>
  <c r="K187" i="4"/>
  <c r="L187" i="4" s="1"/>
  <c r="M187" i="4" s="1"/>
  <c r="O187" i="4" s="1"/>
  <c r="K583" i="4"/>
  <c r="L583" i="4" s="1"/>
  <c r="M583" i="4" s="1"/>
  <c r="O583" i="4" s="1"/>
  <c r="K69" i="4"/>
  <c r="L69" i="4" s="1"/>
  <c r="M69" i="4" s="1"/>
  <c r="O69" i="4" s="1"/>
  <c r="K60" i="4"/>
  <c r="L60" i="4" s="1"/>
  <c r="M60" i="4" s="1"/>
  <c r="O60" i="4" s="1"/>
  <c r="K260" i="4"/>
  <c r="L260" i="4" s="1"/>
  <c r="M260" i="4" s="1"/>
  <c r="O260" i="4" s="1"/>
  <c r="K73" i="4"/>
  <c r="L73" i="4" s="1"/>
  <c r="M73" i="4" s="1"/>
  <c r="O73" i="4" s="1"/>
  <c r="K273" i="4"/>
  <c r="L273" i="4" s="1"/>
  <c r="M273" i="4" s="1"/>
  <c r="O273" i="4" s="1"/>
  <c r="K422" i="4"/>
  <c r="L422" i="4" s="1"/>
  <c r="M422" i="4" s="1"/>
  <c r="O422" i="4" s="1"/>
  <c r="K444" i="4"/>
  <c r="L444" i="4" s="1"/>
  <c r="M444" i="4" s="1"/>
  <c r="O444" i="4" s="1"/>
  <c r="K625" i="4"/>
  <c r="L625" i="4" s="1"/>
  <c r="M625" i="4" s="1"/>
  <c r="O625" i="4" s="1"/>
  <c r="K594" i="4"/>
  <c r="L594" i="4" s="1"/>
  <c r="M594" i="4" s="1"/>
  <c r="O594" i="4" s="1"/>
  <c r="K580" i="4"/>
  <c r="L580" i="4" s="1"/>
  <c r="M580" i="4" s="1"/>
  <c r="O580" i="4" s="1"/>
  <c r="K634" i="4"/>
  <c r="L634" i="4" s="1"/>
  <c r="M634" i="4" s="1"/>
  <c r="O634" i="4" s="1"/>
  <c r="K447" i="4"/>
  <c r="L447" i="4" s="1"/>
  <c r="M447" i="4" s="1"/>
  <c r="O447" i="4" s="1"/>
  <c r="K712" i="4"/>
  <c r="L712" i="4" s="1"/>
  <c r="M712" i="4" s="1"/>
  <c r="O712" i="4" s="1"/>
  <c r="K631" i="4"/>
  <c r="L631" i="4" s="1"/>
  <c r="M631" i="4" s="1"/>
  <c r="O631" i="4" s="1"/>
  <c r="K592" i="4"/>
  <c r="L592" i="4" s="1"/>
  <c r="M592" i="4" s="1"/>
  <c r="O592" i="4" s="1"/>
  <c r="K886" i="4"/>
  <c r="L886" i="4" s="1"/>
  <c r="M886" i="4" s="1"/>
  <c r="O886" i="4" s="1"/>
  <c r="K707" i="4"/>
  <c r="L707" i="4" s="1"/>
  <c r="M707" i="4" s="1"/>
  <c r="O707" i="4" s="1"/>
  <c r="K683" i="4"/>
  <c r="L683" i="4" s="1"/>
  <c r="M683" i="4" s="1"/>
  <c r="O683" i="4" s="1"/>
  <c r="K1041" i="4"/>
  <c r="L1041" i="4" s="1"/>
  <c r="M1041" i="4" s="1"/>
  <c r="O1041" i="4" s="1"/>
  <c r="K920" i="4"/>
  <c r="L920" i="4" s="1"/>
  <c r="M920" i="4" s="1"/>
  <c r="O920" i="4" s="1"/>
  <c r="K829" i="4"/>
  <c r="L829" i="4" s="1"/>
  <c r="M829" i="4" s="1"/>
  <c r="O829" i="4" s="1"/>
  <c r="K868" i="4"/>
  <c r="L868" i="4" s="1"/>
  <c r="M868" i="4" s="1"/>
  <c r="O868" i="4" s="1"/>
  <c r="K801" i="4"/>
  <c r="L801" i="4" s="1"/>
  <c r="M801" i="4" s="1"/>
  <c r="O801" i="4" s="1"/>
  <c r="K1103" i="4"/>
  <c r="L1103" i="4" s="1"/>
  <c r="M1103" i="4" s="1"/>
  <c r="O1103" i="4" s="1"/>
  <c r="K1210" i="4"/>
  <c r="L1210" i="4" s="1"/>
  <c r="M1210" i="4" s="1"/>
  <c r="O1210" i="4" s="1"/>
  <c r="K780" i="4"/>
  <c r="L780" i="4" s="1"/>
  <c r="M780" i="4" s="1"/>
  <c r="O780" i="4" s="1"/>
  <c r="K820" i="4"/>
  <c r="L820" i="4" s="1"/>
  <c r="M820" i="4" s="1"/>
  <c r="O820" i="4" s="1"/>
  <c r="K1002" i="4"/>
  <c r="L1002" i="4" s="1"/>
  <c r="M1002" i="4" s="1"/>
  <c r="O1002" i="4" s="1"/>
  <c r="K1199" i="4"/>
  <c r="L1199" i="4" s="1"/>
  <c r="M1199" i="4" s="1"/>
  <c r="O1199" i="4" s="1"/>
  <c r="K1250" i="4"/>
  <c r="L1250" i="4" s="1"/>
  <c r="M1250" i="4" s="1"/>
  <c r="O1250" i="4" s="1"/>
  <c r="K887" i="4"/>
  <c r="L887" i="4" s="1"/>
  <c r="M887" i="4" s="1"/>
  <c r="O887" i="4" s="1"/>
  <c r="K1281" i="4"/>
  <c r="L1281" i="4" s="1"/>
  <c r="M1281" i="4" s="1"/>
  <c r="O1281" i="4" s="1"/>
  <c r="K1220" i="4"/>
  <c r="L1220" i="4" s="1"/>
  <c r="M1220" i="4" s="1"/>
  <c r="O1220" i="4" s="1"/>
  <c r="K175" i="4"/>
  <c r="L175" i="4" s="1"/>
  <c r="M175" i="4" s="1"/>
  <c r="O175" i="4" s="1"/>
  <c r="K355" i="4"/>
  <c r="L355" i="4" s="1"/>
  <c r="M355" i="4" s="1"/>
  <c r="O355" i="4" s="1"/>
  <c r="K21" i="4"/>
  <c r="L21" i="4" s="1"/>
  <c r="M21" i="4" s="1"/>
  <c r="O21" i="4" s="1"/>
  <c r="K637" i="4"/>
  <c r="L637" i="4" s="1"/>
  <c r="M637" i="4" s="1"/>
  <c r="O637" i="4" s="1"/>
  <c r="K5" i="4"/>
  <c r="L5" i="4" s="1"/>
  <c r="M5" i="4" s="1"/>
  <c r="O5" i="4" s="1"/>
  <c r="K64" i="4"/>
  <c r="L64" i="4" s="1"/>
  <c r="M64" i="4" s="1"/>
  <c r="O64" i="4" s="1"/>
  <c r="K24" i="4"/>
  <c r="L24" i="4" s="1"/>
  <c r="M24" i="4" s="1"/>
  <c r="O24" i="4" s="1"/>
  <c r="K16" i="4"/>
  <c r="L16" i="4" s="1"/>
  <c r="M16" i="4" s="1"/>
  <c r="O16" i="4" s="1"/>
  <c r="K31" i="4"/>
  <c r="L31" i="4" s="1"/>
  <c r="M31" i="4" s="1"/>
  <c r="O31" i="4" s="1"/>
  <c r="K655" i="4"/>
  <c r="L655" i="4" s="1"/>
  <c r="M655" i="4" s="1"/>
  <c r="O655" i="4" s="1"/>
  <c r="K97" i="4"/>
  <c r="L97" i="4" s="1"/>
  <c r="M97" i="4" s="1"/>
  <c r="O97" i="4" s="1"/>
  <c r="K502" i="4"/>
  <c r="L502" i="4" s="1"/>
  <c r="M502" i="4" s="1"/>
  <c r="O502" i="4" s="1"/>
  <c r="K662" i="4"/>
  <c r="L662" i="4" s="1"/>
  <c r="M662" i="4" s="1"/>
  <c r="O662" i="4" s="1"/>
  <c r="K279" i="4"/>
  <c r="L279" i="4" s="1"/>
  <c r="M279" i="4" s="1"/>
  <c r="O279" i="4" s="1"/>
  <c r="K84" i="4"/>
  <c r="L84" i="4" s="1"/>
  <c r="M84" i="4" s="1"/>
  <c r="O84" i="4" s="1"/>
  <c r="K195" i="4"/>
  <c r="L195" i="4" s="1"/>
  <c r="M195" i="4" s="1"/>
  <c r="O195" i="4" s="1"/>
  <c r="K533" i="4"/>
  <c r="L533" i="4" s="1"/>
  <c r="M533" i="4" s="1"/>
  <c r="O533" i="4" s="1"/>
  <c r="K377" i="4"/>
  <c r="L377" i="4" s="1"/>
  <c r="M377" i="4" s="1"/>
  <c r="O377" i="4" s="1"/>
  <c r="K178" i="4"/>
  <c r="L178" i="4" s="1"/>
  <c r="M178" i="4" s="1"/>
  <c r="O178" i="4" s="1"/>
  <c r="K124" i="4"/>
  <c r="L124" i="4" s="1"/>
  <c r="M124" i="4" s="1"/>
  <c r="O124" i="4" s="1"/>
  <c r="K436" i="4"/>
  <c r="L436" i="4" s="1"/>
  <c r="M436" i="4" s="1"/>
  <c r="O436" i="4" s="1"/>
  <c r="K763" i="4"/>
  <c r="L763" i="4" s="1"/>
  <c r="M763" i="4" s="1"/>
  <c r="O763" i="4" s="1"/>
  <c r="K483" i="4"/>
  <c r="L483" i="4" s="1"/>
  <c r="M483" i="4" s="1"/>
  <c r="O483" i="4" s="1"/>
  <c r="K61" i="4"/>
  <c r="L61" i="4" s="1"/>
  <c r="M61" i="4" s="1"/>
  <c r="O61" i="4" s="1"/>
  <c r="K125" i="4"/>
  <c r="L125" i="4" s="1"/>
  <c r="M125" i="4" s="1"/>
  <c r="O125" i="4" s="1"/>
  <c r="K88" i="4"/>
  <c r="L88" i="4" s="1"/>
  <c r="M88" i="4" s="1"/>
  <c r="O88" i="4" s="1"/>
  <c r="K314" i="4"/>
  <c r="L314" i="4" s="1"/>
  <c r="M314" i="4" s="1"/>
  <c r="O314" i="4" s="1"/>
  <c r="K51" i="4"/>
  <c r="L51" i="4" s="1"/>
  <c r="M51" i="4" s="1"/>
  <c r="O51" i="4" s="1"/>
  <c r="K114" i="4"/>
  <c r="L114" i="4" s="1"/>
  <c r="M114" i="4" s="1"/>
  <c r="O114" i="4" s="1"/>
  <c r="K181" i="4"/>
  <c r="L181" i="4" s="1"/>
  <c r="M181" i="4" s="1"/>
  <c r="O181" i="4" s="1"/>
  <c r="K11" i="4"/>
  <c r="L11" i="4" s="1"/>
  <c r="M11" i="4" s="1"/>
  <c r="O11" i="4" s="1"/>
  <c r="K52" i="4"/>
  <c r="L52" i="4" s="1"/>
  <c r="M52" i="4" s="1"/>
  <c r="O52" i="4" s="1"/>
  <c r="K54" i="4"/>
  <c r="L54" i="4" s="1"/>
  <c r="M54" i="4" s="1"/>
  <c r="O54" i="4" s="1"/>
  <c r="K242" i="4"/>
  <c r="L242" i="4" s="1"/>
  <c r="M242" i="4" s="1"/>
  <c r="O242" i="4" s="1"/>
  <c r="K714" i="4"/>
  <c r="L714" i="4" s="1"/>
  <c r="M714" i="4" s="1"/>
  <c r="O714" i="4" s="1"/>
  <c r="K7" i="4"/>
  <c r="L7" i="4" s="1"/>
  <c r="M7" i="4" s="1"/>
  <c r="O7" i="4" s="1"/>
  <c r="K107" i="4"/>
  <c r="L107" i="4" s="1"/>
  <c r="M107" i="4" s="1"/>
  <c r="O107" i="4" s="1"/>
  <c r="K207" i="4"/>
  <c r="L207" i="4" s="1"/>
  <c r="M207" i="4" s="1"/>
  <c r="O207" i="4" s="1"/>
  <c r="K304" i="4"/>
  <c r="L304" i="4" s="1"/>
  <c r="M304" i="4" s="1"/>
  <c r="O304" i="4" s="1"/>
  <c r="K577" i="4"/>
  <c r="L577" i="4" s="1"/>
  <c r="M577" i="4" s="1"/>
  <c r="O577" i="4" s="1"/>
  <c r="K216" i="4"/>
  <c r="L216" i="4" s="1"/>
  <c r="M216" i="4" s="1"/>
  <c r="O216" i="4" s="1"/>
  <c r="K716" i="4"/>
  <c r="L716" i="4" s="1"/>
  <c r="M716" i="4" s="1"/>
  <c r="O716" i="4" s="1"/>
  <c r="K89" i="4"/>
  <c r="L89" i="4" s="1"/>
  <c r="M89" i="4" s="1"/>
  <c r="O89" i="4" s="1"/>
  <c r="K189" i="4"/>
  <c r="L189" i="4" s="1"/>
  <c r="M189" i="4" s="1"/>
  <c r="O189" i="4" s="1"/>
  <c r="K294" i="4"/>
  <c r="L294" i="4" s="1"/>
  <c r="M294" i="4" s="1"/>
  <c r="O294" i="4" s="1"/>
  <c r="K460" i="4"/>
  <c r="L460" i="4" s="1"/>
  <c r="M460" i="4" s="1"/>
  <c r="O460" i="4" s="1"/>
  <c r="K80" i="4"/>
  <c r="L80" i="4" s="1"/>
  <c r="M80" i="4" s="1"/>
  <c r="O80" i="4" s="1"/>
  <c r="K180" i="4"/>
  <c r="L180" i="4" s="1"/>
  <c r="M180" i="4" s="1"/>
  <c r="O180" i="4" s="1"/>
  <c r="K280" i="4"/>
  <c r="L280" i="4" s="1"/>
  <c r="M280" i="4" s="1"/>
  <c r="O280" i="4" s="1"/>
  <c r="K570" i="4"/>
  <c r="L570" i="4" s="1"/>
  <c r="M570" i="4" s="1"/>
  <c r="O570" i="4" s="1"/>
  <c r="K246" i="4"/>
  <c r="L246" i="4" s="1"/>
  <c r="M246" i="4" s="1"/>
  <c r="O246" i="4" s="1"/>
  <c r="K93" i="4"/>
  <c r="L93" i="4" s="1"/>
  <c r="M93" i="4" s="1"/>
  <c r="O93" i="4" s="1"/>
  <c r="K193" i="4"/>
  <c r="L193" i="4" s="1"/>
  <c r="M193" i="4" s="1"/>
  <c r="O193" i="4" s="1"/>
  <c r="K291" i="4"/>
  <c r="L291" i="4" s="1"/>
  <c r="M291" i="4" s="1"/>
  <c r="O291" i="4" s="1"/>
  <c r="K590" i="4"/>
  <c r="L590" i="4" s="1"/>
  <c r="M590" i="4" s="1"/>
  <c r="O590" i="4" s="1"/>
  <c r="K328" i="4"/>
  <c r="L328" i="4" s="1"/>
  <c r="M328" i="4" s="1"/>
  <c r="O328" i="4" s="1"/>
  <c r="K442" i="4"/>
  <c r="L442" i="4" s="1"/>
  <c r="M442" i="4" s="1"/>
  <c r="O442" i="4" s="1"/>
  <c r="K595" i="4"/>
  <c r="L595" i="4" s="1"/>
  <c r="M595" i="4" s="1"/>
  <c r="O595" i="4" s="1"/>
  <c r="K518" i="4"/>
  <c r="L518" i="4" s="1"/>
  <c r="M518" i="4" s="1"/>
  <c r="O518" i="4" s="1"/>
  <c r="K464" i="4"/>
  <c r="L464" i="4" s="1"/>
  <c r="M464" i="4" s="1"/>
  <c r="O464" i="4" s="1"/>
  <c r="K756" i="4"/>
  <c r="L756" i="4" s="1"/>
  <c r="M756" i="4" s="1"/>
  <c r="O756" i="4" s="1"/>
  <c r="K387" i="4"/>
  <c r="L387" i="4" s="1"/>
  <c r="M387" i="4" s="1"/>
  <c r="O387" i="4" s="1"/>
  <c r="K657" i="4"/>
  <c r="L657" i="4" s="1"/>
  <c r="M657" i="4" s="1"/>
  <c r="O657" i="4" s="1"/>
  <c r="K353" i="4"/>
  <c r="L353" i="4" s="1"/>
  <c r="M353" i="4" s="1"/>
  <c r="O353" i="4" s="1"/>
  <c r="K448" i="4"/>
  <c r="L448" i="4" s="1"/>
  <c r="M448" i="4" s="1"/>
  <c r="O448" i="4" s="1"/>
  <c r="K626" i="4"/>
  <c r="L626" i="4" s="1"/>
  <c r="M626" i="4" s="1"/>
  <c r="O626" i="4" s="1"/>
  <c r="K359" i="4"/>
  <c r="L359" i="4" s="1"/>
  <c r="M359" i="4" s="1"/>
  <c r="O359" i="4" s="1"/>
  <c r="K218" i="4"/>
  <c r="L218" i="4" s="1"/>
  <c r="M218" i="4" s="1"/>
  <c r="O218" i="4" s="1"/>
  <c r="K128" i="4"/>
  <c r="L128" i="4" s="1"/>
  <c r="M128" i="4" s="1"/>
  <c r="O128" i="4" s="1"/>
  <c r="K221" i="4"/>
  <c r="L221" i="4" s="1"/>
  <c r="M221" i="4" s="1"/>
  <c r="O221" i="4" s="1"/>
  <c r="K27" i="4"/>
  <c r="L27" i="4" s="1"/>
  <c r="M27" i="4" s="1"/>
  <c r="O27" i="4" s="1"/>
  <c r="K727" i="4"/>
  <c r="L727" i="4" s="1"/>
  <c r="M727" i="4" s="1"/>
  <c r="O727" i="4" s="1"/>
  <c r="K691" i="4"/>
  <c r="L691" i="4" s="1"/>
  <c r="M691" i="4" s="1"/>
  <c r="O691" i="4" s="1"/>
  <c r="K331" i="4"/>
  <c r="L331" i="4" s="1"/>
  <c r="M331" i="4" s="1"/>
  <c r="O331" i="4" s="1"/>
  <c r="K307" i="4"/>
  <c r="L307" i="4" s="1"/>
  <c r="M307" i="4" s="1"/>
  <c r="O307" i="4" s="1"/>
  <c r="K348" i="4"/>
  <c r="L348" i="4" s="1"/>
  <c r="M348" i="4" s="1"/>
  <c r="O348" i="4" s="1"/>
  <c r="K485" i="4"/>
  <c r="L485" i="4" s="1"/>
  <c r="M485" i="4" s="1"/>
  <c r="O485" i="4" s="1"/>
  <c r="K692" i="4"/>
  <c r="L692" i="4" s="1"/>
  <c r="M692" i="4" s="1"/>
  <c r="O692" i="4" s="1"/>
  <c r="K78" i="4"/>
  <c r="L78" i="4" s="1"/>
  <c r="M78" i="4" s="1"/>
  <c r="O78" i="4" s="1"/>
  <c r="K565" i="4"/>
  <c r="L565" i="4" s="1"/>
  <c r="M565" i="4" s="1"/>
  <c r="O565" i="4" s="1"/>
  <c r="K184" i="4"/>
  <c r="L184" i="4" s="1"/>
  <c r="M184" i="4" s="1"/>
  <c r="O184" i="4" s="1"/>
  <c r="K168" i="4"/>
  <c r="L168" i="4" s="1"/>
  <c r="M168" i="4" s="1"/>
  <c r="O168" i="4" s="1"/>
  <c r="K261" i="4"/>
  <c r="L261" i="4" s="1"/>
  <c r="M261" i="4" s="1"/>
  <c r="O261" i="4" s="1"/>
  <c r="K122" i="4"/>
  <c r="L122" i="4" s="1"/>
  <c r="M122" i="4" s="1"/>
  <c r="O122" i="4" s="1"/>
  <c r="K147" i="4"/>
  <c r="L147" i="4" s="1"/>
  <c r="M147" i="4" s="1"/>
  <c r="O147" i="4" s="1"/>
  <c r="K129" i="4"/>
  <c r="L129" i="4" s="1"/>
  <c r="M129" i="4" s="1"/>
  <c r="O129" i="4" s="1"/>
  <c r="K118" i="4"/>
  <c r="L118" i="4" s="1"/>
  <c r="M118" i="4" s="1"/>
  <c r="O118" i="4" s="1"/>
  <c r="K289" i="4"/>
  <c r="L289" i="4" s="1"/>
  <c r="M289" i="4" s="1"/>
  <c r="O289" i="4" s="1"/>
  <c r="K614" i="4"/>
  <c r="L614" i="4" s="1"/>
  <c r="M614" i="4" s="1"/>
  <c r="O614" i="4" s="1"/>
  <c r="K508" i="4"/>
  <c r="L508" i="4" s="1"/>
  <c r="M508" i="4" s="1"/>
  <c r="O508" i="4" s="1"/>
  <c r="K188" i="4"/>
  <c r="L188" i="4" s="1"/>
  <c r="M188" i="4" s="1"/>
  <c r="O188" i="4" s="1"/>
  <c r="K281" i="4"/>
  <c r="L281" i="4" s="1"/>
  <c r="M281" i="4" s="1"/>
  <c r="O281" i="4" s="1"/>
  <c r="K557" i="4"/>
  <c r="L557" i="4" s="1"/>
  <c r="M557" i="4" s="1"/>
  <c r="O557" i="4" s="1"/>
  <c r="K257" i="4"/>
  <c r="L257" i="4" s="1"/>
  <c r="M257" i="4" s="1"/>
  <c r="O257" i="4" s="1"/>
  <c r="K139" i="4"/>
  <c r="L139" i="4" s="1"/>
  <c r="M139" i="4" s="1"/>
  <c r="O139" i="4" s="1"/>
  <c r="K130" i="4"/>
  <c r="L130" i="4" s="1"/>
  <c r="M130" i="4" s="1"/>
  <c r="O130" i="4" s="1"/>
  <c r="K43" i="4"/>
  <c r="L43" i="4" s="1"/>
  <c r="M43" i="4" s="1"/>
  <c r="O43" i="4" s="1"/>
  <c r="K243" i="4"/>
  <c r="L243" i="4" s="1"/>
  <c r="M243" i="4" s="1"/>
  <c r="O243" i="4" s="1"/>
  <c r="K656" i="4"/>
  <c r="L656" i="4" s="1"/>
  <c r="M656" i="4" s="1"/>
  <c r="O656" i="4" s="1"/>
  <c r="K769" i="4"/>
  <c r="L769" i="4" s="1"/>
  <c r="M769" i="4" s="1"/>
  <c r="O769" i="4" s="1"/>
  <c r="K297" i="4"/>
  <c r="L297" i="4" s="1"/>
  <c r="M297" i="4" s="1"/>
  <c r="O297" i="4" s="1"/>
  <c r="K318" i="4"/>
  <c r="L318" i="4" s="1"/>
  <c r="M318" i="4" s="1"/>
  <c r="O318" i="4" s="1"/>
  <c r="K22" i="4"/>
  <c r="L22" i="4" s="1"/>
  <c r="M22" i="4" s="1"/>
  <c r="O22" i="4" s="1"/>
  <c r="K208" i="4"/>
  <c r="L208" i="4" s="1"/>
  <c r="M208" i="4" s="1"/>
  <c r="O208" i="4" s="1"/>
  <c r="K205" i="4"/>
  <c r="L205" i="4" s="1"/>
  <c r="M205" i="4" s="1"/>
  <c r="O205" i="4" s="1"/>
  <c r="K397" i="4"/>
  <c r="L397" i="4" s="1"/>
  <c r="M397" i="4" s="1"/>
  <c r="O397" i="4" s="1"/>
  <c r="K440" i="4"/>
  <c r="L440" i="4" s="1"/>
  <c r="M440" i="4" s="1"/>
  <c r="O440" i="4" s="1"/>
  <c r="K49" i="4"/>
  <c r="L49" i="4" s="1"/>
  <c r="M49" i="4" s="1"/>
  <c r="O49" i="4" s="1"/>
  <c r="K140" i="4"/>
  <c r="L140" i="4" s="1"/>
  <c r="M140" i="4" s="1"/>
  <c r="O140" i="4" s="1"/>
  <c r="K156" i="4"/>
  <c r="L156" i="4" s="1"/>
  <c r="M156" i="4" s="1"/>
  <c r="O156" i="4" s="1"/>
  <c r="K360" i="4"/>
  <c r="L360" i="4" s="1"/>
  <c r="M360" i="4" s="1"/>
  <c r="O360" i="4" s="1"/>
  <c r="K511" i="4"/>
  <c r="L511" i="4" s="1"/>
  <c r="M511" i="4" s="1"/>
  <c r="O511" i="4" s="1"/>
  <c r="K600" i="4"/>
  <c r="L600" i="4" s="1"/>
  <c r="M600" i="4" s="1"/>
  <c r="O600" i="4" s="1"/>
  <c r="K408" i="4"/>
  <c r="L408" i="4" s="1"/>
  <c r="M408" i="4" s="1"/>
  <c r="O408" i="4" s="1"/>
  <c r="K896" i="4"/>
  <c r="L896" i="4" s="1"/>
  <c r="M896" i="4" s="1"/>
  <c r="O896" i="4" s="1"/>
  <c r="K284" i="4"/>
  <c r="L284" i="4" s="1"/>
  <c r="M284" i="4" s="1"/>
  <c r="O284" i="4" s="1"/>
  <c r="K389" i="4"/>
  <c r="L389" i="4" s="1"/>
  <c r="M389" i="4" s="1"/>
  <c r="O389" i="4" s="1"/>
  <c r="K35" i="4"/>
  <c r="L35" i="4" s="1"/>
  <c r="M35" i="4" s="1"/>
  <c r="O35" i="4" s="1"/>
  <c r="K8" i="4"/>
  <c r="L8" i="4" s="1"/>
  <c r="M8" i="4" s="1"/>
  <c r="O8" i="4" s="1"/>
  <c r="K4" i="4"/>
  <c r="L4" i="4" s="1"/>
  <c r="M4" i="4" s="1"/>
  <c r="O4" i="4" s="1"/>
  <c r="K673" i="4"/>
  <c r="L673" i="4" s="1"/>
  <c r="M673" i="4" s="1"/>
  <c r="O673" i="4" s="1"/>
  <c r="K277" i="4"/>
  <c r="L277" i="4" s="1"/>
  <c r="M277" i="4" s="1"/>
  <c r="O277" i="4" s="1"/>
  <c r="K166" i="4"/>
  <c r="L166" i="4" s="1"/>
  <c r="M166" i="4" s="1"/>
  <c r="O166" i="4" s="1"/>
  <c r="K259" i="4"/>
  <c r="L259" i="4" s="1"/>
  <c r="M259" i="4" s="1"/>
  <c r="O259" i="4" s="1"/>
  <c r="K50" i="4"/>
  <c r="L50" i="4" s="1"/>
  <c r="M50" i="4" s="1"/>
  <c r="O50" i="4" s="1"/>
  <c r="K424" i="4"/>
  <c r="L424" i="4" s="1"/>
  <c r="M424" i="4" s="1"/>
  <c r="O424" i="4" s="1"/>
  <c r="K186" i="4"/>
  <c r="L186" i="4" s="1"/>
  <c r="M186" i="4" s="1"/>
  <c r="O186" i="4" s="1"/>
  <c r="K263" i="4"/>
  <c r="L263" i="4" s="1"/>
  <c r="M263" i="4" s="1"/>
  <c r="O263" i="4" s="1"/>
  <c r="K371" i="4"/>
  <c r="L371" i="4" s="1"/>
  <c r="M371" i="4" s="1"/>
  <c r="O371" i="4" s="1"/>
  <c r="K378" i="4"/>
  <c r="L378" i="4" s="1"/>
  <c r="M378" i="4" s="1"/>
  <c r="O378" i="4" s="1"/>
  <c r="K731" i="4"/>
  <c r="L731" i="4" s="1"/>
  <c r="M731" i="4" s="1"/>
  <c r="O731" i="4" s="1"/>
  <c r="K316" i="4"/>
  <c r="L316" i="4" s="1"/>
  <c r="M316" i="4" s="1"/>
  <c r="O316" i="4" s="1"/>
  <c r="K418" i="4"/>
  <c r="L418" i="4" s="1"/>
  <c r="M418" i="4" s="1"/>
  <c r="O418" i="4" s="1"/>
  <c r="K568" i="4"/>
  <c r="L568" i="4" s="1"/>
  <c r="M568" i="4" s="1"/>
  <c r="O568" i="4" s="1"/>
  <c r="K773" i="4"/>
  <c r="L773" i="4" s="1"/>
  <c r="M773" i="4" s="1"/>
  <c r="O773" i="4" s="1"/>
  <c r="K425" i="4"/>
  <c r="L425" i="4" s="1"/>
  <c r="M425" i="4" s="1"/>
  <c r="O425" i="4" s="1"/>
  <c r="K445" i="4"/>
  <c r="L445" i="4" s="1"/>
  <c r="M445" i="4" s="1"/>
  <c r="O445" i="4" s="1"/>
  <c r="K938" i="4"/>
  <c r="L938" i="4" s="1"/>
  <c r="M938" i="4" s="1"/>
  <c r="O938" i="4" s="1"/>
  <c r="K606" i="4"/>
  <c r="L606" i="4" s="1"/>
  <c r="M606" i="4" s="1"/>
  <c r="O606" i="4" s="1"/>
  <c r="K581" i="4"/>
  <c r="L581" i="4" s="1"/>
  <c r="M581" i="4" s="1"/>
  <c r="O581" i="4" s="1"/>
  <c r="K686" i="4"/>
  <c r="L686" i="4" s="1"/>
  <c r="M686" i="4" s="1"/>
  <c r="O686" i="4" s="1"/>
  <c r="K948" i="4"/>
  <c r="L948" i="4" s="1"/>
  <c r="M948" i="4" s="1"/>
  <c r="O948" i="4" s="1"/>
  <c r="K1037" i="4"/>
  <c r="L1037" i="4" s="1"/>
  <c r="M1037" i="4" s="1"/>
  <c r="O1037" i="4" s="1"/>
  <c r="K12" i="4"/>
  <c r="L12" i="4" s="1"/>
  <c r="M12" i="4" s="1"/>
  <c r="O12" i="4" s="1"/>
  <c r="K324" i="4"/>
  <c r="L324" i="4" s="1"/>
  <c r="M324" i="4" s="1"/>
  <c r="O324" i="4" s="1"/>
  <c r="K309" i="4"/>
  <c r="L309" i="4" s="1"/>
  <c r="M309" i="4" s="1"/>
  <c r="O309" i="4" s="1"/>
  <c r="K15" i="4"/>
  <c r="L15" i="4" s="1"/>
  <c r="M15" i="4" s="1"/>
  <c r="O15" i="4" s="1"/>
  <c r="K248" i="4"/>
  <c r="L248" i="4" s="1"/>
  <c r="M248" i="4" s="1"/>
  <c r="O248" i="4" s="1"/>
  <c r="K58" i="4"/>
  <c r="L58" i="4" s="1"/>
  <c r="M58" i="4" s="1"/>
  <c r="O58" i="4" s="1"/>
  <c r="K384" i="4"/>
  <c r="L384" i="4" s="1"/>
  <c r="M384" i="4" s="1"/>
  <c r="O384" i="4" s="1"/>
  <c r="K562" i="4"/>
  <c r="L562" i="4" s="1"/>
  <c r="M562" i="4" s="1"/>
  <c r="O562" i="4" s="1"/>
  <c r="K87" i="4"/>
  <c r="L87" i="4" s="1"/>
  <c r="M87" i="4" s="1"/>
  <c r="O87" i="4" s="1"/>
  <c r="K176" i="4"/>
  <c r="L176" i="4" s="1"/>
  <c r="M176" i="4" s="1"/>
  <c r="O176" i="4" s="1"/>
  <c r="K169" i="4"/>
  <c r="L169" i="4" s="1"/>
  <c r="M169" i="4" s="1"/>
  <c r="O169" i="4" s="1"/>
  <c r="K160" i="4"/>
  <c r="L160" i="4" s="1"/>
  <c r="M160" i="4" s="1"/>
  <c r="O160" i="4" s="1"/>
  <c r="K527" i="4"/>
  <c r="L527" i="4" s="1"/>
  <c r="M527" i="4" s="1"/>
  <c r="O527" i="4" s="1"/>
  <c r="K173" i="4"/>
  <c r="L173" i="4" s="1"/>
  <c r="M173" i="4" s="1"/>
  <c r="O173" i="4" s="1"/>
  <c r="K394" i="4"/>
  <c r="L394" i="4" s="1"/>
  <c r="M394" i="4" s="1"/>
  <c r="O394" i="4" s="1"/>
  <c r="K395" i="4"/>
  <c r="L395" i="4" s="1"/>
  <c r="M395" i="4" s="1"/>
  <c r="O395" i="4" s="1"/>
  <c r="K674" i="4"/>
  <c r="L674" i="4" s="1"/>
  <c r="M674" i="4" s="1"/>
  <c r="O674" i="4" s="1"/>
  <c r="K428" i="4"/>
  <c r="L428" i="4" s="1"/>
  <c r="M428" i="4" s="1"/>
  <c r="O428" i="4" s="1"/>
  <c r="K339" i="4"/>
  <c r="L339" i="4" s="1"/>
  <c r="M339" i="4" s="1"/>
  <c r="O339" i="4" s="1"/>
  <c r="K506" i="4"/>
  <c r="L506" i="4" s="1"/>
  <c r="M506" i="4" s="1"/>
  <c r="O506" i="4" s="1"/>
  <c r="K407" i="4"/>
  <c r="L407" i="4" s="1"/>
  <c r="M407" i="4" s="1"/>
  <c r="O407" i="4" s="1"/>
  <c r="K522" i="4"/>
  <c r="L522" i="4" s="1"/>
  <c r="M522" i="4" s="1"/>
  <c r="O522" i="4" s="1"/>
  <c r="K486" i="4"/>
  <c r="L486" i="4" s="1"/>
  <c r="M486" i="4" s="1"/>
  <c r="O486" i="4" s="1"/>
  <c r="K610" i="4"/>
  <c r="L610" i="4" s="1"/>
  <c r="M610" i="4" s="1"/>
  <c r="O610" i="4" s="1"/>
  <c r="K689" i="4"/>
  <c r="L689" i="4" s="1"/>
  <c r="M689" i="4" s="1"/>
  <c r="O689" i="4" s="1"/>
  <c r="K578" i="4"/>
  <c r="L578" i="4" s="1"/>
  <c r="M578" i="4" s="1"/>
  <c r="O578" i="4" s="1"/>
  <c r="K593" i="4"/>
  <c r="L593" i="4" s="1"/>
  <c r="M593" i="4" s="1"/>
  <c r="O593" i="4" s="1"/>
  <c r="K932" i="4"/>
  <c r="L932" i="4" s="1"/>
  <c r="M932" i="4" s="1"/>
  <c r="O932" i="4" s="1"/>
  <c r="K970" i="4"/>
  <c r="L970" i="4" s="1"/>
  <c r="M970" i="4" s="1"/>
  <c r="O970" i="4" s="1"/>
  <c r="K700" i="4"/>
  <c r="L700" i="4" s="1"/>
  <c r="M700" i="4" s="1"/>
  <c r="O700" i="4" s="1"/>
  <c r="K725" i="4"/>
  <c r="L725" i="4" s="1"/>
  <c r="M725" i="4" s="1"/>
  <c r="O725" i="4" s="1"/>
  <c r="K688" i="4"/>
  <c r="L688" i="4" s="1"/>
  <c r="M688" i="4" s="1"/>
  <c r="O688" i="4" s="1"/>
  <c r="K1015" i="4"/>
  <c r="L1015" i="4" s="1"/>
  <c r="M1015" i="4" s="1"/>
  <c r="O1015" i="4" s="1"/>
  <c r="K965" i="4"/>
  <c r="L965" i="4" s="1"/>
  <c r="M965" i="4" s="1"/>
  <c r="O965" i="4" s="1"/>
  <c r="K993" i="4"/>
  <c r="L993" i="4" s="1"/>
  <c r="M993" i="4" s="1"/>
  <c r="O993" i="4" s="1"/>
  <c r="K800" i="4"/>
  <c r="L800" i="4" s="1"/>
  <c r="M800" i="4" s="1"/>
  <c r="O800" i="4" s="1"/>
  <c r="K977" i="4"/>
  <c r="L977" i="4" s="1"/>
  <c r="M977" i="4" s="1"/>
  <c r="O977" i="4" s="1"/>
  <c r="K1165" i="4"/>
  <c r="L1165" i="4" s="1"/>
  <c r="M1165" i="4" s="1"/>
  <c r="O1165" i="4" s="1"/>
  <c r="K867" i="4"/>
  <c r="L867" i="4" s="1"/>
  <c r="M867" i="4" s="1"/>
  <c r="O867" i="4" s="1"/>
  <c r="K936" i="4"/>
  <c r="L936" i="4" s="1"/>
  <c r="M936" i="4" s="1"/>
  <c r="O936" i="4" s="1"/>
  <c r="K1198" i="4"/>
  <c r="L1198" i="4" s="1"/>
  <c r="M1198" i="4" s="1"/>
  <c r="O1198" i="4" s="1"/>
  <c r="K450" i="4"/>
  <c r="L450" i="4" s="1"/>
  <c r="M450" i="4" s="1"/>
  <c r="O450" i="4" s="1"/>
  <c r="K158" i="4"/>
  <c r="L158" i="4" s="1"/>
  <c r="M158" i="4" s="1"/>
  <c r="O158" i="4" s="1"/>
  <c r="K357" i="4"/>
  <c r="L357" i="4" s="1"/>
  <c r="M357" i="4" s="1"/>
  <c r="O357" i="4" s="1"/>
  <c r="K104" i="4"/>
  <c r="L104" i="4" s="1"/>
  <c r="M104" i="4" s="1"/>
  <c r="O104" i="4" s="1"/>
  <c r="K85" i="4"/>
  <c r="L85" i="4" s="1"/>
  <c r="M85" i="4" s="1"/>
  <c r="O85" i="4" s="1"/>
  <c r="K268" i="4"/>
  <c r="L268" i="4" s="1"/>
  <c r="M268" i="4" s="1"/>
  <c r="O268" i="4" s="1"/>
  <c r="K161" i="4"/>
  <c r="L161" i="4" s="1"/>
  <c r="M161" i="4" s="1"/>
  <c r="O161" i="4" s="1"/>
  <c r="K2" i="4"/>
  <c r="L2" i="4" s="1"/>
  <c r="M2" i="4" s="1"/>
  <c r="O2" i="4" s="1"/>
  <c r="K222" i="4"/>
  <c r="L222" i="4" s="1"/>
  <c r="M222" i="4" s="1"/>
  <c r="O222" i="4" s="1"/>
  <c r="K762" i="4"/>
  <c r="L762" i="4" s="1"/>
  <c r="M762" i="4" s="1"/>
  <c r="O762" i="4" s="1"/>
  <c r="K197" i="4"/>
  <c r="L197" i="4" s="1"/>
  <c r="M197" i="4" s="1"/>
  <c r="O197" i="4" s="1"/>
  <c r="K206" i="4"/>
  <c r="L206" i="4" s="1"/>
  <c r="M206" i="4" s="1"/>
  <c r="O206" i="4" s="1"/>
  <c r="K79" i="4"/>
  <c r="L79" i="4" s="1"/>
  <c r="M79" i="4" s="1"/>
  <c r="O79" i="4" s="1"/>
  <c r="K446" i="4"/>
  <c r="L446" i="4" s="1"/>
  <c r="M446" i="4" s="1"/>
  <c r="O446" i="4" s="1"/>
  <c r="K172" i="4"/>
  <c r="L172" i="4" s="1"/>
  <c r="M172" i="4" s="1"/>
  <c r="O172" i="4" s="1"/>
  <c r="K144" i="4"/>
  <c r="L144" i="4" s="1"/>
  <c r="M144" i="4" s="1"/>
  <c r="O144" i="4" s="1"/>
  <c r="K26" i="4"/>
  <c r="L26" i="4" s="1"/>
  <c r="M26" i="4" s="1"/>
  <c r="O26" i="4" s="1"/>
  <c r="K215" i="4"/>
  <c r="L215" i="4" s="1"/>
  <c r="M215" i="4" s="1"/>
  <c r="O215" i="4" s="1"/>
  <c r="K660" i="4"/>
  <c r="L660" i="4" s="1"/>
  <c r="M660" i="4" s="1"/>
  <c r="O660" i="4" s="1"/>
  <c r="K401" i="4"/>
  <c r="L401" i="4" s="1"/>
  <c r="M401" i="4" s="1"/>
  <c r="O401" i="4" s="1"/>
  <c r="K198" i="4"/>
  <c r="L198" i="4" s="1"/>
  <c r="M198" i="4" s="1"/>
  <c r="O198" i="4" s="1"/>
  <c r="K55" i="4"/>
  <c r="L55" i="4" s="1"/>
  <c r="M55" i="4" s="1"/>
  <c r="O55" i="4" s="1"/>
  <c r="K476" i="4"/>
  <c r="L476" i="4" s="1"/>
  <c r="M476" i="4" s="1"/>
  <c r="O476" i="4" s="1"/>
  <c r="K45" i="4"/>
  <c r="L45" i="4" s="1"/>
  <c r="M45" i="4" s="1"/>
  <c r="O45" i="4" s="1"/>
  <c r="K596" i="4"/>
  <c r="L596" i="4" s="1"/>
  <c r="M596" i="4" s="1"/>
  <c r="O596" i="4" s="1"/>
  <c r="K111" i="4"/>
  <c r="L111" i="4" s="1"/>
  <c r="M111" i="4" s="1"/>
  <c r="O111" i="4" s="1"/>
  <c r="K225" i="4"/>
  <c r="L225" i="4" s="1"/>
  <c r="M225" i="4" s="1"/>
  <c r="O225" i="4" s="1"/>
  <c r="K108" i="4"/>
  <c r="L108" i="4" s="1"/>
  <c r="M108" i="4" s="1"/>
  <c r="O108" i="4" s="1"/>
  <c r="K323" i="4"/>
  <c r="L323" i="4" s="1"/>
  <c r="M323" i="4" s="1"/>
  <c r="O323" i="4" s="1"/>
  <c r="K74" i="4"/>
  <c r="L74" i="4" s="1"/>
  <c r="M74" i="4" s="1"/>
  <c r="O74" i="4" s="1"/>
  <c r="K274" i="4"/>
  <c r="L274" i="4" s="1"/>
  <c r="M274" i="4" s="1"/>
  <c r="O274" i="4" s="1"/>
  <c r="K201" i="4"/>
  <c r="L201" i="4" s="1"/>
  <c r="M201" i="4" s="1"/>
  <c r="O201" i="4" s="1"/>
  <c r="K91" i="4"/>
  <c r="L91" i="4" s="1"/>
  <c r="M91" i="4" s="1"/>
  <c r="O91" i="4" s="1"/>
  <c r="K134" i="4"/>
  <c r="L134" i="4" s="1"/>
  <c r="M134" i="4" s="1"/>
  <c r="O134" i="4" s="1"/>
  <c r="K75" i="4"/>
  <c r="L75" i="4" s="1"/>
  <c r="M75" i="4" s="1"/>
  <c r="O75" i="4" s="1"/>
  <c r="K262" i="4"/>
  <c r="L262" i="4" s="1"/>
  <c r="M262" i="4" s="1"/>
  <c r="O262" i="4" s="1"/>
  <c r="K400" i="4"/>
  <c r="L400" i="4" s="1"/>
  <c r="M400" i="4" s="1"/>
  <c r="O400" i="4" s="1"/>
  <c r="K17" i="4"/>
  <c r="L17" i="4" s="1"/>
  <c r="M17" i="4" s="1"/>
  <c r="O17" i="4" s="1"/>
  <c r="K117" i="4"/>
  <c r="L117" i="4" s="1"/>
  <c r="M117" i="4" s="1"/>
  <c r="O117" i="4" s="1"/>
  <c r="K217" i="4"/>
  <c r="L217" i="4" s="1"/>
  <c r="M217" i="4" s="1"/>
  <c r="O217" i="4" s="1"/>
  <c r="K332" i="4"/>
  <c r="L332" i="4" s="1"/>
  <c r="M332" i="4" s="1"/>
  <c r="O332" i="4" s="1"/>
  <c r="K591" i="4"/>
  <c r="L591" i="4" s="1"/>
  <c r="M591" i="4" s="1"/>
  <c r="O591" i="4" s="1"/>
  <c r="K236" i="4"/>
  <c r="L236" i="4" s="1"/>
  <c r="M236" i="4" s="1"/>
  <c r="O236" i="4" s="1"/>
  <c r="K749" i="4"/>
  <c r="L749" i="4" s="1"/>
  <c r="M749" i="4" s="1"/>
  <c r="O749" i="4" s="1"/>
  <c r="K99" i="4"/>
  <c r="L99" i="4" s="1"/>
  <c r="M99" i="4" s="1"/>
  <c r="O99" i="4" s="1"/>
  <c r="K199" i="4"/>
  <c r="L199" i="4" s="1"/>
  <c r="M199" i="4" s="1"/>
  <c r="O199" i="4" s="1"/>
  <c r="K302" i="4"/>
  <c r="L302" i="4" s="1"/>
  <c r="M302" i="4" s="1"/>
  <c r="O302" i="4" s="1"/>
  <c r="K623" i="4"/>
  <c r="L623" i="4" s="1"/>
  <c r="M623" i="4" s="1"/>
  <c r="O623" i="4" s="1"/>
  <c r="K90" i="4"/>
  <c r="L90" i="4" s="1"/>
  <c r="M90" i="4" s="1"/>
  <c r="O90" i="4" s="1"/>
  <c r="K190" i="4"/>
  <c r="L190" i="4" s="1"/>
  <c r="M190" i="4" s="1"/>
  <c r="O190" i="4" s="1"/>
  <c r="K326" i="4"/>
  <c r="L326" i="4" s="1"/>
  <c r="M326" i="4" s="1"/>
  <c r="O326" i="4" s="1"/>
  <c r="K628" i="4"/>
  <c r="L628" i="4" s="1"/>
  <c r="M628" i="4" s="1"/>
  <c r="O628" i="4" s="1"/>
  <c r="K266" i="4"/>
  <c r="L266" i="4" s="1"/>
  <c r="M266" i="4" s="1"/>
  <c r="O266" i="4" s="1"/>
  <c r="K3" i="4"/>
  <c r="L3" i="4" s="1"/>
  <c r="M3" i="4" s="1"/>
  <c r="O3" i="4" s="1"/>
  <c r="K103" i="4"/>
  <c r="L103" i="4" s="1"/>
  <c r="M103" i="4" s="1"/>
  <c r="O103" i="4" s="1"/>
  <c r="K203" i="4"/>
  <c r="L203" i="4" s="1"/>
  <c r="M203" i="4" s="1"/>
  <c r="O203" i="4" s="1"/>
  <c r="K299" i="4"/>
  <c r="L299" i="4" s="1"/>
  <c r="M299" i="4" s="1"/>
  <c r="O299" i="4" s="1"/>
  <c r="K646" i="4"/>
  <c r="L646" i="4" s="1"/>
  <c r="M646" i="4" s="1"/>
  <c r="O646" i="4" s="1"/>
  <c r="K345" i="4"/>
  <c r="L345" i="4" s="1"/>
  <c r="M345" i="4" s="1"/>
  <c r="O345" i="4" s="1"/>
  <c r="K452" i="4"/>
  <c r="L452" i="4" s="1"/>
  <c r="M452" i="4" s="1"/>
  <c r="O452" i="4" s="1"/>
  <c r="K643" i="4"/>
  <c r="L643" i="4" s="1"/>
  <c r="M643" i="4" s="1"/>
  <c r="O643" i="4" s="1"/>
  <c r="K524" i="4"/>
  <c r="L524" i="4" s="1"/>
  <c r="M524" i="4" s="1"/>
  <c r="O524" i="4" s="1"/>
  <c r="K474" i="4"/>
  <c r="L474" i="4" s="1"/>
  <c r="M474" i="4" s="1"/>
  <c r="O474" i="4" s="1"/>
  <c r="K807" i="4"/>
  <c r="L807" i="4" s="1"/>
  <c r="M807" i="4" s="1"/>
  <c r="O807" i="4" s="1"/>
  <c r="K390" i="4"/>
  <c r="L390" i="4" s="1"/>
  <c r="M390" i="4" s="1"/>
  <c r="O390" i="4" s="1"/>
  <c r="K767" i="4"/>
  <c r="L767" i="4" s="1"/>
  <c r="M767" i="4" s="1"/>
  <c r="O767" i="4" s="1"/>
  <c r="K356" i="4"/>
  <c r="L356" i="4" s="1"/>
  <c r="M356" i="4" s="1"/>
  <c r="O356" i="4" s="1"/>
  <c r="K458" i="4"/>
  <c r="L458" i="4" s="1"/>
  <c r="M458" i="4" s="1"/>
  <c r="O458" i="4" s="1"/>
  <c r="K642" i="4"/>
  <c r="L642" i="4" s="1"/>
  <c r="M642" i="4" s="1"/>
  <c r="O642" i="4" s="1"/>
  <c r="K362" i="4"/>
  <c r="L362" i="4" s="1"/>
  <c r="M362" i="4" s="1"/>
  <c r="O362" i="4" s="1"/>
  <c r="K1098" i="4"/>
  <c r="L1098" i="4" s="1"/>
  <c r="M1098" i="4" s="1"/>
  <c r="O1098" i="4" s="1"/>
  <c r="K1159" i="4"/>
  <c r="L1159" i="4" s="1"/>
  <c r="M1159" i="4" s="1"/>
  <c r="O1159" i="4" s="1"/>
  <c r="K1367" i="4"/>
  <c r="L1367" i="4" s="1"/>
  <c r="M1367" i="4" s="1"/>
  <c r="O1367" i="4" s="1"/>
  <c r="K1330" i="4"/>
  <c r="L1330" i="4" s="1"/>
  <c r="M1330" i="4" s="1"/>
  <c r="O1330" i="4" s="1"/>
  <c r="K1186" i="4"/>
  <c r="L1186" i="4" s="1"/>
  <c r="M1186" i="4" s="1"/>
  <c r="O1186" i="4" s="1"/>
  <c r="K1368" i="4"/>
  <c r="L1368" i="4" s="1"/>
  <c r="M1368" i="4" s="1"/>
  <c r="O1368" i="4" s="1"/>
  <c r="K1232" i="4"/>
  <c r="L1232" i="4" s="1"/>
  <c r="M1232" i="4" s="1"/>
  <c r="O1232" i="4" s="1"/>
  <c r="K1384" i="4"/>
  <c r="L1384" i="4" s="1"/>
  <c r="M1384" i="4" s="1"/>
  <c r="O1384" i="4" s="1"/>
  <c r="K1197" i="4"/>
  <c r="L1197" i="4" s="1"/>
  <c r="M1197" i="4" s="1"/>
  <c r="O1197" i="4" s="1"/>
  <c r="K1324" i="4"/>
  <c r="L1324" i="4" s="1"/>
  <c r="M1324" i="4" s="1"/>
  <c r="O1324" i="4" s="1"/>
  <c r="K1133" i="4"/>
  <c r="L1133" i="4" s="1"/>
  <c r="M1133" i="4" s="1"/>
  <c r="O1133" i="4" s="1"/>
  <c r="K1306" i="4"/>
  <c r="L1306" i="4" s="1"/>
  <c r="M1306" i="4" s="1"/>
  <c r="O1306" i="4" s="1"/>
  <c r="K1375" i="4"/>
  <c r="L1375" i="4" s="1"/>
  <c r="M1375" i="4" s="1"/>
  <c r="O1375" i="4" s="1"/>
  <c r="K1255" i="4"/>
  <c r="L1255" i="4" s="1"/>
  <c r="M1255" i="4" s="1"/>
  <c r="O1255" i="4" s="1"/>
  <c r="K1354" i="4"/>
  <c r="L1354" i="4" s="1"/>
  <c r="M1354" i="4" s="1"/>
  <c r="O1354" i="4" s="1"/>
  <c r="K1394" i="4"/>
  <c r="L1394" i="4" s="1"/>
  <c r="M1394" i="4" s="1"/>
  <c r="O1394" i="4" s="1"/>
  <c r="K1229" i="4"/>
  <c r="L1229" i="4" s="1"/>
  <c r="M1229" i="4" s="1"/>
  <c r="O1229" i="4" s="1"/>
  <c r="K1315" i="4"/>
  <c r="L1315" i="4" s="1"/>
  <c r="M1315" i="4" s="1"/>
  <c r="O1315" i="4" s="1"/>
  <c r="K1288" i="4"/>
  <c r="L1288" i="4" s="1"/>
  <c r="M1288" i="4" s="1"/>
  <c r="O1288" i="4" s="1"/>
  <c r="K529" i="4"/>
  <c r="L529" i="4" s="1"/>
  <c r="M529" i="4" s="1"/>
  <c r="O529" i="4" s="1"/>
  <c r="K713" i="4"/>
  <c r="L713" i="4" s="1"/>
  <c r="M713" i="4" s="1"/>
  <c r="O713" i="4" s="1"/>
  <c r="K746" i="4"/>
  <c r="L746" i="4" s="1"/>
  <c r="M746" i="4" s="1"/>
  <c r="O746" i="4" s="1"/>
  <c r="K563" i="4"/>
  <c r="L563" i="4" s="1"/>
  <c r="M563" i="4" s="1"/>
  <c r="O563" i="4" s="1"/>
  <c r="K823" i="4"/>
  <c r="L823" i="4" s="1"/>
  <c r="M823" i="4" s="1"/>
  <c r="O823" i="4" s="1"/>
  <c r="K419" i="4"/>
  <c r="L419" i="4" s="1"/>
  <c r="M419" i="4" s="1"/>
  <c r="O419" i="4" s="1"/>
  <c r="K439" i="4"/>
  <c r="L439" i="4" s="1"/>
  <c r="M439" i="4" s="1"/>
  <c r="O439" i="4" s="1"/>
  <c r="K459" i="4"/>
  <c r="L459" i="4" s="1"/>
  <c r="M459" i="4" s="1"/>
  <c r="O459" i="4" s="1"/>
  <c r="K479" i="4"/>
  <c r="L479" i="4" s="1"/>
  <c r="M479" i="4" s="1"/>
  <c r="O479" i="4" s="1"/>
  <c r="K645" i="4"/>
  <c r="L645" i="4" s="1"/>
  <c r="M645" i="4" s="1"/>
  <c r="O645" i="4" s="1"/>
  <c r="K831" i="4"/>
  <c r="L831" i="4" s="1"/>
  <c r="M831" i="4" s="1"/>
  <c r="O831" i="4" s="1"/>
  <c r="K576" i="4"/>
  <c r="L576" i="4" s="1"/>
  <c r="M576" i="4" s="1"/>
  <c r="O576" i="4" s="1"/>
  <c r="K771" i="4"/>
  <c r="L771" i="4" s="1"/>
  <c r="M771" i="4" s="1"/>
  <c r="O771" i="4" s="1"/>
  <c r="K694" i="4"/>
  <c r="L694" i="4" s="1"/>
  <c r="M694" i="4" s="1"/>
  <c r="O694" i="4" s="1"/>
  <c r="K870" i="4"/>
  <c r="L870" i="4" s="1"/>
  <c r="M870" i="4" s="1"/>
  <c r="O870" i="4" s="1"/>
  <c r="K552" i="4"/>
  <c r="L552" i="4" s="1"/>
  <c r="M552" i="4" s="1"/>
  <c r="O552" i="4" s="1"/>
  <c r="K652" i="4"/>
  <c r="L652" i="4" s="1"/>
  <c r="M652" i="4" s="1"/>
  <c r="O652" i="4" s="1"/>
  <c r="K779" i="4"/>
  <c r="L779" i="4" s="1"/>
  <c r="M779" i="4" s="1"/>
  <c r="O779" i="4" s="1"/>
  <c r="K534" i="4"/>
  <c r="L534" i="4" s="1"/>
  <c r="M534" i="4" s="1"/>
  <c r="O534" i="4" s="1"/>
  <c r="K638" i="4"/>
  <c r="L638" i="4" s="1"/>
  <c r="M638" i="4" s="1"/>
  <c r="O638" i="4" s="1"/>
  <c r="K846" i="4"/>
  <c r="L846" i="4" s="1"/>
  <c r="M846" i="4" s="1"/>
  <c r="O846" i="4" s="1"/>
  <c r="K553" i="4"/>
  <c r="L553" i="4" s="1"/>
  <c r="M553" i="4" s="1"/>
  <c r="O553" i="4" s="1"/>
  <c r="K653" i="4"/>
  <c r="L653" i="4" s="1"/>
  <c r="M653" i="4" s="1"/>
  <c r="O653" i="4" s="1"/>
  <c r="K833" i="4"/>
  <c r="L833" i="4" s="1"/>
  <c r="M833" i="4" s="1"/>
  <c r="O833" i="4" s="1"/>
  <c r="K991" i="4"/>
  <c r="L991" i="4" s="1"/>
  <c r="M991" i="4" s="1"/>
  <c r="O991" i="4" s="1"/>
  <c r="K1023" i="4"/>
  <c r="L1023" i="4" s="1"/>
  <c r="M1023" i="4" s="1"/>
  <c r="O1023" i="4" s="1"/>
  <c r="K930" i="4"/>
  <c r="L930" i="4" s="1"/>
  <c r="M930" i="4" s="1"/>
  <c r="O930" i="4" s="1"/>
  <c r="K1069" i="4"/>
  <c r="L1069" i="4" s="1"/>
  <c r="M1069" i="4" s="1"/>
  <c r="O1069" i="4" s="1"/>
  <c r="K760" i="4"/>
  <c r="L760" i="4" s="1"/>
  <c r="M760" i="4" s="1"/>
  <c r="O760" i="4" s="1"/>
  <c r="K888" i="4"/>
  <c r="L888" i="4" s="1"/>
  <c r="M888" i="4" s="1"/>
  <c r="O888" i="4" s="1"/>
  <c r="K685" i="4"/>
  <c r="L685" i="4" s="1"/>
  <c r="M685" i="4" s="1"/>
  <c r="O685" i="4" s="1"/>
  <c r="K795" i="4"/>
  <c r="L795" i="4" s="1"/>
  <c r="M795" i="4" s="1"/>
  <c r="O795" i="4" s="1"/>
  <c r="K990" i="4"/>
  <c r="L990" i="4" s="1"/>
  <c r="M990" i="4" s="1"/>
  <c r="O990" i="4" s="1"/>
  <c r="K748" i="4"/>
  <c r="L748" i="4" s="1"/>
  <c r="M748" i="4" s="1"/>
  <c r="O748" i="4" s="1"/>
  <c r="K942" i="4"/>
  <c r="L942" i="4" s="1"/>
  <c r="M942" i="4" s="1"/>
  <c r="O942" i="4" s="1"/>
  <c r="K1063" i="4"/>
  <c r="L1063" i="4" s="1"/>
  <c r="M1063" i="4" s="1"/>
  <c r="O1063" i="4" s="1"/>
  <c r="K1152" i="4"/>
  <c r="L1152" i="4" s="1"/>
  <c r="M1152" i="4" s="1"/>
  <c r="O1152" i="4" s="1"/>
  <c r="K915" i="4"/>
  <c r="L915" i="4" s="1"/>
  <c r="M915" i="4" s="1"/>
  <c r="O915" i="4" s="1"/>
  <c r="K1030" i="4"/>
  <c r="L1030" i="4" s="1"/>
  <c r="M1030" i="4" s="1"/>
  <c r="O1030" i="4" s="1"/>
  <c r="K933" i="4"/>
  <c r="L933" i="4" s="1"/>
  <c r="M933" i="4" s="1"/>
  <c r="O933" i="4" s="1"/>
  <c r="K1115" i="4"/>
  <c r="L1115" i="4" s="1"/>
  <c r="M1115" i="4" s="1"/>
  <c r="O1115" i="4" s="1"/>
  <c r="K792" i="4"/>
  <c r="L792" i="4" s="1"/>
  <c r="M792" i="4" s="1"/>
  <c r="O792" i="4" s="1"/>
  <c r="K812" i="4"/>
  <c r="L812" i="4" s="1"/>
  <c r="M812" i="4" s="1"/>
  <c r="O812" i="4" s="1"/>
  <c r="K832" i="4"/>
  <c r="L832" i="4" s="1"/>
  <c r="M832" i="4" s="1"/>
  <c r="O832" i="4" s="1"/>
  <c r="K951" i="4"/>
  <c r="L951" i="4" s="1"/>
  <c r="M951" i="4" s="1"/>
  <c r="O951" i="4" s="1"/>
  <c r="K1129" i="4"/>
  <c r="L1129" i="4" s="1"/>
  <c r="M1129" i="4" s="1"/>
  <c r="O1129" i="4" s="1"/>
  <c r="K1065" i="4"/>
  <c r="L1065" i="4" s="1"/>
  <c r="M1065" i="4" s="1"/>
  <c r="O1065" i="4" s="1"/>
  <c r="K1247" i="4"/>
  <c r="L1247" i="4" s="1"/>
  <c r="M1247" i="4" s="1"/>
  <c r="O1247" i="4" s="1"/>
  <c r="K1206" i="4"/>
  <c r="L1206" i="4" s="1"/>
  <c r="M1206" i="4" s="1"/>
  <c r="O1206" i="4" s="1"/>
  <c r="K1145" i="4"/>
  <c r="L1145" i="4" s="1"/>
  <c r="M1145" i="4" s="1"/>
  <c r="O1145" i="4" s="1"/>
  <c r="K859" i="4"/>
  <c r="L859" i="4" s="1"/>
  <c r="M859" i="4" s="1"/>
  <c r="O859" i="4" s="1"/>
  <c r="K879" i="4"/>
  <c r="L879" i="4" s="1"/>
  <c r="M879" i="4" s="1"/>
  <c r="O879" i="4" s="1"/>
  <c r="K899" i="4"/>
  <c r="L899" i="4" s="1"/>
  <c r="M899" i="4" s="1"/>
  <c r="O899" i="4" s="1"/>
  <c r="K996" i="4"/>
  <c r="L996" i="4" s="1"/>
  <c r="M996" i="4" s="1"/>
  <c r="O996" i="4" s="1"/>
  <c r="K1141" i="4"/>
  <c r="L1141" i="4" s="1"/>
  <c r="M1141" i="4" s="1"/>
  <c r="O1141" i="4" s="1"/>
  <c r="K959" i="4"/>
  <c r="L959" i="4" s="1"/>
  <c r="M959" i="4" s="1"/>
  <c r="O959" i="4" s="1"/>
  <c r="K1067" i="4"/>
  <c r="L1067" i="4" s="1"/>
  <c r="M1067" i="4" s="1"/>
  <c r="O1067" i="4" s="1"/>
  <c r="K1185" i="4"/>
  <c r="L1185" i="4" s="1"/>
  <c r="M1185" i="4" s="1"/>
  <c r="O1185" i="4" s="1"/>
  <c r="K934" i="4"/>
  <c r="L934" i="4" s="1"/>
  <c r="M934" i="4" s="1"/>
  <c r="O934" i="4" s="1"/>
  <c r="K1034" i="4"/>
  <c r="L1034" i="4" s="1"/>
  <c r="M1034" i="4" s="1"/>
  <c r="O1034" i="4" s="1"/>
  <c r="K1170" i="4"/>
  <c r="L1170" i="4" s="1"/>
  <c r="M1170" i="4" s="1"/>
  <c r="O1170" i="4" s="1"/>
  <c r="K1361" i="4"/>
  <c r="L1361" i="4" s="1"/>
  <c r="M1361" i="4" s="1"/>
  <c r="O1361" i="4" s="1"/>
  <c r="K1347" i="4"/>
  <c r="L1347" i="4" s="1"/>
  <c r="M1347" i="4" s="1"/>
  <c r="O1347" i="4" s="1"/>
  <c r="K1327" i="4"/>
  <c r="L1327" i="4" s="1"/>
  <c r="M1327" i="4" s="1"/>
  <c r="O1327" i="4" s="1"/>
  <c r="K1060" i="4"/>
  <c r="L1060" i="4" s="1"/>
  <c r="M1060" i="4" s="1"/>
  <c r="O1060" i="4" s="1"/>
  <c r="K1080" i="4"/>
  <c r="L1080" i="4" s="1"/>
  <c r="M1080" i="4" s="1"/>
  <c r="O1080" i="4" s="1"/>
  <c r="K1100" i="4"/>
  <c r="L1100" i="4" s="1"/>
  <c r="M1100" i="4" s="1"/>
  <c r="O1100" i="4" s="1"/>
  <c r="K1169" i="4"/>
  <c r="L1169" i="4" s="1"/>
  <c r="M1169" i="4" s="1"/>
  <c r="O1169" i="4" s="1"/>
  <c r="K1388" i="4"/>
  <c r="L1388" i="4" s="1"/>
  <c r="M1388" i="4" s="1"/>
  <c r="O1388" i="4" s="1"/>
  <c r="K1335" i="4"/>
  <c r="L1335" i="4" s="1"/>
  <c r="M1335" i="4" s="1"/>
  <c r="O1335" i="4" s="1"/>
  <c r="K1190" i="4"/>
  <c r="L1190" i="4" s="1"/>
  <c r="M1190" i="4" s="1"/>
  <c r="O1190" i="4" s="1"/>
  <c r="K1389" i="4"/>
  <c r="L1389" i="4" s="1"/>
  <c r="M1389" i="4" s="1"/>
  <c r="O1389" i="4" s="1"/>
  <c r="K1257" i="4"/>
  <c r="L1257" i="4" s="1"/>
  <c r="M1257" i="4" s="1"/>
  <c r="O1257" i="4" s="1"/>
  <c r="K1124" i="4"/>
  <c r="L1124" i="4" s="1"/>
  <c r="M1124" i="4" s="1"/>
  <c r="O1124" i="4" s="1"/>
  <c r="K1202" i="4"/>
  <c r="L1202" i="4" s="1"/>
  <c r="M1202" i="4" s="1"/>
  <c r="O1202" i="4" s="1"/>
  <c r="K1328" i="4"/>
  <c r="L1328" i="4" s="1"/>
  <c r="M1328" i="4" s="1"/>
  <c r="O1328" i="4" s="1"/>
  <c r="K1142" i="4"/>
  <c r="L1142" i="4" s="1"/>
  <c r="M1142" i="4" s="1"/>
  <c r="O1142" i="4" s="1"/>
  <c r="K1309" i="4"/>
  <c r="L1309" i="4" s="1"/>
  <c r="M1309" i="4" s="1"/>
  <c r="O1309" i="4" s="1"/>
  <c r="K1379" i="4"/>
  <c r="L1379" i="4" s="1"/>
  <c r="M1379" i="4" s="1"/>
  <c r="O1379" i="4" s="1"/>
  <c r="K1264" i="4"/>
  <c r="L1264" i="4" s="1"/>
  <c r="M1264" i="4" s="1"/>
  <c r="O1264" i="4" s="1"/>
  <c r="K1358" i="4"/>
  <c r="L1358" i="4" s="1"/>
  <c r="M1358" i="4" s="1"/>
  <c r="O1358" i="4" s="1"/>
  <c r="K1211" i="4"/>
  <c r="L1211" i="4" s="1"/>
  <c r="M1211" i="4" s="1"/>
  <c r="O1211" i="4" s="1"/>
  <c r="K1231" i="4"/>
  <c r="L1231" i="4" s="1"/>
  <c r="M1231" i="4" s="1"/>
  <c r="O1231" i="4" s="1"/>
  <c r="K1326" i="4"/>
  <c r="L1326" i="4" s="1"/>
  <c r="M1326" i="4" s="1"/>
  <c r="O1326" i="4" s="1"/>
  <c r="K1298" i="4"/>
  <c r="L1298" i="4" s="1"/>
  <c r="M1298" i="4" s="1"/>
  <c r="O1298" i="4" s="1"/>
  <c r="K944" i="4"/>
  <c r="L944" i="4" s="1"/>
  <c r="M944" i="4" s="1"/>
  <c r="O944" i="4" s="1"/>
  <c r="K1053" i="4"/>
  <c r="L1053" i="4" s="1"/>
  <c r="M1053" i="4" s="1"/>
  <c r="O1053" i="4" s="1"/>
  <c r="K1180" i="4"/>
  <c r="L1180" i="4" s="1"/>
  <c r="M1180" i="4" s="1"/>
  <c r="O1180" i="4" s="1"/>
  <c r="K1380" i="4"/>
  <c r="L1380" i="4" s="1"/>
  <c r="M1380" i="4" s="1"/>
  <c r="O1380" i="4" s="1"/>
  <c r="K1356" i="4"/>
  <c r="L1356" i="4" s="1"/>
  <c r="M1356" i="4" s="1"/>
  <c r="O1356" i="4" s="1"/>
  <c r="K1349" i="4"/>
  <c r="L1349" i="4" s="1"/>
  <c r="M1349" i="4" s="1"/>
  <c r="O1349" i="4" s="1"/>
  <c r="K1062" i="4"/>
  <c r="L1062" i="4" s="1"/>
  <c r="M1062" i="4" s="1"/>
  <c r="O1062" i="4" s="1"/>
  <c r="K1082" i="4"/>
  <c r="L1082" i="4" s="1"/>
  <c r="M1082" i="4" s="1"/>
  <c r="O1082" i="4" s="1"/>
  <c r="K1102" i="4"/>
  <c r="L1102" i="4" s="1"/>
  <c r="M1102" i="4" s="1"/>
  <c r="O1102" i="4" s="1"/>
  <c r="K1172" i="4"/>
  <c r="L1172" i="4" s="1"/>
  <c r="M1172" i="4" s="1"/>
  <c r="O1172" i="4" s="1"/>
  <c r="K1147" i="4"/>
  <c r="L1147" i="4" s="1"/>
  <c r="M1147" i="4" s="1"/>
  <c r="O1147" i="4" s="1"/>
  <c r="K1351" i="4"/>
  <c r="L1351" i="4" s="1"/>
  <c r="M1351" i="4" s="1"/>
  <c r="O1351" i="4" s="1"/>
  <c r="K1254" i="4"/>
  <c r="L1254" i="4" s="1"/>
  <c r="M1254" i="4" s="1"/>
  <c r="O1254" i="4" s="1"/>
  <c r="K1392" i="4"/>
  <c r="L1392" i="4" s="1"/>
  <c r="M1392" i="4" s="1"/>
  <c r="O1392" i="4" s="1"/>
  <c r="K1267" i="4"/>
  <c r="L1267" i="4" s="1"/>
  <c r="M1267" i="4" s="1"/>
  <c r="O1267" i="4" s="1"/>
  <c r="K1135" i="4"/>
  <c r="L1135" i="4" s="1"/>
  <c r="M1135" i="4" s="1"/>
  <c r="O1135" i="4" s="1"/>
  <c r="K1207" i="4"/>
  <c r="L1207" i="4" s="1"/>
  <c r="M1207" i="4" s="1"/>
  <c r="O1207" i="4" s="1"/>
  <c r="K1333" i="4"/>
  <c r="L1333" i="4" s="1"/>
  <c r="M1333" i="4" s="1"/>
  <c r="O1333" i="4" s="1"/>
  <c r="K1153" i="4"/>
  <c r="L1153" i="4" s="1"/>
  <c r="M1153" i="4" s="1"/>
  <c r="O1153" i="4" s="1"/>
  <c r="K1313" i="4"/>
  <c r="L1313" i="4" s="1"/>
  <c r="M1313" i="4" s="1"/>
  <c r="O1313" i="4" s="1"/>
  <c r="K1383" i="4"/>
  <c r="L1383" i="4" s="1"/>
  <c r="M1383" i="4" s="1"/>
  <c r="O1383" i="4" s="1"/>
  <c r="K1275" i="4"/>
  <c r="L1275" i="4" s="1"/>
  <c r="M1275" i="4" s="1"/>
  <c r="O1275" i="4" s="1"/>
  <c r="K1362" i="4"/>
  <c r="L1362" i="4" s="1"/>
  <c r="M1362" i="4" s="1"/>
  <c r="O1362" i="4" s="1"/>
  <c r="K1213" i="4"/>
  <c r="L1213" i="4" s="1"/>
  <c r="M1213" i="4" s="1"/>
  <c r="O1213" i="4" s="1"/>
  <c r="K1233" i="4"/>
  <c r="L1233" i="4" s="1"/>
  <c r="M1233" i="4" s="1"/>
  <c r="O1233" i="4" s="1"/>
  <c r="K1329" i="4"/>
  <c r="L1329" i="4" s="1"/>
  <c r="M1329" i="4" s="1"/>
  <c r="O1329" i="4" s="1"/>
  <c r="K1308" i="4"/>
  <c r="L1308" i="4" s="1"/>
  <c r="M1308" i="4" s="1"/>
  <c r="O1308" i="4" s="1"/>
  <c r="K916" i="4"/>
  <c r="L916" i="4" s="1"/>
  <c r="M916" i="4" s="1"/>
  <c r="O916" i="4" s="1"/>
  <c r="K1016" i="4"/>
  <c r="L1016" i="4" s="1"/>
  <c r="M1016" i="4" s="1"/>
  <c r="O1016" i="4" s="1"/>
  <c r="K1214" i="4"/>
  <c r="L1214" i="4" s="1"/>
  <c r="M1214" i="4" s="1"/>
  <c r="O1214" i="4" s="1"/>
  <c r="K979" i="4"/>
  <c r="L979" i="4" s="1"/>
  <c r="M979" i="4" s="1"/>
  <c r="O979" i="4" s="1"/>
  <c r="K1107" i="4"/>
  <c r="L1107" i="4" s="1"/>
  <c r="M1107" i="4" s="1"/>
  <c r="O1107" i="4" s="1"/>
  <c r="K1216" i="4"/>
  <c r="L1216" i="4" s="1"/>
  <c r="M1216" i="4" s="1"/>
  <c r="O1216" i="4" s="1"/>
  <c r="K954" i="4"/>
  <c r="L954" i="4" s="1"/>
  <c r="M954" i="4" s="1"/>
  <c r="O954" i="4" s="1"/>
  <c r="K1073" i="4"/>
  <c r="L1073" i="4" s="1"/>
  <c r="M1073" i="4" s="1"/>
  <c r="O1073" i="4" s="1"/>
  <c r="K1201" i="4"/>
  <c r="L1201" i="4" s="1"/>
  <c r="M1201" i="4" s="1"/>
  <c r="O1201" i="4" s="1"/>
  <c r="K1331" i="4"/>
  <c r="L1331" i="4" s="1"/>
  <c r="M1331" i="4" s="1"/>
  <c r="O1331" i="4" s="1"/>
  <c r="K1381" i="4"/>
  <c r="L1381" i="4" s="1"/>
  <c r="M1381" i="4" s="1"/>
  <c r="O1381" i="4" s="1"/>
  <c r="K1044" i="4"/>
  <c r="L1044" i="4" s="1"/>
  <c r="M1044" i="4" s="1"/>
  <c r="O1044" i="4" s="1"/>
  <c r="K1064" i="4"/>
  <c r="L1064" i="4" s="1"/>
  <c r="M1064" i="4" s="1"/>
  <c r="O1064" i="4" s="1"/>
  <c r="K1084" i="4"/>
  <c r="L1084" i="4" s="1"/>
  <c r="M1084" i="4" s="1"/>
  <c r="O1084" i="4" s="1"/>
  <c r="K1104" i="4"/>
  <c r="L1104" i="4" s="1"/>
  <c r="M1104" i="4" s="1"/>
  <c r="O1104" i="4" s="1"/>
  <c r="K1196" i="4"/>
  <c r="L1196" i="4" s="1"/>
  <c r="M1196" i="4" s="1"/>
  <c r="O1196" i="4" s="1"/>
  <c r="K1150" i="4"/>
  <c r="L1150" i="4" s="1"/>
  <c r="M1150" i="4" s="1"/>
  <c r="O1150" i="4" s="1"/>
  <c r="K1376" i="4"/>
  <c r="L1376" i="4" s="1"/>
  <c r="M1376" i="4" s="1"/>
  <c r="O1376" i="4" s="1"/>
  <c r="K1263" i="4"/>
  <c r="L1263" i="4" s="1"/>
  <c r="M1263" i="4" s="1"/>
  <c r="O1263" i="4" s="1"/>
  <c r="K1126" i="4"/>
  <c r="L1126" i="4" s="1"/>
  <c r="M1126" i="4" s="1"/>
  <c r="O1126" i="4" s="1"/>
  <c r="K1270" i="4"/>
  <c r="L1270" i="4" s="1"/>
  <c r="M1270" i="4" s="1"/>
  <c r="O1270" i="4" s="1"/>
  <c r="K1144" i="4"/>
  <c r="L1144" i="4" s="1"/>
  <c r="M1144" i="4" s="1"/>
  <c r="O1144" i="4" s="1"/>
  <c r="K1218" i="4"/>
  <c r="L1218" i="4" s="1"/>
  <c r="M1218" i="4" s="1"/>
  <c r="O1218" i="4" s="1"/>
  <c r="K1342" i="4"/>
  <c r="L1342" i="4" s="1"/>
  <c r="M1342" i="4" s="1"/>
  <c r="O1342" i="4" s="1"/>
  <c r="K1162" i="4"/>
  <c r="L1162" i="4" s="1"/>
  <c r="M1162" i="4" s="1"/>
  <c r="O1162" i="4" s="1"/>
  <c r="K1338" i="4"/>
  <c r="L1338" i="4" s="1"/>
  <c r="M1338" i="4" s="1"/>
  <c r="O1338" i="4" s="1"/>
  <c r="K1387" i="4"/>
  <c r="L1387" i="4" s="1"/>
  <c r="M1387" i="4" s="1"/>
  <c r="O1387" i="4" s="1"/>
  <c r="K1280" i="4"/>
  <c r="L1280" i="4" s="1"/>
  <c r="M1280" i="4" s="1"/>
  <c r="O1280" i="4" s="1"/>
  <c r="K1366" i="4"/>
  <c r="L1366" i="4" s="1"/>
  <c r="M1366" i="4" s="1"/>
  <c r="O1366" i="4" s="1"/>
  <c r="K1215" i="4"/>
  <c r="L1215" i="4" s="1"/>
  <c r="M1215" i="4" s="1"/>
  <c r="O1215" i="4" s="1"/>
  <c r="K1242" i="4"/>
  <c r="L1242" i="4" s="1"/>
  <c r="M1242" i="4" s="1"/>
  <c r="O1242" i="4" s="1"/>
  <c r="K1336" i="4"/>
  <c r="L1336" i="4" s="1"/>
  <c r="M1336" i="4" s="1"/>
  <c r="O1336" i="4" s="1"/>
  <c r="K1318" i="4"/>
  <c r="L1318" i="4" s="1"/>
  <c r="M1318" i="4" s="1"/>
  <c r="O1318" i="4" s="1"/>
  <c r="K989" i="4"/>
  <c r="L989" i="4" s="1"/>
  <c r="M989" i="4" s="1"/>
  <c r="O989" i="4" s="1"/>
  <c r="K1113" i="4"/>
  <c r="L1113" i="4" s="1"/>
  <c r="M1113" i="4" s="1"/>
  <c r="O1113" i="4" s="1"/>
  <c r="K1222" i="4"/>
  <c r="L1222" i="4" s="1"/>
  <c r="M1222" i="4" s="1"/>
  <c r="O1222" i="4" s="1"/>
  <c r="K964" i="4"/>
  <c r="L964" i="4" s="1"/>
  <c r="M964" i="4" s="1"/>
  <c r="O964" i="4" s="1"/>
  <c r="K1093" i="4"/>
  <c r="L1093" i="4" s="1"/>
  <c r="M1093" i="4" s="1"/>
  <c r="O1093" i="4" s="1"/>
  <c r="K1205" i="4"/>
  <c r="L1205" i="4" s="1"/>
  <c r="M1205" i="4" s="1"/>
  <c r="O1205" i="4" s="1"/>
  <c r="K1345" i="4"/>
  <c r="L1345" i="4" s="1"/>
  <c r="M1345" i="4" s="1"/>
  <c r="O1345" i="4" s="1"/>
  <c r="K1296" i="4"/>
  <c r="L1296" i="4" s="1"/>
  <c r="M1296" i="4" s="1"/>
  <c r="O1296" i="4" s="1"/>
  <c r="K1046" i="4"/>
  <c r="L1046" i="4" s="1"/>
  <c r="M1046" i="4" s="1"/>
  <c r="O1046" i="4" s="1"/>
  <c r="K1066" i="4"/>
  <c r="L1066" i="4" s="1"/>
  <c r="M1066" i="4" s="1"/>
  <c r="O1066" i="4" s="1"/>
  <c r="K1086" i="4"/>
  <c r="L1086" i="4" s="1"/>
  <c r="M1086" i="4" s="1"/>
  <c r="O1086" i="4" s="1"/>
  <c r="K1106" i="4"/>
  <c r="L1106" i="4" s="1"/>
  <c r="M1106" i="4" s="1"/>
  <c r="O1106" i="4" s="1"/>
  <c r="K1200" i="4"/>
  <c r="L1200" i="4" s="1"/>
  <c r="M1200" i="4" s="1"/>
  <c r="O1200" i="4" s="1"/>
  <c r="K1160" i="4"/>
  <c r="L1160" i="4" s="1"/>
  <c r="M1160" i="4" s="1"/>
  <c r="O1160" i="4" s="1"/>
  <c r="K1117" i="4"/>
  <c r="L1117" i="4" s="1"/>
  <c r="M1117" i="4" s="1"/>
  <c r="O1117" i="4" s="1"/>
  <c r="K1268" i="4"/>
  <c r="L1268" i="4" s="1"/>
  <c r="M1268" i="4" s="1"/>
  <c r="O1268" i="4" s="1"/>
  <c r="K1137" i="4"/>
  <c r="L1137" i="4" s="1"/>
  <c r="M1137" i="4" s="1"/>
  <c r="O1137" i="4" s="1"/>
  <c r="K1312" i="4"/>
  <c r="L1312" i="4" s="1"/>
  <c r="M1312" i="4" s="1"/>
  <c r="O1312" i="4" s="1"/>
  <c r="K1155" i="4"/>
  <c r="L1155" i="4" s="1"/>
  <c r="M1155" i="4" s="1"/>
  <c r="O1155" i="4" s="1"/>
  <c r="K1245" i="4"/>
  <c r="L1245" i="4" s="1"/>
  <c r="M1245" i="4" s="1"/>
  <c r="O1245" i="4" s="1"/>
  <c r="K1348" i="4"/>
  <c r="L1348" i="4" s="1"/>
  <c r="M1348" i="4" s="1"/>
  <c r="O1348" i="4" s="1"/>
  <c r="K1173" i="4"/>
  <c r="L1173" i="4" s="1"/>
  <c r="M1173" i="4" s="1"/>
  <c r="O1173" i="4" s="1"/>
  <c r="K1343" i="4"/>
  <c r="L1343" i="4" s="1"/>
  <c r="M1343" i="4" s="1"/>
  <c r="O1343" i="4" s="1"/>
  <c r="K1391" i="4"/>
  <c r="L1391" i="4" s="1"/>
  <c r="M1391" i="4" s="1"/>
  <c r="O1391" i="4" s="1"/>
  <c r="K1290" i="4"/>
  <c r="L1290" i="4" s="1"/>
  <c r="M1290" i="4" s="1"/>
  <c r="O1290" i="4" s="1"/>
  <c r="K1370" i="4"/>
  <c r="L1370" i="4" s="1"/>
  <c r="M1370" i="4" s="1"/>
  <c r="O1370" i="4" s="1"/>
  <c r="K1217" i="4"/>
  <c r="L1217" i="4" s="1"/>
  <c r="M1217" i="4" s="1"/>
  <c r="O1217" i="4" s="1"/>
  <c r="K1253" i="4"/>
  <c r="L1253" i="4" s="1"/>
  <c r="M1253" i="4" s="1"/>
  <c r="O1253" i="4" s="1"/>
  <c r="K1339" i="4"/>
  <c r="L1339" i="4" s="1"/>
  <c r="M1339" i="4" s="1"/>
  <c r="O1339" i="4" s="1"/>
  <c r="K1323" i="4"/>
  <c r="L1323" i="4" s="1"/>
  <c r="M1323" i="4" s="1"/>
  <c r="O1323" i="4" s="1"/>
  <c r="K1048" i="4"/>
  <c r="L1048" i="4" s="1"/>
  <c r="M1048" i="4" s="1"/>
  <c r="O1048" i="4" s="1"/>
  <c r="K1068" i="4"/>
  <c r="L1068" i="4" s="1"/>
  <c r="M1068" i="4" s="1"/>
  <c r="O1068" i="4" s="1"/>
  <c r="K1088" i="4"/>
  <c r="L1088" i="4" s="1"/>
  <c r="M1088" i="4" s="1"/>
  <c r="O1088" i="4" s="1"/>
  <c r="K1108" i="4"/>
  <c r="L1108" i="4" s="1"/>
  <c r="M1108" i="4" s="1"/>
  <c r="O1108" i="4" s="1"/>
  <c r="K1276" i="4"/>
  <c r="L1276" i="4" s="1"/>
  <c r="M1276" i="4" s="1"/>
  <c r="O1276" i="4" s="1"/>
  <c r="K1189" i="4"/>
  <c r="L1189" i="4" s="1"/>
  <c r="M1189" i="4" s="1"/>
  <c r="O1189" i="4" s="1"/>
  <c r="K1125" i="4"/>
  <c r="L1125" i="4" s="1"/>
  <c r="M1125" i="4" s="1"/>
  <c r="O1125" i="4" s="1"/>
  <c r="K1277" i="4"/>
  <c r="L1277" i="4" s="1"/>
  <c r="M1277" i="4" s="1"/>
  <c r="O1277" i="4" s="1"/>
  <c r="K1146" i="4"/>
  <c r="L1146" i="4" s="1"/>
  <c r="M1146" i="4" s="1"/>
  <c r="O1146" i="4" s="1"/>
  <c r="K1316" i="4"/>
  <c r="L1316" i="4" s="1"/>
  <c r="M1316" i="4" s="1"/>
  <c r="O1316" i="4" s="1"/>
  <c r="K1164" i="4"/>
  <c r="L1164" i="4" s="1"/>
  <c r="M1164" i="4" s="1"/>
  <c r="O1164" i="4" s="1"/>
  <c r="K1248" i="4"/>
  <c r="L1248" i="4" s="1"/>
  <c r="M1248" i="4" s="1"/>
  <c r="O1248" i="4" s="1"/>
  <c r="K1353" i="4"/>
  <c r="L1353" i="4" s="1"/>
  <c r="M1353" i="4" s="1"/>
  <c r="O1353" i="4" s="1"/>
  <c r="K1224" i="4"/>
  <c r="L1224" i="4" s="1"/>
  <c r="M1224" i="4" s="1"/>
  <c r="O1224" i="4" s="1"/>
  <c r="K1360" i="4"/>
  <c r="L1360" i="4" s="1"/>
  <c r="M1360" i="4" s="1"/>
  <c r="O1360" i="4" s="1"/>
  <c r="K1395" i="4"/>
  <c r="L1395" i="4" s="1"/>
  <c r="M1395" i="4" s="1"/>
  <c r="O1395" i="4" s="1"/>
  <c r="K1300" i="4"/>
  <c r="L1300" i="4" s="1"/>
  <c r="M1300" i="4" s="1"/>
  <c r="O1300" i="4" s="1"/>
  <c r="K1374" i="4"/>
  <c r="L1374" i="4" s="1"/>
  <c r="M1374" i="4" s="1"/>
  <c r="O1374" i="4" s="1"/>
  <c r="K1219" i="4"/>
  <c r="L1219" i="4" s="1"/>
  <c r="M1219" i="4" s="1"/>
  <c r="O1219" i="4" s="1"/>
  <c r="K1262" i="4"/>
  <c r="L1262" i="4" s="1"/>
  <c r="M1262" i="4" s="1"/>
  <c r="O1262" i="4" s="1"/>
  <c r="K1240" i="4"/>
  <c r="L1240" i="4" s="1"/>
  <c r="M1240" i="4" s="1"/>
  <c r="O1240" i="4" s="1"/>
  <c r="K1400" i="4"/>
  <c r="L1400" i="4" s="1"/>
  <c r="M1400" i="4" s="1"/>
  <c r="O1400" i="4" s="1"/>
  <c r="K603" i="4"/>
  <c r="L603" i="4" s="1"/>
  <c r="M603" i="4" s="1"/>
  <c r="O603" i="4" s="1"/>
  <c r="K342" i="4"/>
  <c r="L342" i="4" s="1"/>
  <c r="M342" i="4" s="1"/>
  <c r="O342" i="4" s="1"/>
  <c r="K566" i="4"/>
  <c r="L566" i="4" s="1"/>
  <c r="M566" i="4" s="1"/>
  <c r="O566" i="4" s="1"/>
  <c r="K585" i="4"/>
  <c r="L585" i="4" s="1"/>
  <c r="M585" i="4" s="1"/>
  <c r="O585" i="4" s="1"/>
  <c r="K819" i="4"/>
  <c r="L819" i="4" s="1"/>
  <c r="M819" i="4" s="1"/>
  <c r="O819" i="4" s="1"/>
  <c r="K509" i="4"/>
  <c r="L509" i="4" s="1"/>
  <c r="M509" i="4" s="1"/>
  <c r="O509" i="4" s="1"/>
  <c r="K681" i="4"/>
  <c r="L681" i="4" s="1"/>
  <c r="M681" i="4" s="1"/>
  <c r="O681" i="4" s="1"/>
  <c r="K409" i="4"/>
  <c r="L409" i="4" s="1"/>
  <c r="M409" i="4" s="1"/>
  <c r="O409" i="4" s="1"/>
  <c r="K429" i="4"/>
  <c r="L429" i="4" s="1"/>
  <c r="M429" i="4" s="1"/>
  <c r="O429" i="4" s="1"/>
  <c r="K449" i="4"/>
  <c r="L449" i="4" s="1"/>
  <c r="M449" i="4" s="1"/>
  <c r="O449" i="4" s="1"/>
  <c r="K469" i="4"/>
  <c r="L469" i="4" s="1"/>
  <c r="M469" i="4" s="1"/>
  <c r="O469" i="4" s="1"/>
  <c r="K535" i="4"/>
  <c r="L535" i="4" s="1"/>
  <c r="M535" i="4" s="1"/>
  <c r="O535" i="4" s="1"/>
  <c r="K753" i="4"/>
  <c r="L753" i="4" s="1"/>
  <c r="M753" i="4" s="1"/>
  <c r="O753" i="4" s="1"/>
  <c r="K500" i="4"/>
  <c r="L500" i="4" s="1"/>
  <c r="M500" i="4" s="1"/>
  <c r="O500" i="4" s="1"/>
  <c r="K635" i="4"/>
  <c r="L635" i="4" s="1"/>
  <c r="M635" i="4" s="1"/>
  <c r="O635" i="4" s="1"/>
  <c r="K619" i="4"/>
  <c r="L619" i="4" s="1"/>
  <c r="M619" i="4" s="1"/>
  <c r="O619" i="4" s="1"/>
  <c r="K751" i="4"/>
  <c r="L751" i="4" s="1"/>
  <c r="M751" i="4" s="1"/>
  <c r="O751" i="4" s="1"/>
  <c r="K505" i="4"/>
  <c r="L505" i="4" s="1"/>
  <c r="M505" i="4" s="1"/>
  <c r="O505" i="4" s="1"/>
  <c r="K601" i="4"/>
  <c r="L601" i="4" s="1"/>
  <c r="M601" i="4" s="1"/>
  <c r="O601" i="4" s="1"/>
  <c r="K693" i="4"/>
  <c r="L693" i="4" s="1"/>
  <c r="M693" i="4" s="1"/>
  <c r="O693" i="4" s="1"/>
  <c r="K923" i="4"/>
  <c r="L923" i="4" s="1"/>
  <c r="M923" i="4" s="1"/>
  <c r="O923" i="4" s="1"/>
  <c r="K587" i="4"/>
  <c r="L587" i="4" s="1"/>
  <c r="M587" i="4" s="1"/>
  <c r="O587" i="4" s="1"/>
  <c r="K711" i="4"/>
  <c r="L711" i="4" s="1"/>
  <c r="M711" i="4" s="1"/>
  <c r="O711" i="4" s="1"/>
  <c r="K512" i="4"/>
  <c r="L512" i="4" s="1"/>
  <c r="M512" i="4" s="1"/>
  <c r="O512" i="4" s="1"/>
  <c r="K604" i="4"/>
  <c r="L604" i="4" s="1"/>
  <c r="M604" i="4" s="1"/>
  <c r="O604" i="4" s="1"/>
  <c r="K722" i="4"/>
  <c r="L722" i="4" s="1"/>
  <c r="M722" i="4" s="1"/>
  <c r="O722" i="4" s="1"/>
  <c r="K963" i="4"/>
  <c r="L963" i="4" s="1"/>
  <c r="M963" i="4" s="1"/>
  <c r="O963" i="4" s="1"/>
  <c r="K1079" i="4"/>
  <c r="L1079" i="4" s="1"/>
  <c r="M1079" i="4" s="1"/>
  <c r="O1079" i="4" s="1"/>
  <c r="K1005" i="4"/>
  <c r="L1005" i="4" s="1"/>
  <c r="M1005" i="4" s="1"/>
  <c r="O1005" i="4" s="1"/>
  <c r="K925" i="4"/>
  <c r="L925" i="4" s="1"/>
  <c r="M925" i="4" s="1"/>
  <c r="O925" i="4" s="1"/>
  <c r="K710" i="4"/>
  <c r="L710" i="4" s="1"/>
  <c r="M710" i="4" s="1"/>
  <c r="O710" i="4" s="1"/>
  <c r="K841" i="4"/>
  <c r="L841" i="4" s="1"/>
  <c r="M841" i="4" s="1"/>
  <c r="O841" i="4" s="1"/>
  <c r="K971" i="4"/>
  <c r="L971" i="4" s="1"/>
  <c r="M971" i="4" s="1"/>
  <c r="O971" i="4" s="1"/>
  <c r="K735" i="4"/>
  <c r="L735" i="4" s="1"/>
  <c r="M735" i="4" s="1"/>
  <c r="O735" i="4" s="1"/>
  <c r="K880" i="4"/>
  <c r="L880" i="4" s="1"/>
  <c r="M880" i="4" s="1"/>
  <c r="O880" i="4" s="1"/>
  <c r="K698" i="4"/>
  <c r="L698" i="4" s="1"/>
  <c r="M698" i="4" s="1"/>
  <c r="O698" i="4" s="1"/>
  <c r="K821" i="4"/>
  <c r="L821" i="4" s="1"/>
  <c r="M821" i="4" s="1"/>
  <c r="O821" i="4" s="1"/>
  <c r="K1020" i="4"/>
  <c r="L1020" i="4" s="1"/>
  <c r="M1020" i="4" s="1"/>
  <c r="O1020" i="4" s="1"/>
  <c r="K1112" i="4"/>
  <c r="L1112" i="4" s="1"/>
  <c r="M1112" i="4" s="1"/>
  <c r="O1112" i="4" s="1"/>
  <c r="K840" i="4"/>
  <c r="L840" i="4" s="1"/>
  <c r="M840" i="4" s="1"/>
  <c r="O840" i="4" s="1"/>
  <c r="K968" i="4"/>
  <c r="L968" i="4" s="1"/>
  <c r="M968" i="4" s="1"/>
  <c r="O968" i="4" s="1"/>
  <c r="K838" i="4"/>
  <c r="L838" i="4" s="1"/>
  <c r="M838" i="4" s="1"/>
  <c r="O838" i="4" s="1"/>
  <c r="K1001" i="4"/>
  <c r="L1001" i="4" s="1"/>
  <c r="M1001" i="4" s="1"/>
  <c r="O1001" i="4" s="1"/>
  <c r="K782" i="4"/>
  <c r="L782" i="4" s="1"/>
  <c r="M782" i="4" s="1"/>
  <c r="O782" i="4" s="1"/>
  <c r="K802" i="4"/>
  <c r="L802" i="4" s="1"/>
  <c r="M802" i="4" s="1"/>
  <c r="O802" i="4" s="1"/>
  <c r="K822" i="4"/>
  <c r="L822" i="4" s="1"/>
  <c r="M822" i="4" s="1"/>
  <c r="O822" i="4" s="1"/>
  <c r="K884" i="4"/>
  <c r="L884" i="4" s="1"/>
  <c r="M884" i="4" s="1"/>
  <c r="O884" i="4" s="1"/>
  <c r="K1010" i="4"/>
  <c r="L1010" i="4" s="1"/>
  <c r="M1010" i="4" s="1"/>
  <c r="O1010" i="4" s="1"/>
  <c r="K1012" i="4"/>
  <c r="L1012" i="4" s="1"/>
  <c r="M1012" i="4" s="1"/>
  <c r="O1012" i="4" s="1"/>
  <c r="K1299" i="4"/>
  <c r="L1299" i="4" s="1"/>
  <c r="M1299" i="4" s="1"/>
  <c r="O1299" i="4" s="1"/>
  <c r="K1256" i="4"/>
  <c r="L1256" i="4" s="1"/>
  <c r="M1256" i="4" s="1"/>
  <c r="O1256" i="4" s="1"/>
  <c r="K1226" i="4"/>
  <c r="L1226" i="4" s="1"/>
  <c r="M1226" i="4" s="1"/>
  <c r="O1226" i="4" s="1"/>
  <c r="K1293" i="4"/>
  <c r="L1293" i="4" s="1"/>
  <c r="M1293" i="4" s="1"/>
  <c r="O1293" i="4" s="1"/>
  <c r="K869" i="4"/>
  <c r="L869" i="4" s="1"/>
  <c r="M869" i="4" s="1"/>
  <c r="O869" i="4" s="1"/>
  <c r="K889" i="4"/>
  <c r="L889" i="4" s="1"/>
  <c r="M889" i="4" s="1"/>
  <c r="O889" i="4" s="1"/>
  <c r="K946" i="4"/>
  <c r="L946" i="4" s="1"/>
  <c r="M946" i="4" s="1"/>
  <c r="O946" i="4" s="1"/>
  <c r="K1061" i="4"/>
  <c r="L1061" i="4" s="1"/>
  <c r="M1061" i="4" s="1"/>
  <c r="O1061" i="4" s="1"/>
  <c r="K909" i="4"/>
  <c r="L909" i="4" s="1"/>
  <c r="M909" i="4" s="1"/>
  <c r="O909" i="4" s="1"/>
  <c r="K1009" i="4"/>
  <c r="L1009" i="4" s="1"/>
  <c r="M1009" i="4" s="1"/>
  <c r="O1009" i="4" s="1"/>
  <c r="K1123" i="4"/>
  <c r="L1123" i="4" s="1"/>
  <c r="M1123" i="4" s="1"/>
  <c r="O1123" i="4" s="1"/>
  <c r="K1259" i="4"/>
  <c r="L1259" i="4" s="1"/>
  <c r="M1259" i="4" s="1"/>
  <c r="O1259" i="4" s="1"/>
  <c r="K984" i="4"/>
  <c r="L984" i="4" s="1"/>
  <c r="M984" i="4" s="1"/>
  <c r="O984" i="4" s="1"/>
  <c r="K1203" i="4"/>
  <c r="L1203" i="4" s="1"/>
  <c r="M1203" i="4" s="1"/>
  <c r="O1203" i="4" s="1"/>
  <c r="K1241" i="4"/>
  <c r="L1241" i="4" s="1"/>
  <c r="M1241" i="4" s="1"/>
  <c r="O1241" i="4" s="1"/>
  <c r="K1369" i="4"/>
  <c r="L1369" i="4" s="1"/>
  <c r="M1369" i="4" s="1"/>
  <c r="O1369" i="4" s="1"/>
  <c r="K1364" i="4"/>
  <c r="L1364" i="4" s="1"/>
  <c r="M1364" i="4" s="1"/>
  <c r="O1364" i="4" s="1"/>
  <c r="K1050" i="4"/>
  <c r="L1050" i="4" s="1"/>
  <c r="M1050" i="4" s="1"/>
  <c r="O1050" i="4" s="1"/>
  <c r="K1070" i="4"/>
  <c r="L1070" i="4" s="1"/>
  <c r="M1070" i="4" s="1"/>
  <c r="O1070" i="4" s="1"/>
  <c r="K1090" i="4"/>
  <c r="L1090" i="4" s="1"/>
  <c r="M1090" i="4" s="1"/>
  <c r="O1090" i="4" s="1"/>
  <c r="K1110" i="4"/>
  <c r="L1110" i="4" s="1"/>
  <c r="M1110" i="4" s="1"/>
  <c r="O1110" i="4" s="1"/>
  <c r="K1301" i="4"/>
  <c r="L1301" i="4" s="1"/>
  <c r="M1301" i="4" s="1"/>
  <c r="O1301" i="4" s="1"/>
  <c r="K1193" i="4"/>
  <c r="L1193" i="4" s="1"/>
  <c r="M1193" i="4" s="1"/>
  <c r="O1193" i="4" s="1"/>
  <c r="K1128" i="4"/>
  <c r="L1128" i="4" s="1"/>
  <c r="M1128" i="4" s="1"/>
  <c r="O1128" i="4" s="1"/>
  <c r="K1282" i="4"/>
  <c r="L1282" i="4" s="1"/>
  <c r="M1282" i="4" s="1"/>
  <c r="O1282" i="4" s="1"/>
  <c r="K1157" i="4"/>
  <c r="L1157" i="4" s="1"/>
  <c r="M1157" i="4" s="1"/>
  <c r="O1157" i="4" s="1"/>
  <c r="K1319" i="4"/>
  <c r="L1319" i="4" s="1"/>
  <c r="M1319" i="4" s="1"/>
  <c r="O1319" i="4" s="1"/>
  <c r="K1175" i="4"/>
  <c r="L1175" i="4" s="1"/>
  <c r="M1175" i="4" s="1"/>
  <c r="O1175" i="4" s="1"/>
  <c r="K1258" i="4"/>
  <c r="L1258" i="4" s="1"/>
  <c r="M1258" i="4" s="1"/>
  <c r="O1258" i="4" s="1"/>
  <c r="K1377" i="4"/>
  <c r="L1377" i="4" s="1"/>
  <c r="M1377" i="4" s="1"/>
  <c r="O1377" i="4" s="1"/>
  <c r="K1236" i="4"/>
  <c r="L1236" i="4" s="1"/>
  <c r="M1236" i="4" s="1"/>
  <c r="O1236" i="4" s="1"/>
  <c r="K1365" i="4"/>
  <c r="L1365" i="4" s="1"/>
  <c r="M1365" i="4" s="1"/>
  <c r="O1365" i="4" s="1"/>
  <c r="K1393" i="4"/>
  <c r="L1393" i="4" s="1"/>
  <c r="M1393" i="4" s="1"/>
  <c r="O1393" i="4" s="1"/>
  <c r="K1310" i="4"/>
  <c r="L1310" i="4" s="1"/>
  <c r="M1310" i="4" s="1"/>
  <c r="O1310" i="4" s="1"/>
  <c r="K1378" i="4"/>
  <c r="L1378" i="4" s="1"/>
  <c r="M1378" i="4" s="1"/>
  <c r="O1378" i="4" s="1"/>
  <c r="K1221" i="4"/>
  <c r="L1221" i="4" s="1"/>
  <c r="M1221" i="4" s="1"/>
  <c r="O1221" i="4" s="1"/>
  <c r="K1273" i="4"/>
  <c r="L1273" i="4" s="1"/>
  <c r="M1273" i="4" s="1"/>
  <c r="O1273" i="4" s="1"/>
  <c r="K1251" i="4"/>
  <c r="L1251" i="4" s="1"/>
  <c r="M1251" i="4" s="1"/>
  <c r="O1251" i="4" s="1"/>
  <c r="K1397" i="4"/>
  <c r="L1397" i="4" s="1"/>
  <c r="M1397" i="4" s="1"/>
  <c r="O1397" i="4" s="1"/>
  <c r="K721" i="4"/>
  <c r="L721" i="4" s="1"/>
  <c r="M721" i="4" s="1"/>
  <c r="O721" i="4" s="1"/>
  <c r="K617" i="4"/>
  <c r="L617" i="4" s="1"/>
  <c r="M617" i="4" s="1"/>
  <c r="O617" i="4" s="1"/>
  <c r="K866" i="4"/>
  <c r="L866" i="4" s="1"/>
  <c r="M866" i="4" s="1"/>
  <c r="O866" i="4" s="1"/>
  <c r="K519" i="4"/>
  <c r="L519" i="4" s="1"/>
  <c r="M519" i="4" s="1"/>
  <c r="O519" i="4" s="1"/>
  <c r="K687" i="4"/>
  <c r="L687" i="4" s="1"/>
  <c r="M687" i="4" s="1"/>
  <c r="O687" i="4" s="1"/>
  <c r="K411" i="4"/>
  <c r="L411" i="4" s="1"/>
  <c r="M411" i="4" s="1"/>
  <c r="O411" i="4" s="1"/>
  <c r="K431" i="4"/>
  <c r="L431" i="4" s="1"/>
  <c r="M431" i="4" s="1"/>
  <c r="O431" i="4" s="1"/>
  <c r="K451" i="4"/>
  <c r="L451" i="4" s="1"/>
  <c r="M451" i="4" s="1"/>
  <c r="O451" i="4" s="1"/>
  <c r="K471" i="4"/>
  <c r="L471" i="4" s="1"/>
  <c r="M471" i="4" s="1"/>
  <c r="O471" i="4" s="1"/>
  <c r="K555" i="4"/>
  <c r="L555" i="4" s="1"/>
  <c r="M555" i="4" s="1"/>
  <c r="O555" i="4" s="1"/>
  <c r="K759" i="4"/>
  <c r="L759" i="4" s="1"/>
  <c r="M759" i="4" s="1"/>
  <c r="O759" i="4" s="1"/>
  <c r="K510" i="4"/>
  <c r="L510" i="4" s="1"/>
  <c r="M510" i="4" s="1"/>
  <c r="O510" i="4" s="1"/>
  <c r="K654" i="4"/>
  <c r="L654" i="4" s="1"/>
  <c r="M654" i="4" s="1"/>
  <c r="O654" i="4" s="1"/>
  <c r="K630" i="4"/>
  <c r="L630" i="4" s="1"/>
  <c r="M630" i="4" s="1"/>
  <c r="O630" i="4" s="1"/>
  <c r="K813" i="4"/>
  <c r="L813" i="4" s="1"/>
  <c r="M813" i="4" s="1"/>
  <c r="O813" i="4" s="1"/>
  <c r="K516" i="4"/>
  <c r="L516" i="4" s="1"/>
  <c r="M516" i="4" s="1"/>
  <c r="O516" i="4" s="1"/>
  <c r="K612" i="4"/>
  <c r="L612" i="4" s="1"/>
  <c r="M612" i="4" s="1"/>
  <c r="O612" i="4" s="1"/>
  <c r="K732" i="4"/>
  <c r="L732" i="4" s="1"/>
  <c r="M732" i="4" s="1"/>
  <c r="O732" i="4" s="1"/>
  <c r="K943" i="4"/>
  <c r="L943" i="4" s="1"/>
  <c r="M943" i="4" s="1"/>
  <c r="O943" i="4" s="1"/>
  <c r="K598" i="4"/>
  <c r="L598" i="4" s="1"/>
  <c r="M598" i="4" s="1"/>
  <c r="O598" i="4" s="1"/>
  <c r="K754" i="4"/>
  <c r="L754" i="4" s="1"/>
  <c r="M754" i="4" s="1"/>
  <c r="O754" i="4" s="1"/>
  <c r="K521" i="4"/>
  <c r="L521" i="4" s="1"/>
  <c r="M521" i="4" s="1"/>
  <c r="O521" i="4" s="1"/>
  <c r="K613" i="4"/>
  <c r="L613" i="4" s="1"/>
  <c r="M613" i="4" s="1"/>
  <c r="O613" i="4" s="1"/>
  <c r="K726" i="4"/>
  <c r="L726" i="4" s="1"/>
  <c r="M726" i="4" s="1"/>
  <c r="O726" i="4" s="1"/>
  <c r="K1003" i="4"/>
  <c r="L1003" i="4" s="1"/>
  <c r="M1003" i="4" s="1"/>
  <c r="O1003" i="4" s="1"/>
  <c r="K928" i="4"/>
  <c r="L928" i="4" s="1"/>
  <c r="M928" i="4" s="1"/>
  <c r="O928" i="4" s="1"/>
  <c r="K1011" i="4"/>
  <c r="L1011" i="4" s="1"/>
  <c r="M1011" i="4" s="1"/>
  <c r="O1011" i="4" s="1"/>
  <c r="K950" i="4"/>
  <c r="L950" i="4" s="1"/>
  <c r="M950" i="4" s="1"/>
  <c r="O950" i="4" s="1"/>
  <c r="K720" i="4"/>
  <c r="L720" i="4" s="1"/>
  <c r="M720" i="4" s="1"/>
  <c r="O720" i="4" s="1"/>
  <c r="K844" i="4"/>
  <c r="L844" i="4" s="1"/>
  <c r="M844" i="4" s="1"/>
  <c r="O844" i="4" s="1"/>
  <c r="K983" i="4"/>
  <c r="L983" i="4" s="1"/>
  <c r="M983" i="4" s="1"/>
  <c r="O983" i="4" s="1"/>
  <c r="K745" i="4"/>
  <c r="L745" i="4" s="1"/>
  <c r="M745" i="4" s="1"/>
  <c r="O745" i="4" s="1"/>
  <c r="K927" i="4"/>
  <c r="L927" i="4" s="1"/>
  <c r="M927" i="4" s="1"/>
  <c r="O927" i="4" s="1"/>
  <c r="K708" i="4"/>
  <c r="L708" i="4" s="1"/>
  <c r="M708" i="4" s="1"/>
  <c r="O708" i="4" s="1"/>
  <c r="K845" i="4"/>
  <c r="L845" i="4" s="1"/>
  <c r="M845" i="4" s="1"/>
  <c r="O845" i="4" s="1"/>
  <c r="K1040" i="4"/>
  <c r="L1040" i="4" s="1"/>
  <c r="M1040" i="4" s="1"/>
  <c r="O1040" i="4" s="1"/>
  <c r="K1139" i="4"/>
  <c r="L1139" i="4" s="1"/>
  <c r="M1139" i="4" s="1"/>
  <c r="O1139" i="4" s="1"/>
  <c r="K852" i="4"/>
  <c r="L852" i="4" s="1"/>
  <c r="M852" i="4" s="1"/>
  <c r="O852" i="4" s="1"/>
  <c r="K972" i="4"/>
  <c r="L972" i="4" s="1"/>
  <c r="M972" i="4" s="1"/>
  <c r="O972" i="4" s="1"/>
  <c r="K847" i="4"/>
  <c r="L847" i="4" s="1"/>
  <c r="M847" i="4" s="1"/>
  <c r="O847" i="4" s="1"/>
  <c r="K1035" i="4"/>
  <c r="L1035" i="4" s="1"/>
  <c r="M1035" i="4" s="1"/>
  <c r="O1035" i="4" s="1"/>
  <c r="K784" i="4"/>
  <c r="L784" i="4" s="1"/>
  <c r="M784" i="4" s="1"/>
  <c r="O784" i="4" s="1"/>
  <c r="K804" i="4"/>
  <c r="L804" i="4" s="1"/>
  <c r="M804" i="4" s="1"/>
  <c r="O804" i="4" s="1"/>
  <c r="K824" i="4"/>
  <c r="L824" i="4" s="1"/>
  <c r="M824" i="4" s="1"/>
  <c r="O824" i="4" s="1"/>
  <c r="K901" i="4"/>
  <c r="L901" i="4" s="1"/>
  <c r="M901" i="4" s="1"/>
  <c r="O901" i="4" s="1"/>
  <c r="K1018" i="4"/>
  <c r="L1018" i="4" s="1"/>
  <c r="M1018" i="4" s="1"/>
  <c r="O1018" i="4" s="1"/>
  <c r="K1022" i="4"/>
  <c r="L1022" i="4" s="1"/>
  <c r="M1022" i="4" s="1"/>
  <c r="O1022" i="4" s="1"/>
  <c r="K1161" i="4"/>
  <c r="L1161" i="4" s="1"/>
  <c r="M1161" i="4" s="1"/>
  <c r="O1161" i="4" s="1"/>
  <c r="K1158" i="4"/>
  <c r="L1158" i="4" s="1"/>
  <c r="M1158" i="4" s="1"/>
  <c r="O1158" i="4" s="1"/>
  <c r="K1234" i="4"/>
  <c r="L1234" i="4" s="1"/>
  <c r="M1234" i="4" s="1"/>
  <c r="O1234" i="4" s="1"/>
  <c r="K1352" i="4"/>
  <c r="L1352" i="4" s="1"/>
  <c r="M1352" i="4" s="1"/>
  <c r="O1352" i="4" s="1"/>
  <c r="K871" i="4"/>
  <c r="L871" i="4" s="1"/>
  <c r="M871" i="4" s="1"/>
  <c r="O871" i="4" s="1"/>
  <c r="K891" i="4"/>
  <c r="L891" i="4" s="1"/>
  <c r="M891" i="4" s="1"/>
  <c r="O891" i="4" s="1"/>
  <c r="K956" i="4"/>
  <c r="L956" i="4" s="1"/>
  <c r="M956" i="4" s="1"/>
  <c r="O956" i="4" s="1"/>
  <c r="K1081" i="4"/>
  <c r="L1081" i="4" s="1"/>
  <c r="M1081" i="4" s="1"/>
  <c r="O1081" i="4" s="1"/>
  <c r="K919" i="4"/>
  <c r="L919" i="4" s="1"/>
  <c r="M919" i="4" s="1"/>
  <c r="O919" i="4" s="1"/>
  <c r="K1019" i="4"/>
  <c r="L1019" i="4" s="1"/>
  <c r="M1019" i="4" s="1"/>
  <c r="O1019" i="4" s="1"/>
  <c r="K1151" i="4"/>
  <c r="L1151" i="4" s="1"/>
  <c r="M1151" i="4" s="1"/>
  <c r="O1151" i="4" s="1"/>
  <c r="K1294" i="4"/>
  <c r="L1294" i="4" s="1"/>
  <c r="M1294" i="4" s="1"/>
  <c r="O1294" i="4" s="1"/>
  <c r="K994" i="4"/>
  <c r="L994" i="4" s="1"/>
  <c r="M994" i="4" s="1"/>
  <c r="O994" i="4" s="1"/>
  <c r="K1209" i="4"/>
  <c r="L1209" i="4" s="1"/>
  <c r="M1209" i="4" s="1"/>
  <c r="O1209" i="4" s="1"/>
  <c r="K1246" i="4"/>
  <c r="L1246" i="4" s="1"/>
  <c r="M1246" i="4" s="1"/>
  <c r="O1246" i="4" s="1"/>
  <c r="K1325" i="4"/>
  <c r="L1325" i="4" s="1"/>
  <c r="M1325" i="4" s="1"/>
  <c r="O1325" i="4" s="1"/>
  <c r="K1373" i="4"/>
  <c r="L1373" i="4" s="1"/>
  <c r="M1373" i="4" s="1"/>
  <c r="O1373" i="4" s="1"/>
  <c r="K1052" i="4"/>
  <c r="L1052" i="4" s="1"/>
  <c r="M1052" i="4" s="1"/>
  <c r="O1052" i="4" s="1"/>
  <c r="K1072" i="4"/>
  <c r="L1072" i="4" s="1"/>
  <c r="M1072" i="4" s="1"/>
  <c r="O1072" i="4" s="1"/>
  <c r="K1092" i="4"/>
  <c r="L1092" i="4" s="1"/>
  <c r="M1092" i="4" s="1"/>
  <c r="O1092" i="4" s="1"/>
  <c r="K1119" i="4"/>
  <c r="L1119" i="4" s="1"/>
  <c r="M1119" i="4" s="1"/>
  <c r="O1119" i="4" s="1"/>
  <c r="K1322" i="4"/>
  <c r="L1322" i="4" s="1"/>
  <c r="M1322" i="4" s="1"/>
  <c r="O1322" i="4" s="1"/>
  <c r="K1272" i="4"/>
  <c r="L1272" i="4" s="1"/>
  <c r="M1272" i="4" s="1"/>
  <c r="O1272" i="4" s="1"/>
  <c r="K1138" i="4"/>
  <c r="L1138" i="4" s="1"/>
  <c r="M1138" i="4" s="1"/>
  <c r="O1138" i="4" s="1"/>
  <c r="K1303" i="4"/>
  <c r="L1303" i="4" s="1"/>
  <c r="M1303" i="4" s="1"/>
  <c r="O1303" i="4" s="1"/>
  <c r="K1166" i="4"/>
  <c r="L1166" i="4" s="1"/>
  <c r="M1166" i="4" s="1"/>
  <c r="O1166" i="4" s="1"/>
  <c r="K1332" i="4"/>
  <c r="L1332" i="4" s="1"/>
  <c r="M1332" i="4" s="1"/>
  <c r="O1332" i="4" s="1"/>
  <c r="K1182" i="4"/>
  <c r="L1182" i="4" s="1"/>
  <c r="M1182" i="4" s="1"/>
  <c r="O1182" i="4" s="1"/>
  <c r="K1284" i="4"/>
  <c r="L1284" i="4" s="1"/>
  <c r="M1284" i="4" s="1"/>
  <c r="O1284" i="4" s="1"/>
  <c r="K1118" i="4"/>
  <c r="L1118" i="4" s="1"/>
  <c r="M1118" i="4" s="1"/>
  <c r="O1118" i="4" s="1"/>
  <c r="K1261" i="4"/>
  <c r="L1261" i="4" s="1"/>
  <c r="M1261" i="4" s="1"/>
  <c r="O1261" i="4" s="1"/>
  <c r="K1372" i="4"/>
  <c r="L1372" i="4" s="1"/>
  <c r="M1372" i="4" s="1"/>
  <c r="O1372" i="4" s="1"/>
  <c r="K1398" i="4"/>
  <c r="L1398" i="4" s="1"/>
  <c r="M1398" i="4" s="1"/>
  <c r="O1398" i="4" s="1"/>
  <c r="K1320" i="4"/>
  <c r="L1320" i="4" s="1"/>
  <c r="M1320" i="4" s="1"/>
  <c r="O1320" i="4" s="1"/>
  <c r="K1382" i="4"/>
  <c r="L1382" i="4" s="1"/>
  <c r="M1382" i="4" s="1"/>
  <c r="O1382" i="4" s="1"/>
  <c r="K1223" i="4"/>
  <c r="L1223" i="4" s="1"/>
  <c r="M1223" i="4" s="1"/>
  <c r="O1223" i="4" s="1"/>
  <c r="K1285" i="4"/>
  <c r="L1285" i="4" s="1"/>
  <c r="M1285" i="4" s="1"/>
  <c r="O1285" i="4" s="1"/>
  <c r="K1260" i="4"/>
  <c r="L1260" i="4" s="1"/>
  <c r="M1260" i="4" s="1"/>
  <c r="O1260" i="4" s="1"/>
  <c r="K1399" i="4"/>
  <c r="L1399" i="4" s="1"/>
  <c r="M1399" i="4" s="1"/>
  <c r="O1399" i="4" s="1"/>
  <c r="K734" i="4"/>
  <c r="L734" i="4" s="1"/>
  <c r="M734" i="4" s="1"/>
  <c r="O734" i="4" s="1"/>
  <c r="K636" i="4"/>
  <c r="L636" i="4" s="1"/>
  <c r="M636" i="4" s="1"/>
  <c r="O636" i="4" s="1"/>
  <c r="K890" i="4"/>
  <c r="L890" i="4" s="1"/>
  <c r="M890" i="4" s="1"/>
  <c r="O890" i="4" s="1"/>
  <c r="K544" i="4"/>
  <c r="L544" i="4" s="1"/>
  <c r="M544" i="4" s="1"/>
  <c r="O544" i="4" s="1"/>
  <c r="K741" i="4"/>
  <c r="L741" i="4" s="1"/>
  <c r="M741" i="4" s="1"/>
  <c r="O741" i="4" s="1"/>
  <c r="K413" i="4"/>
  <c r="L413" i="4" s="1"/>
  <c r="M413" i="4" s="1"/>
  <c r="O413" i="4" s="1"/>
  <c r="K433" i="4"/>
  <c r="L433" i="4" s="1"/>
  <c r="M433" i="4" s="1"/>
  <c r="O433" i="4" s="1"/>
  <c r="K453" i="4"/>
  <c r="L453" i="4" s="1"/>
  <c r="M453" i="4" s="1"/>
  <c r="O453" i="4" s="1"/>
  <c r="K473" i="4"/>
  <c r="L473" i="4" s="1"/>
  <c r="M473" i="4" s="1"/>
  <c r="O473" i="4" s="1"/>
  <c r="K597" i="4"/>
  <c r="L597" i="4" s="1"/>
  <c r="M597" i="4" s="1"/>
  <c r="O597" i="4" s="1"/>
  <c r="K766" i="4"/>
  <c r="L766" i="4" s="1"/>
  <c r="M766" i="4" s="1"/>
  <c r="O766" i="4" s="1"/>
  <c r="K513" i="4"/>
  <c r="L513" i="4" s="1"/>
  <c r="M513" i="4" s="1"/>
  <c r="O513" i="4" s="1"/>
  <c r="K664" i="4"/>
  <c r="L664" i="4" s="1"/>
  <c r="M664" i="4" s="1"/>
  <c r="O664" i="4" s="1"/>
  <c r="K639" i="4"/>
  <c r="L639" i="4" s="1"/>
  <c r="M639" i="4" s="1"/>
  <c r="O639" i="4" s="1"/>
  <c r="K825" i="4"/>
  <c r="L825" i="4" s="1"/>
  <c r="M825" i="4" s="1"/>
  <c r="O825" i="4" s="1"/>
  <c r="K525" i="4"/>
  <c r="L525" i="4" s="1"/>
  <c r="M525" i="4" s="1"/>
  <c r="O525" i="4" s="1"/>
  <c r="K621" i="4"/>
  <c r="L621" i="4" s="1"/>
  <c r="M621" i="4" s="1"/>
  <c r="O621" i="4" s="1"/>
  <c r="K736" i="4"/>
  <c r="L736" i="4" s="1"/>
  <c r="M736" i="4" s="1"/>
  <c r="O736" i="4" s="1"/>
  <c r="K503" i="4"/>
  <c r="L503" i="4" s="1"/>
  <c r="M503" i="4" s="1"/>
  <c r="O503" i="4" s="1"/>
  <c r="K607" i="4"/>
  <c r="L607" i="4" s="1"/>
  <c r="M607" i="4" s="1"/>
  <c r="O607" i="4" s="1"/>
  <c r="K757" i="4"/>
  <c r="L757" i="4" s="1"/>
  <c r="M757" i="4" s="1"/>
  <c r="O757" i="4" s="1"/>
  <c r="K532" i="4"/>
  <c r="L532" i="4" s="1"/>
  <c r="M532" i="4" s="1"/>
  <c r="O532" i="4" s="1"/>
  <c r="K624" i="4"/>
  <c r="L624" i="4" s="1"/>
  <c r="M624" i="4" s="1"/>
  <c r="O624" i="4" s="1"/>
  <c r="K729" i="4"/>
  <c r="L729" i="4" s="1"/>
  <c r="M729" i="4" s="1"/>
  <c r="O729" i="4" s="1"/>
  <c r="K1008" i="4"/>
  <c r="L1008" i="4" s="1"/>
  <c r="M1008" i="4" s="1"/>
  <c r="O1008" i="4" s="1"/>
  <c r="K975" i="4"/>
  <c r="L975" i="4" s="1"/>
  <c r="M975" i="4" s="1"/>
  <c r="O975" i="4" s="1"/>
  <c r="K1017" i="4"/>
  <c r="L1017" i="4" s="1"/>
  <c r="M1017" i="4" s="1"/>
  <c r="O1017" i="4" s="1"/>
  <c r="K995" i="4"/>
  <c r="L995" i="4" s="1"/>
  <c r="M995" i="4" s="1"/>
  <c r="O995" i="4" s="1"/>
  <c r="K730" i="4"/>
  <c r="L730" i="4" s="1"/>
  <c r="M730" i="4" s="1"/>
  <c r="O730" i="4" s="1"/>
  <c r="K848" i="4"/>
  <c r="L848" i="4" s="1"/>
  <c r="M848" i="4" s="1"/>
  <c r="O848" i="4" s="1"/>
  <c r="K1025" i="4"/>
  <c r="L1025" i="4" s="1"/>
  <c r="M1025" i="4" s="1"/>
  <c r="O1025" i="4" s="1"/>
  <c r="K755" i="4"/>
  <c r="L755" i="4" s="1"/>
  <c r="M755" i="4" s="1"/>
  <c r="O755" i="4" s="1"/>
  <c r="K931" i="4"/>
  <c r="L931" i="4" s="1"/>
  <c r="M931" i="4" s="1"/>
  <c r="O931" i="4" s="1"/>
  <c r="K718" i="4"/>
  <c r="L718" i="4" s="1"/>
  <c r="M718" i="4" s="1"/>
  <c r="O718" i="4" s="1"/>
  <c r="K860" i="4"/>
  <c r="L860" i="4" s="1"/>
  <c r="M860" i="4" s="1"/>
  <c r="O860" i="4" s="1"/>
  <c r="K1097" i="4"/>
  <c r="L1097" i="4" s="1"/>
  <c r="M1097" i="4" s="1"/>
  <c r="O1097" i="4" s="1"/>
  <c r="K1089" i="4"/>
  <c r="L1089" i="4" s="1"/>
  <c r="M1089" i="4" s="1"/>
  <c r="O1089" i="4" s="1"/>
  <c r="K872" i="4"/>
  <c r="L872" i="4" s="1"/>
  <c r="M872" i="4" s="1"/>
  <c r="O872" i="4" s="1"/>
  <c r="K980" i="4"/>
  <c r="L980" i="4" s="1"/>
  <c r="M980" i="4" s="1"/>
  <c r="O980" i="4" s="1"/>
  <c r="K858" i="4"/>
  <c r="L858" i="4" s="1"/>
  <c r="M858" i="4" s="1"/>
  <c r="O858" i="4" s="1"/>
  <c r="K1043" i="4"/>
  <c r="L1043" i="4" s="1"/>
  <c r="M1043" i="4" s="1"/>
  <c r="O1043" i="4" s="1"/>
  <c r="K786" i="4"/>
  <c r="L786" i="4" s="1"/>
  <c r="M786" i="4" s="1"/>
  <c r="O786" i="4" s="1"/>
  <c r="K806" i="4"/>
  <c r="L806" i="4" s="1"/>
  <c r="M806" i="4" s="1"/>
  <c r="O806" i="4" s="1"/>
  <c r="K826" i="4"/>
  <c r="L826" i="4" s="1"/>
  <c r="M826" i="4" s="1"/>
  <c r="O826" i="4" s="1"/>
  <c r="K905" i="4"/>
  <c r="L905" i="4" s="1"/>
  <c r="M905" i="4" s="1"/>
  <c r="O905" i="4" s="1"/>
  <c r="K1027" i="4"/>
  <c r="L1027" i="4" s="1"/>
  <c r="M1027" i="4" s="1"/>
  <c r="O1027" i="4" s="1"/>
  <c r="K1032" i="4"/>
  <c r="L1032" i="4" s="1"/>
  <c r="M1032" i="4" s="1"/>
  <c r="O1032" i="4" s="1"/>
  <c r="K1171" i="4"/>
  <c r="L1171" i="4" s="1"/>
  <c r="M1171" i="4" s="1"/>
  <c r="O1171" i="4" s="1"/>
  <c r="K1167" i="4"/>
  <c r="L1167" i="4" s="1"/>
  <c r="M1167" i="4" s="1"/>
  <c r="O1167" i="4" s="1"/>
  <c r="K1249" i="4"/>
  <c r="L1249" i="4" s="1"/>
  <c r="M1249" i="4" s="1"/>
  <c r="O1249" i="4" s="1"/>
  <c r="K853" i="4"/>
  <c r="L853" i="4" s="1"/>
  <c r="M853" i="4" s="1"/>
  <c r="O853" i="4" s="1"/>
  <c r="K873" i="4"/>
  <c r="L873" i="4" s="1"/>
  <c r="M873" i="4" s="1"/>
  <c r="O873" i="4" s="1"/>
  <c r="K893" i="4"/>
  <c r="L893" i="4" s="1"/>
  <c r="M893" i="4" s="1"/>
  <c r="O893" i="4" s="1"/>
  <c r="K966" i="4"/>
  <c r="L966" i="4" s="1"/>
  <c r="M966" i="4" s="1"/>
  <c r="O966" i="4" s="1"/>
  <c r="K1101" i="4"/>
  <c r="L1101" i="4" s="1"/>
  <c r="M1101" i="4" s="1"/>
  <c r="O1101" i="4" s="1"/>
  <c r="K929" i="4"/>
  <c r="L929" i="4" s="1"/>
  <c r="M929" i="4" s="1"/>
  <c r="O929" i="4" s="1"/>
  <c r="K1029" i="4"/>
  <c r="L1029" i="4" s="1"/>
  <c r="M1029" i="4" s="1"/>
  <c r="O1029" i="4" s="1"/>
  <c r="K1168" i="4"/>
  <c r="L1168" i="4" s="1"/>
  <c r="M1168" i="4" s="1"/>
  <c r="O1168" i="4" s="1"/>
  <c r="K904" i="4"/>
  <c r="L904" i="4" s="1"/>
  <c r="M904" i="4" s="1"/>
  <c r="O904" i="4" s="1"/>
  <c r="K1004" i="4"/>
  <c r="L1004" i="4" s="1"/>
  <c r="M1004" i="4" s="1"/>
  <c r="O1004" i="4" s="1"/>
  <c r="K1230" i="4"/>
  <c r="L1230" i="4" s="1"/>
  <c r="M1230" i="4" s="1"/>
  <c r="O1230" i="4" s="1"/>
  <c r="K1269" i="4"/>
  <c r="L1269" i="4" s="1"/>
  <c r="M1269" i="4" s="1"/>
  <c r="O1269" i="4" s="1"/>
  <c r="K1340" i="4"/>
  <c r="L1340" i="4" s="1"/>
  <c r="M1340" i="4" s="1"/>
  <c r="O1340" i="4" s="1"/>
  <c r="K1385" i="4"/>
  <c r="L1385" i="4" s="1"/>
  <c r="M1385" i="4" s="1"/>
  <c r="O1385" i="4" s="1"/>
  <c r="K1054" i="4"/>
  <c r="L1054" i="4" s="1"/>
  <c r="M1054" i="4" s="1"/>
  <c r="O1054" i="4" s="1"/>
  <c r="K1074" i="4"/>
  <c r="L1074" i="4" s="1"/>
  <c r="M1074" i="4" s="1"/>
  <c r="O1074" i="4" s="1"/>
  <c r="K1094" i="4"/>
  <c r="L1094" i="4" s="1"/>
  <c r="M1094" i="4" s="1"/>
  <c r="O1094" i="4" s="1"/>
  <c r="K1131" i="4"/>
  <c r="L1131" i="4" s="1"/>
  <c r="M1131" i="4" s="1"/>
  <c r="O1131" i="4" s="1"/>
  <c r="K1341" i="4"/>
  <c r="L1341" i="4" s="1"/>
  <c r="M1341" i="4" s="1"/>
  <c r="O1341" i="4" s="1"/>
  <c r="K1292" i="4"/>
  <c r="L1292" i="4" s="1"/>
  <c r="M1292" i="4" s="1"/>
  <c r="O1292" i="4" s="1"/>
  <c r="K1163" i="4"/>
  <c r="L1163" i="4" s="1"/>
  <c r="M1163" i="4" s="1"/>
  <c r="O1163" i="4" s="1"/>
  <c r="K1307" i="4"/>
  <c r="L1307" i="4" s="1"/>
  <c r="M1307" i="4" s="1"/>
  <c r="O1307" i="4" s="1"/>
  <c r="K1177" i="4"/>
  <c r="L1177" i="4" s="1"/>
  <c r="M1177" i="4" s="1"/>
  <c r="O1177" i="4" s="1"/>
  <c r="K1337" i="4"/>
  <c r="L1337" i="4" s="1"/>
  <c r="M1337" i="4" s="1"/>
  <c r="O1337" i="4" s="1"/>
  <c r="K1187" i="4"/>
  <c r="L1187" i="4" s="1"/>
  <c r="M1187" i="4" s="1"/>
  <c r="O1187" i="4" s="1"/>
  <c r="K1287" i="4"/>
  <c r="L1287" i="4" s="1"/>
  <c r="M1287" i="4" s="1"/>
  <c r="O1287" i="4" s="1"/>
  <c r="K1120" i="4"/>
  <c r="L1120" i="4" s="1"/>
  <c r="M1120" i="4" s="1"/>
  <c r="O1120" i="4" s="1"/>
  <c r="K1274" i="4"/>
  <c r="L1274" i="4" s="1"/>
  <c r="M1274" i="4" s="1"/>
  <c r="O1274" i="4" s="1"/>
  <c r="K1396" i="4"/>
  <c r="L1396" i="4" s="1"/>
  <c r="M1396" i="4" s="1"/>
  <c r="O1396" i="4" s="1"/>
  <c r="K1235" i="4"/>
  <c r="L1235" i="4" s="1"/>
  <c r="M1235" i="4" s="1"/>
  <c r="O1235" i="4" s="1"/>
  <c r="K1346" i="4"/>
  <c r="L1346" i="4" s="1"/>
  <c r="M1346" i="4" s="1"/>
  <c r="O1346" i="4" s="1"/>
  <c r="K1386" i="4"/>
  <c r="L1386" i="4" s="1"/>
  <c r="M1386" i="4" s="1"/>
  <c r="O1386" i="4" s="1"/>
  <c r="K1225" i="4"/>
  <c r="L1225" i="4" s="1"/>
  <c r="M1225" i="4" s="1"/>
  <c r="O1225" i="4" s="1"/>
  <c r="K1295" i="4"/>
  <c r="L1295" i="4" s="1"/>
  <c r="M1295" i="4" s="1"/>
  <c r="O1295" i="4" s="1"/>
  <c r="K1271" i="4"/>
  <c r="L1271" i="4" s="1"/>
  <c r="M1271" i="4" s="1"/>
  <c r="O1271" i="4" s="1"/>
  <c r="K1401" i="4"/>
  <c r="L1401" i="4" s="1"/>
  <c r="M1401" i="4" s="1"/>
  <c r="O1401" i="4" s="1"/>
  <c r="H6" i="1" l="1"/>
  <c r="H9" i="1" s="1"/>
  <c r="H8" i="1"/>
  <c r="H11" i="1" s="1"/>
  <c r="H7" i="1"/>
  <c r="H10" i="1" s="1"/>
  <c r="H13" i="1" l="1"/>
  <c r="H14" i="1" s="1"/>
</calcChain>
</file>

<file path=xl/sharedStrings.xml><?xml version="1.0" encoding="utf-8"?>
<sst xmlns="http://schemas.openxmlformats.org/spreadsheetml/2006/main" count="5544" uniqueCount="139">
  <si>
    <t>HYBRID PHYSICS–MACHINE LEARNING IMPULSE GENERATOR OPTIMISER</t>
  </si>
  <si>
    <t>400 kV Insulators · Lightning 1.2/50 µs and Switching 250/2500 µs · Original generator constraints + synthetic ML residual correction</t>
  </si>
  <si>
    <t>USER INPUT</t>
  </si>
  <si>
    <t>VALUE</t>
  </si>
  <si>
    <t>PHYSICS LAYER</t>
  </si>
  <si>
    <t>RESULT</t>
  </si>
  <si>
    <t>ML RESIDUAL CORRECTION</t>
  </si>
  <si>
    <t>PREDICTION</t>
  </si>
  <si>
    <t>Maximum system voltage (kV)</t>
  </si>
  <si>
    <t>Target front/peak time (µs)</t>
  </si>
  <si>
    <t>Algorithm</t>
  </si>
  <si>
    <t>kNN residual regression (k=7)</t>
  </si>
  <si>
    <t>Impulse type</t>
  </si>
  <si>
    <t>Lightning</t>
  </si>
  <si>
    <t>Target tail time (µs)</t>
  </si>
  <si>
    <t>ML front/peak time (µs)</t>
  </si>
  <si>
    <t>Required test voltage (kV)</t>
  </si>
  <si>
    <t>Total load capacitance (pF)</t>
  </si>
  <si>
    <t>ML tail time (µs)</t>
  </si>
  <si>
    <t>Insulator/load capacitance (pF)</t>
  </si>
  <si>
    <t>Required stages</t>
  </si>
  <si>
    <t>ML crest voltage (kV)</t>
  </si>
  <si>
    <t>Divider capacitance (pF)</t>
  </si>
  <si>
    <t>Charging voltage/stage (kV)</t>
  </si>
  <si>
    <t>Front/peak correction</t>
  </si>
  <si>
    <t>Stray capacitance (pF)</t>
  </si>
  <si>
    <t>Stage utilization</t>
  </si>
  <si>
    <t>Tail correction</t>
  </si>
  <si>
    <t>Stray inductance (µH)</t>
  </si>
  <si>
    <t>Generator capacitance C1 (µF)</t>
  </si>
  <si>
    <t>Crest correction</t>
  </si>
  <si>
    <t>Expected efficiency</t>
  </si>
  <si>
    <t>Theoretical total front R (Ω)</t>
  </si>
  <si>
    <t>Physics-feasible?</t>
  </si>
  <si>
    <t>Maximum stages</t>
  </si>
  <si>
    <t>Theoretical front R/stage (Ω)</t>
  </si>
  <si>
    <t>Waveform-compliant?</t>
  </si>
  <si>
    <t>Maximum stage voltage (kV)</t>
  </si>
  <si>
    <t>Selected front R/stage (Ω)</t>
  </si>
  <si>
    <t>Hybrid recommendation</t>
  </si>
  <si>
    <t>Stage capacitance (µF)</t>
  </si>
  <si>
    <t>Theoretical total tail R (Ω)</t>
  </si>
  <si>
    <t>Theoretical tail R/stage (Ω)</t>
  </si>
  <si>
    <t>SELECTED PRACTICAL RESISTORS</t>
  </si>
  <si>
    <t>Selected tail R/stage (Ω)</t>
  </si>
  <si>
    <t>Front resistance per stage (Ω)</t>
  </si>
  <si>
    <t>Physics front/peak time (µs)</t>
  </si>
  <si>
    <t>Front units per stage</t>
  </si>
  <si>
    <t>Physics tail time (µs)</t>
  </si>
  <si>
    <t>Tail resistance per stage (Ω)</t>
  </si>
  <si>
    <t>Physics crest voltage (kV)</t>
  </si>
  <si>
    <t>Tail units per stage</t>
  </si>
  <si>
    <t>EDITABLE PRACTICAL RESISTOR INVENTORY</t>
  </si>
  <si>
    <t>Front value (Ω)</t>
  </si>
  <si>
    <t>Units available/stage</t>
  </si>
  <si>
    <t>Tail value (Ω)</t>
  </si>
  <si>
    <t>ID</t>
  </si>
  <si>
    <t>Split</t>
  </si>
  <si>
    <t>Impulse_Type</t>
  </si>
  <si>
    <t>Test_kV</t>
  </si>
  <si>
    <t>Load_C_pF</t>
  </si>
  <si>
    <t>Divider_C_pF</t>
  </si>
  <si>
    <t>Stray_C_pF</t>
  </si>
  <si>
    <t>L_uH</t>
  </si>
  <si>
    <t>Efficiency</t>
  </si>
  <si>
    <t>Stages</t>
  </si>
  <si>
    <t>Charge_kV_Stage</t>
  </si>
  <si>
    <t>Front_R_Stage</t>
  </si>
  <si>
    <t>Tail_R_Stage</t>
  </si>
  <si>
    <t>Physics_FrontPeak_us</t>
  </si>
  <si>
    <t>Physics_Tail_us</t>
  </si>
  <si>
    <t>Physics_Crest_kV</t>
  </si>
  <si>
    <t>Observed_FrontPeak_us</t>
  </si>
  <si>
    <t>Observed_Tail_us</t>
  </si>
  <si>
    <t>Observed_Crest_kV</t>
  </si>
  <si>
    <t>Residual_FrontPeak</t>
  </si>
  <si>
    <t>Residual_Tail</t>
  </si>
  <si>
    <t>Residual_Crest</t>
  </si>
  <si>
    <t>Train</t>
  </si>
  <si>
    <t>Validation</t>
  </si>
  <si>
    <t>Hidden Test</t>
  </si>
  <si>
    <t>Switching</t>
  </si>
  <si>
    <t>Type</t>
  </si>
  <si>
    <t>Vtest</t>
  </si>
  <si>
    <t>Cload</t>
  </si>
  <si>
    <t>Cdiv</t>
  </si>
  <si>
    <t>Cstray</t>
  </si>
  <si>
    <t>L</t>
  </si>
  <si>
    <t>Eta</t>
  </si>
  <si>
    <t>Rf</t>
  </si>
  <si>
    <t>Rt</t>
  </si>
  <si>
    <t>Distance</t>
  </si>
  <si>
    <t>Rank</t>
  </si>
  <si>
    <t>Use</t>
  </si>
  <si>
    <t>Weight</t>
  </si>
  <si>
    <t>Residual Front/Peak</t>
  </si>
  <si>
    <t>Weighted residual</t>
  </si>
  <si>
    <t>Residual Tail</t>
  </si>
  <si>
    <t>Residual Crest</t>
  </si>
  <si>
    <t>MODEL VALIDATION — kNN RESIDUAL REGRESSION (k=7)</t>
  </si>
  <si>
    <t>Output</t>
  </si>
  <si>
    <t>MAE</t>
  </si>
  <si>
    <t>RMSE</t>
  </si>
  <si>
    <t>MAPE</t>
  </si>
  <si>
    <t>R²</t>
  </si>
  <si>
    <t>Front_or_Peak_Time</t>
  </si>
  <si>
    <t>Tail_Time</t>
  </si>
  <si>
    <t>Crest_Voltage</t>
  </si>
  <si>
    <t>Records</t>
  </si>
  <si>
    <t>Verification gate</t>
  </si>
  <si>
    <t>Method</t>
  </si>
  <si>
    <t>Status</t>
  </si>
  <si>
    <t>Physics constraints</t>
  </si>
  <si>
    <t>Stages ≤15; charge ≤200 kV/stage</t>
  </si>
  <si>
    <t>IMPLEMENTED</t>
  </si>
  <si>
    <t>Synthetic hidden test</t>
  </si>
  <si>
    <t>300 reserved records</t>
  </si>
  <si>
    <t>Laboratory trial shots</t>
  </si>
  <si>
    <t>Measured CPRI waveforms</t>
  </si>
  <si>
    <t>PENDING ACTUAL DATA</t>
  </si>
  <si>
    <t>MODEL CARD &amp; TECHNICAL LIMITATIONS</t>
  </si>
  <si>
    <t>Item</t>
  </si>
  <si>
    <t>Description</t>
  </si>
  <si>
    <t>Architecture</t>
  </si>
  <si>
    <t>Physics baseline + kNN residual regression + feasibility/compliance ranking</t>
  </si>
  <si>
    <t>k-Nearest Neighbours residual regression (k=7)</t>
  </si>
  <si>
    <t>Training data</t>
  </si>
  <si>
    <t>1,400 representative synthetic cases constrained by original generator ratings</t>
  </si>
  <si>
    <t>300 synthetic validation cases</t>
  </si>
  <si>
    <t>Hidden test</t>
  </si>
  <si>
    <t>300 synthetic hidden-test cases</t>
  </si>
  <si>
    <t>Targets</t>
  </si>
  <si>
    <t>Crest voltage, front/peak time and tail time</t>
  </si>
  <si>
    <t>Purpose</t>
  </si>
  <si>
    <t>Correct physics baseline and rank feasible resistor configurations</t>
  </si>
  <si>
    <t>Not claimed</t>
  </si>
  <si>
    <t>No laboratory validation has been completed</t>
  </si>
  <si>
    <t>Required next step</t>
  </si>
  <si>
    <t>Replace/refine synthetic residual patterns using actual reduced-voltage trial-shot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</si>
</sst>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>
    <font>
      <sz val="11"/>
      <name val="Carlito"/>
    </font>
    <font>
      <b/>
      <sz val="10"/>
      <color rgb="FFFFFFFF"/>
      <name val="Aptos"/>
    </font>
    <font>
      <i/>
      <sz val="10"/>
      <color rgb="FFFFFFFF"/>
      <name val="Aptos"/>
    </font>
    <font>
      <sz val="10"/>
      <name val="Aptos"/>
    </font>
    <font>
      <b/>
      <sz val="10"/>
      <color rgb="FF1B5E20"/>
      <name val="Aptos"/>
    </font>
    <font>
      <b/>
      <sz val="17"/>
      <color rgb="FFFFFFFF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6D8C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4" fillId="5" borderId="1" xfId="0" applyFont="1" applyFill="1" applyBorder="1"/>
    <xf numFmtId="0" fontId="1" fillId="3" borderId="0" xfId="0" applyFont="1" applyFill="1"/>
    <xf numFmtId="0" fontId="1" fillId="2" borderId="0" xfId="0" applyFont="1" applyFill="1" applyAlignment="1">
      <alignment wrapText="1"/>
    </xf>
    <xf numFmtId="165" fontId="3" fillId="0" borderId="0" xfId="0" applyNumberFormat="1" applyFont="1"/>
    <xf numFmtId="0" fontId="1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5" fillId="2" borderId="0" xfId="0" applyFont="1" applyFill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ybridSyntheticData" displayName="HybridSyntheticData" ref="A1:V2001" totalsRowShown="0">
  <tableColumns count="22">
    <tableColumn id="1" xr3:uid="{00000000-0010-0000-0000-000001000000}" name="ID"/>
    <tableColumn id="2" xr3:uid="{00000000-0010-0000-0000-000002000000}" name="Split"/>
    <tableColumn id="3" xr3:uid="{00000000-0010-0000-0000-000003000000}" name="Impulse_Type"/>
    <tableColumn id="4" xr3:uid="{00000000-0010-0000-0000-000004000000}" name="Test_kV"/>
    <tableColumn id="5" xr3:uid="{00000000-0010-0000-0000-000005000000}" name="Load_C_pF"/>
    <tableColumn id="6" xr3:uid="{00000000-0010-0000-0000-000006000000}" name="Divider_C_pF"/>
    <tableColumn id="7" xr3:uid="{00000000-0010-0000-0000-000007000000}" name="Stray_C_pF"/>
    <tableColumn id="8" xr3:uid="{00000000-0010-0000-0000-000008000000}" name="L_uH"/>
    <tableColumn id="9" xr3:uid="{00000000-0010-0000-0000-000009000000}" name="Efficiency"/>
    <tableColumn id="10" xr3:uid="{00000000-0010-0000-0000-00000A000000}" name="Stages"/>
    <tableColumn id="11" xr3:uid="{00000000-0010-0000-0000-00000B000000}" name="Charge_kV_Stage"/>
    <tableColumn id="12" xr3:uid="{00000000-0010-0000-0000-00000C000000}" name="Front_R_Stage"/>
    <tableColumn id="13" xr3:uid="{00000000-0010-0000-0000-00000D000000}" name="Tail_R_Stage"/>
    <tableColumn id="14" xr3:uid="{00000000-0010-0000-0000-00000E000000}" name="Physics_FrontPeak_us"/>
    <tableColumn id="15" xr3:uid="{00000000-0010-0000-0000-00000F000000}" name="Physics_Tail_us"/>
    <tableColumn id="16" xr3:uid="{00000000-0010-0000-0000-000010000000}" name="Physics_Crest_kV"/>
    <tableColumn id="17" xr3:uid="{00000000-0010-0000-0000-000011000000}" name="Observed_FrontPeak_us"/>
    <tableColumn id="18" xr3:uid="{00000000-0010-0000-0000-000012000000}" name="Observed_Tail_us"/>
    <tableColumn id="19" xr3:uid="{00000000-0010-0000-0000-000013000000}" name="Observed_Crest_kV"/>
    <tableColumn id="20" xr3:uid="{00000000-0010-0000-0000-000014000000}" name="Residual_FrontPeak"/>
    <tableColumn id="21" xr3:uid="{00000000-0010-0000-0000-000015000000}" name="Residual_Tail"/>
    <tableColumn id="22" xr3:uid="{00000000-0010-0000-0000-000016000000}" name="Residual_Cr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topLeftCell="A3" zoomScale="207" workbookViewId="0">
      <selection activeCell="B8" sqref="B8"/>
    </sheetView>
  </sheetViews>
  <sheetFormatPr baseColWidth="10" defaultColWidth="8.83203125" defaultRowHeight="14"/>
  <cols>
    <col min="1" max="1" width="38" customWidth="1"/>
    <col min="2" max="3" width="26" customWidth="1"/>
    <col min="4" max="4" width="38" customWidth="1"/>
    <col min="5" max="6" width="26" customWidth="1"/>
    <col min="7" max="7" width="34" customWidth="1"/>
    <col min="8" max="8" width="26" customWidth="1"/>
  </cols>
  <sheetData>
    <row r="1" spans="1:8" ht="21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>
      <c r="A2" s="15" t="s">
        <v>1</v>
      </c>
      <c r="B2" s="15"/>
      <c r="C2" s="15"/>
      <c r="D2" s="15"/>
      <c r="E2" s="15"/>
      <c r="F2" s="15"/>
      <c r="G2" s="15"/>
      <c r="H2" s="15"/>
    </row>
    <row r="3" spans="1:8" ht="15">
      <c r="A3" s="2"/>
      <c r="B3" s="2"/>
      <c r="C3" s="2"/>
      <c r="D3" s="2"/>
      <c r="E3" s="2"/>
      <c r="F3" s="2"/>
      <c r="G3" s="2"/>
      <c r="H3" s="2"/>
    </row>
    <row r="4" spans="1:8" ht="15">
      <c r="A4" s="3" t="s">
        <v>2</v>
      </c>
      <c r="B4" s="3" t="s">
        <v>3</v>
      </c>
      <c r="C4" s="4"/>
      <c r="D4" s="3" t="s">
        <v>4</v>
      </c>
      <c r="E4" s="3" t="s">
        <v>5</v>
      </c>
      <c r="F4" s="4"/>
      <c r="G4" s="3" t="s">
        <v>6</v>
      </c>
      <c r="H4" s="3" t="s">
        <v>7</v>
      </c>
    </row>
    <row r="5" spans="1:8" ht="15">
      <c r="A5" s="4" t="s">
        <v>8</v>
      </c>
      <c r="B5" s="5">
        <v>400</v>
      </c>
      <c r="C5" s="4"/>
      <c r="D5" s="4" t="s">
        <v>9</v>
      </c>
      <c r="E5" s="4">
        <f>IF(B6="Lightning",1.2,250)</f>
        <v>1.2</v>
      </c>
      <c r="F5" s="4"/>
      <c r="G5" s="4" t="s">
        <v>10</v>
      </c>
      <c r="H5" s="4" t="s">
        <v>11</v>
      </c>
    </row>
    <row r="6" spans="1:8" ht="15">
      <c r="A6" s="4" t="s">
        <v>12</v>
      </c>
      <c r="B6" s="5" t="s">
        <v>13</v>
      </c>
      <c r="C6" s="4"/>
      <c r="D6" s="4" t="s">
        <v>14</v>
      </c>
      <c r="E6" s="4">
        <f>IF(B6="Lightning",50,2500)</f>
        <v>50</v>
      </c>
      <c r="F6" s="4"/>
      <c r="G6" s="4" t="s">
        <v>15</v>
      </c>
      <c r="H6" s="4">
        <f>E18+SUMPRODUCT('ML Helper'!$N$2:$N$1401,'ML Helper'!$O$2:$O$1401)/SUM('ML Helper'!$O$2:$O$1401)</f>
        <v>1.2048966488389281</v>
      </c>
    </row>
    <row r="7" spans="1:8" ht="15">
      <c r="A7" s="4" t="s">
        <v>16</v>
      </c>
      <c r="B7" s="5">
        <v>1425</v>
      </c>
      <c r="C7" s="4"/>
      <c r="D7" s="4" t="s">
        <v>17</v>
      </c>
      <c r="E7" s="4">
        <f>SUM(B8:B10)</f>
        <v>1500</v>
      </c>
      <c r="F7" s="4"/>
      <c r="G7" s="4" t="s">
        <v>18</v>
      </c>
      <c r="H7" s="4">
        <f>E19+SUMPRODUCT('ML Helper'!$P$2:$P$1401,'ML Helper'!$O$2:$O$1401)/SUM('ML Helper'!$O$2:$O$1401)</f>
        <v>51.963708586038585</v>
      </c>
    </row>
    <row r="8" spans="1:8" ht="15">
      <c r="A8" s="4" t="s">
        <v>19</v>
      </c>
      <c r="B8" s="5">
        <v>850</v>
      </c>
      <c r="C8" s="4"/>
      <c r="D8" s="4" t="s">
        <v>20</v>
      </c>
      <c r="E8" s="4">
        <f>CEILING(B7/(B14*B12),1)</f>
        <v>9</v>
      </c>
      <c r="F8" s="4"/>
      <c r="G8" s="4" t="s">
        <v>21</v>
      </c>
      <c r="H8" s="4">
        <f>E20+SUMPRODUCT('ML Helper'!$Q$2:$Q$1401,'ML Helper'!$O$2:$O$1401)/SUM('ML Helper'!$O$2:$O$1401)</f>
        <v>1432.9465849518499</v>
      </c>
    </row>
    <row r="9" spans="1:8" ht="15">
      <c r="A9" s="4" t="s">
        <v>22</v>
      </c>
      <c r="B9" s="5">
        <v>500</v>
      </c>
      <c r="C9" s="4"/>
      <c r="D9" s="4" t="s">
        <v>23</v>
      </c>
      <c r="E9" s="4">
        <f>B7/(B12*E8)</f>
        <v>193.08943089430895</v>
      </c>
      <c r="F9" s="4"/>
      <c r="G9" s="4" t="s">
        <v>24</v>
      </c>
      <c r="H9" s="4">
        <f>H6-E18</f>
        <v>-5.1333094678900348E-3</v>
      </c>
    </row>
    <row r="10" spans="1:8" ht="15">
      <c r="A10" s="4" t="s">
        <v>25</v>
      </c>
      <c r="B10" s="5">
        <v>150</v>
      </c>
      <c r="C10" s="4"/>
      <c r="D10" s="4" t="s">
        <v>26</v>
      </c>
      <c r="E10" s="6">
        <f>E9/B14</f>
        <v>0.96544715447154472</v>
      </c>
      <c r="F10" s="4"/>
      <c r="G10" s="4" t="s">
        <v>27</v>
      </c>
      <c r="H10" s="4">
        <f>H7-E19</f>
        <v>-0.24517891396140357</v>
      </c>
    </row>
    <row r="11" spans="1:8" ht="15">
      <c r="A11" s="4" t="s">
        <v>28</v>
      </c>
      <c r="B11" s="5">
        <v>18.5</v>
      </c>
      <c r="C11" s="4"/>
      <c r="D11" s="4" t="s">
        <v>29</v>
      </c>
      <c r="E11" s="4">
        <f>B15/E8</f>
        <v>0.33333333333333331</v>
      </c>
      <c r="F11" s="4"/>
      <c r="G11" s="4" t="s">
        <v>30</v>
      </c>
      <c r="H11" s="4">
        <f>H8-E20</f>
        <v>7.9465849518498999</v>
      </c>
    </row>
    <row r="12" spans="1:8" ht="15">
      <c r="A12" s="4" t="s">
        <v>31</v>
      </c>
      <c r="B12" s="7">
        <v>0.82</v>
      </c>
      <c r="C12" s="4"/>
      <c r="D12" s="4" t="s">
        <v>32</v>
      </c>
      <c r="E12" s="4">
        <f>SQRT(MAX(0.000000000000000001,((E5/1000000)/1.67)^2-2.5*(B11/1000000)*(E7/1000000000000)))/(E7/1000000000000)</f>
        <v>445.69925298597315</v>
      </c>
      <c r="F12" s="4"/>
      <c r="G12" s="4" t="s">
        <v>33</v>
      </c>
      <c r="H12" s="4" t="str">
        <f>IF(AND(E8&lt;=B13,E9&lt;=B14),"YES","NO")</f>
        <v>YES</v>
      </c>
    </row>
    <row r="13" spans="1:8" ht="15">
      <c r="A13" s="4" t="s">
        <v>34</v>
      </c>
      <c r="B13" s="5">
        <v>15</v>
      </c>
      <c r="C13" s="4"/>
      <c r="D13" s="4" t="s">
        <v>35</v>
      </c>
      <c r="E13" s="4">
        <f>E12/E8</f>
        <v>49.522139220663682</v>
      </c>
      <c r="F13" s="4"/>
      <c r="G13" s="4" t="s">
        <v>36</v>
      </c>
      <c r="H13" s="4" t="str">
        <f>IF(AND(H6&gt;=IF(B6="Lightning",0.84,200),H6&lt;=IF(B6="Lightning",1.56,300),H7&gt;=E6*0.8,H7&lt;=E6*1.2,ABS(H8/B7-1)&lt;=0.03),"YES","NO")</f>
        <v>YES</v>
      </c>
    </row>
    <row r="14" spans="1:8" ht="15">
      <c r="A14" s="4" t="s">
        <v>37</v>
      </c>
      <c r="B14" s="5">
        <v>200</v>
      </c>
      <c r="C14" s="4"/>
      <c r="D14" s="4" t="s">
        <v>38</v>
      </c>
      <c r="E14" s="4">
        <f>ROUND(E13/5,0)*5</f>
        <v>50</v>
      </c>
      <c r="F14" s="4"/>
      <c r="G14" s="4" t="s">
        <v>39</v>
      </c>
      <c r="H14" s="8" t="str">
        <f>IF(AND(H12="YES",H13="YES"),"PASS — RECOMMENDED","REVIEW — NOT RECOMMENDED")</f>
        <v>PASS — RECOMMENDED</v>
      </c>
    </row>
    <row r="15" spans="1:8" ht="15">
      <c r="A15" s="4" t="s">
        <v>40</v>
      </c>
      <c r="B15" s="5">
        <v>3</v>
      </c>
      <c r="C15" s="4"/>
      <c r="D15" s="4" t="s">
        <v>41</v>
      </c>
      <c r="E15" s="4">
        <f>(E6/1000000)/(0.693*((E11/1000000)+(E7/1000000000000)))</f>
        <v>215.48055395740815</v>
      </c>
      <c r="F15" s="4"/>
      <c r="G15" s="4"/>
      <c r="H15" s="4"/>
    </row>
    <row r="16" spans="1:8" ht="15">
      <c r="A16" s="4"/>
      <c r="B16" s="4"/>
      <c r="C16" s="4"/>
      <c r="D16" s="4" t="s">
        <v>42</v>
      </c>
      <c r="E16" s="4">
        <f>E15/E8</f>
        <v>23.94228377304535</v>
      </c>
      <c r="F16" s="4"/>
      <c r="G16" s="4"/>
      <c r="H16" s="4"/>
    </row>
    <row r="17" spans="1:8" ht="15">
      <c r="A17" s="3" t="s">
        <v>43</v>
      </c>
      <c r="B17" s="3" t="s">
        <v>3</v>
      </c>
      <c r="C17" s="4"/>
      <c r="D17" s="4" t="s">
        <v>44</v>
      </c>
      <c r="E17" s="4">
        <f>ROUND(E16/5,0)*5</f>
        <v>25</v>
      </c>
      <c r="F17" s="4"/>
      <c r="G17" s="4"/>
      <c r="H17" s="4"/>
    </row>
    <row r="18" spans="1:8" ht="15">
      <c r="A18" s="4" t="s">
        <v>45</v>
      </c>
      <c r="B18" s="4">
        <f>ROUND(E14/5,0)*5</f>
        <v>50</v>
      </c>
      <c r="C18" s="4"/>
      <c r="D18" s="4" t="s">
        <v>46</v>
      </c>
      <c r="E18" s="4">
        <f>1.67*SQRT(((E14*E8)*(E7/1000000000000))^2+2.5*(B11/1000000)*(E7/1000000000000))*1000000</f>
        <v>1.2100299583068181</v>
      </c>
      <c r="F18" s="4"/>
      <c r="G18" s="4"/>
      <c r="H18" s="4"/>
    </row>
    <row r="19" spans="1:8" ht="15">
      <c r="A19" s="4" t="s">
        <v>47</v>
      </c>
      <c r="B19" s="4">
        <f>1</f>
        <v>1</v>
      </c>
      <c r="C19" s="4"/>
      <c r="D19" s="4" t="s">
        <v>48</v>
      </c>
      <c r="E19" s="4">
        <f>0.693*(E17*E8)*((E11/1000000)+(E7/1000000000000))*1000000</f>
        <v>52.208887499999989</v>
      </c>
      <c r="F19" s="4"/>
      <c r="G19" s="4"/>
      <c r="H19" s="4"/>
    </row>
    <row r="20" spans="1:8" ht="15">
      <c r="A20" s="4" t="s">
        <v>49</v>
      </c>
      <c r="B20" s="4">
        <f>ROUND(E17/5,0)*5</f>
        <v>25</v>
      </c>
      <c r="C20" s="4"/>
      <c r="D20" s="4" t="s">
        <v>50</v>
      </c>
      <c r="E20" s="4">
        <f>B7</f>
        <v>1425</v>
      </c>
      <c r="F20" s="4"/>
      <c r="G20" s="4"/>
      <c r="H20" s="4"/>
    </row>
    <row r="21" spans="1:8" ht="15">
      <c r="A21" s="4" t="s">
        <v>51</v>
      </c>
      <c r="B21" s="4">
        <f>1</f>
        <v>1</v>
      </c>
      <c r="C21" s="4"/>
      <c r="D21" s="4"/>
      <c r="E21" s="4"/>
      <c r="F21" s="4"/>
      <c r="G21" s="4"/>
      <c r="H21" s="4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09" workbookViewId="0">
      <selection sqref="A1:G1"/>
    </sheetView>
  </sheetViews>
  <sheetFormatPr baseColWidth="10" defaultColWidth="8.83203125" defaultRowHeight="14"/>
  <cols>
    <col min="1" max="6" width="24" customWidth="1"/>
  </cols>
  <sheetData>
    <row r="1" spans="1:7" ht="15">
      <c r="A1" s="16" t="s">
        <v>52</v>
      </c>
      <c r="B1" s="16"/>
      <c r="C1" s="16"/>
      <c r="D1" s="16"/>
      <c r="E1" s="16"/>
      <c r="F1" s="16"/>
      <c r="G1" s="16"/>
    </row>
    <row r="2" spans="1:7" ht="15">
      <c r="A2" s="2"/>
      <c r="B2" s="2"/>
      <c r="C2" s="2"/>
      <c r="D2" s="2"/>
      <c r="E2" s="2"/>
      <c r="F2" s="2"/>
      <c r="G2" s="2"/>
    </row>
    <row r="3" spans="1:7" ht="15">
      <c r="A3" s="9" t="s">
        <v>53</v>
      </c>
      <c r="B3" s="9" t="s">
        <v>54</v>
      </c>
      <c r="C3" s="2"/>
      <c r="D3" s="2"/>
      <c r="E3" s="9" t="s">
        <v>55</v>
      </c>
      <c r="F3" s="9" t="s">
        <v>54</v>
      </c>
      <c r="G3" s="2"/>
    </row>
    <row r="4" spans="1:7" ht="15">
      <c r="A4" s="2">
        <v>10</v>
      </c>
      <c r="B4" s="2">
        <v>4</v>
      </c>
      <c r="C4" s="2"/>
      <c r="D4" s="2"/>
      <c r="E4" s="2">
        <v>5</v>
      </c>
      <c r="F4" s="2">
        <v>4</v>
      </c>
      <c r="G4" s="2"/>
    </row>
    <row r="5" spans="1:7" ht="15">
      <c r="A5" s="2">
        <v>20</v>
      </c>
      <c r="B5" s="2">
        <v>4</v>
      </c>
      <c r="C5" s="2"/>
      <c r="D5" s="2"/>
      <c r="E5" s="2">
        <v>10</v>
      </c>
      <c r="F5" s="2">
        <v>4</v>
      </c>
      <c r="G5" s="2"/>
    </row>
    <row r="6" spans="1:7" ht="15">
      <c r="A6" s="2">
        <v>30</v>
      </c>
      <c r="B6" s="2">
        <v>4</v>
      </c>
      <c r="C6" s="2"/>
      <c r="D6" s="2"/>
      <c r="E6" s="2">
        <v>15</v>
      </c>
      <c r="F6" s="2">
        <v>4</v>
      </c>
      <c r="G6" s="2"/>
    </row>
    <row r="7" spans="1:7" ht="15">
      <c r="A7" s="2">
        <v>50</v>
      </c>
      <c r="B7" s="2">
        <v>4</v>
      </c>
      <c r="C7" s="2"/>
      <c r="D7" s="2"/>
      <c r="E7" s="2">
        <v>20</v>
      </c>
      <c r="F7" s="2">
        <v>4</v>
      </c>
      <c r="G7" s="2"/>
    </row>
    <row r="8" spans="1:7" ht="15">
      <c r="A8" s="2">
        <v>75</v>
      </c>
      <c r="B8" s="2">
        <v>4</v>
      </c>
      <c r="C8" s="2"/>
      <c r="D8" s="2"/>
      <c r="E8" s="2">
        <v>25</v>
      </c>
      <c r="F8" s="2">
        <v>4</v>
      </c>
      <c r="G8" s="2"/>
    </row>
    <row r="9" spans="1:7" ht="15">
      <c r="A9" s="2">
        <v>100</v>
      </c>
      <c r="B9" s="2">
        <v>4</v>
      </c>
      <c r="C9" s="2"/>
      <c r="D9" s="2"/>
      <c r="E9" s="2">
        <v>30</v>
      </c>
      <c r="F9" s="2">
        <v>4</v>
      </c>
      <c r="G9" s="2"/>
    </row>
    <row r="10" spans="1:7" ht="15">
      <c r="A10" s="2">
        <v>150</v>
      </c>
      <c r="B10" s="2">
        <v>4</v>
      </c>
      <c r="C10" s="2"/>
      <c r="D10" s="2"/>
      <c r="E10" s="2">
        <v>40</v>
      </c>
      <c r="F10" s="2">
        <v>4</v>
      </c>
      <c r="G10" s="2"/>
    </row>
    <row r="11" spans="1:7" ht="15">
      <c r="A11" s="2">
        <v>200</v>
      </c>
      <c r="B11" s="2">
        <v>4</v>
      </c>
      <c r="C11" s="2"/>
      <c r="D11" s="2"/>
      <c r="E11" s="2">
        <v>50</v>
      </c>
      <c r="F11" s="2">
        <v>4</v>
      </c>
      <c r="G11" s="2"/>
    </row>
    <row r="12" spans="1:7" ht="15">
      <c r="A12" s="2">
        <v>300</v>
      </c>
      <c r="B12" s="2">
        <v>4</v>
      </c>
      <c r="C12" s="2"/>
      <c r="D12" s="2"/>
      <c r="E12" s="2">
        <v>75</v>
      </c>
      <c r="F12" s="2">
        <v>4</v>
      </c>
      <c r="G12" s="2"/>
    </row>
    <row r="13" spans="1:7" ht="15">
      <c r="A13" s="2">
        <v>500</v>
      </c>
      <c r="B13" s="2">
        <v>4</v>
      </c>
      <c r="C13" s="2"/>
      <c r="D13" s="2"/>
      <c r="E13" s="2">
        <v>100</v>
      </c>
      <c r="F13" s="2">
        <v>4</v>
      </c>
      <c r="G13" s="2"/>
    </row>
    <row r="14" spans="1:7" ht="15">
      <c r="A14" s="2"/>
      <c r="B14" s="2"/>
      <c r="C14" s="2"/>
      <c r="D14" s="2"/>
      <c r="E14" s="2">
        <v>150</v>
      </c>
      <c r="F14" s="2">
        <v>4</v>
      </c>
      <c r="G14" s="2"/>
    </row>
    <row r="15" spans="1:7" ht="15">
      <c r="A15" s="2"/>
      <c r="B15" s="2"/>
      <c r="C15" s="2"/>
      <c r="D15" s="2"/>
      <c r="E15" s="2">
        <v>200</v>
      </c>
      <c r="F15" s="2">
        <v>4</v>
      </c>
      <c r="G15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01"/>
  <sheetViews>
    <sheetView showGridLines="0" topLeftCell="D1" zoomScale="125" workbookViewId="0">
      <selection activeCell="H2" sqref="H2:H2001"/>
    </sheetView>
  </sheetViews>
  <sheetFormatPr baseColWidth="10" defaultColWidth="8.83203125" defaultRowHeight="14"/>
  <cols>
    <col min="1" max="22" width="16" customWidth="1"/>
  </cols>
  <sheetData>
    <row r="1" spans="1:22" ht="30">
      <c r="A1" s="10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  <c r="H1" s="10" t="s">
        <v>63</v>
      </c>
      <c r="I1" s="10" t="s">
        <v>64</v>
      </c>
      <c r="J1" s="10" t="s">
        <v>65</v>
      </c>
      <c r="K1" s="10" t="s">
        <v>66</v>
      </c>
      <c r="L1" s="10" t="s">
        <v>67</v>
      </c>
      <c r="M1" s="10" t="s">
        <v>68</v>
      </c>
      <c r="N1" s="10" t="s">
        <v>69</v>
      </c>
      <c r="O1" s="10" t="s">
        <v>70</v>
      </c>
      <c r="P1" s="10" t="s">
        <v>71</v>
      </c>
      <c r="Q1" s="10" t="s">
        <v>72</v>
      </c>
      <c r="R1" s="10" t="s">
        <v>73</v>
      </c>
      <c r="S1" s="10" t="s">
        <v>74</v>
      </c>
      <c r="T1" s="10" t="s">
        <v>75</v>
      </c>
      <c r="U1" s="10" t="s">
        <v>76</v>
      </c>
      <c r="V1" s="10" t="s">
        <v>77</v>
      </c>
    </row>
    <row r="2" spans="1:22" ht="15">
      <c r="A2" s="2">
        <v>1</v>
      </c>
      <c r="B2" s="2" t="s">
        <v>78</v>
      </c>
      <c r="C2" s="2" t="s">
        <v>13</v>
      </c>
      <c r="D2" s="2">
        <v>1404.498256277293</v>
      </c>
      <c r="E2" s="2">
        <v>796.90734700998291</v>
      </c>
      <c r="F2" s="2">
        <v>383.98521486669779</v>
      </c>
      <c r="G2" s="2">
        <v>163.87698704609647</v>
      </c>
      <c r="H2" s="2">
        <v>21.27743093110621</v>
      </c>
      <c r="I2" s="2">
        <v>0.83745393852936112</v>
      </c>
      <c r="J2" s="2">
        <v>9</v>
      </c>
      <c r="K2" s="2">
        <v>186.34500911493035</v>
      </c>
      <c r="L2" s="2">
        <v>55</v>
      </c>
      <c r="M2" s="2">
        <v>25</v>
      </c>
      <c r="N2" s="2">
        <v>1.1980286830940201</v>
      </c>
      <c r="O2" s="2">
        <v>52.184683191915788</v>
      </c>
      <c r="P2" s="2">
        <v>1404.498256277293</v>
      </c>
      <c r="Q2" s="2">
        <v>1.1781493841169006</v>
      </c>
      <c r="R2" s="2">
        <v>51.85199155152155</v>
      </c>
      <c r="S2" s="2">
        <v>1413.7931271368279</v>
      </c>
      <c r="T2" s="2">
        <v>-1.9879298977119486E-2</v>
      </c>
      <c r="U2" s="2">
        <v>-0.33269164039423771</v>
      </c>
      <c r="V2" s="2">
        <v>9.2948708595349672</v>
      </c>
    </row>
    <row r="3" spans="1:22" ht="15">
      <c r="A3" s="2">
        <v>2</v>
      </c>
      <c r="B3" s="2" t="s">
        <v>78</v>
      </c>
      <c r="C3" s="2" t="s">
        <v>13</v>
      </c>
      <c r="D3" s="2">
        <v>1465.010655450169</v>
      </c>
      <c r="E3" s="2">
        <v>802.25135006476194</v>
      </c>
      <c r="F3" s="2">
        <v>369.63737243786454</v>
      </c>
      <c r="G3" s="2">
        <v>199.86520350910723</v>
      </c>
      <c r="H3" s="2">
        <v>24.446143113542348</v>
      </c>
      <c r="I3" s="2">
        <v>0.80132588698063045</v>
      </c>
      <c r="J3" s="2">
        <v>10</v>
      </c>
      <c r="K3" s="2">
        <v>182.8233280931783</v>
      </c>
      <c r="L3" s="2">
        <v>50</v>
      </c>
      <c r="M3" s="2">
        <v>25</v>
      </c>
      <c r="N3" s="2">
        <v>1.2432950252956587</v>
      </c>
      <c r="O3" s="2">
        <v>52.212656367681532</v>
      </c>
      <c r="P3" s="2">
        <v>1465.010655450169</v>
      </c>
      <c r="Q3" s="2">
        <v>1.2376454552571015</v>
      </c>
      <c r="R3" s="2">
        <v>52.080907464140388</v>
      </c>
      <c r="S3" s="2">
        <v>1473.641202891381</v>
      </c>
      <c r="T3" s="2">
        <v>-5.6495700385572611E-3</v>
      </c>
      <c r="U3" s="2">
        <v>-0.1317489035411441</v>
      </c>
      <c r="V3" s="2">
        <v>8.630547441212002</v>
      </c>
    </row>
    <row r="4" spans="1:22" ht="15">
      <c r="A4" s="2">
        <v>3</v>
      </c>
      <c r="B4" s="2" t="s">
        <v>78</v>
      </c>
      <c r="C4" s="2" t="s">
        <v>13</v>
      </c>
      <c r="D4" s="2">
        <v>1392.5916019594297</v>
      </c>
      <c r="E4" s="2">
        <v>693.86743434006348</v>
      </c>
      <c r="F4" s="2">
        <v>623.59327785670757</v>
      </c>
      <c r="G4" s="2">
        <v>170.7822658191435</v>
      </c>
      <c r="H4" s="2">
        <v>22.082605068571866</v>
      </c>
      <c r="I4" s="2">
        <v>0.81353037268621853</v>
      </c>
      <c r="J4" s="2">
        <v>9</v>
      </c>
      <c r="K4" s="2">
        <v>190.19867654946822</v>
      </c>
      <c r="L4" s="2">
        <v>50</v>
      </c>
      <c r="M4" s="2">
        <v>25</v>
      </c>
      <c r="N4" s="2">
        <v>1.2165480683705421</v>
      </c>
      <c r="O4" s="2">
        <v>52.20705428634713</v>
      </c>
      <c r="P4" s="2">
        <v>1392.5916019594297</v>
      </c>
      <c r="Q4" s="2">
        <v>1.2053054506942493</v>
      </c>
      <c r="R4" s="2">
        <v>50.730526794891759</v>
      </c>
      <c r="S4" s="2">
        <v>1387.1978944149498</v>
      </c>
      <c r="T4" s="2">
        <v>-1.1242617676292754E-2</v>
      </c>
      <c r="U4" s="2">
        <v>-1.4765274914553714</v>
      </c>
      <c r="V4" s="2">
        <v>-5.3937075444798666</v>
      </c>
    </row>
    <row r="5" spans="1:22" ht="15">
      <c r="A5" s="2">
        <v>4</v>
      </c>
      <c r="B5" s="2" t="s">
        <v>78</v>
      </c>
      <c r="C5" s="2" t="s">
        <v>13</v>
      </c>
      <c r="D5" s="2">
        <v>1401.121345104184</v>
      </c>
      <c r="E5" s="2">
        <v>783.60219714231789</v>
      </c>
      <c r="F5" s="2">
        <v>411.93384556099772</v>
      </c>
      <c r="G5" s="2">
        <v>160.44350554700941</v>
      </c>
      <c r="H5" s="2">
        <v>11.087711356114596</v>
      </c>
      <c r="I5" s="2">
        <v>0.80253169288858772</v>
      </c>
      <c r="J5" s="2">
        <v>9</v>
      </c>
      <c r="K5" s="2">
        <v>193.98629466666173</v>
      </c>
      <c r="L5" s="2">
        <v>55</v>
      </c>
      <c r="M5" s="2">
        <v>25</v>
      </c>
      <c r="N5" s="2">
        <v>1.1667426916582535</v>
      </c>
      <c r="O5" s="2">
        <v>52.186431111060926</v>
      </c>
      <c r="P5" s="2">
        <v>1401.121345104184</v>
      </c>
      <c r="Q5" s="2">
        <v>1.1656349259565895</v>
      </c>
      <c r="R5" s="2">
        <v>52.691512353081876</v>
      </c>
      <c r="S5" s="2">
        <v>1416.8504068896923</v>
      </c>
      <c r="T5" s="2">
        <v>-1.107765701664043E-3</v>
      </c>
      <c r="U5" s="2">
        <v>0.50508124202094962</v>
      </c>
      <c r="V5" s="2">
        <v>15.729061785508293</v>
      </c>
    </row>
    <row r="6" spans="1:22" ht="15">
      <c r="A6" s="2">
        <v>5</v>
      </c>
      <c r="B6" s="2" t="s">
        <v>78</v>
      </c>
      <c r="C6" s="2" t="s">
        <v>13</v>
      </c>
      <c r="D6" s="2">
        <v>1358.607933903113</v>
      </c>
      <c r="E6" s="2">
        <v>628.55785879073665</v>
      </c>
      <c r="F6" s="2">
        <v>518.21405123919249</v>
      </c>
      <c r="G6" s="2">
        <v>197.54131625639275</v>
      </c>
      <c r="H6" s="2">
        <v>9.624362550675869</v>
      </c>
      <c r="I6" s="2">
        <v>0.85130777912447231</v>
      </c>
      <c r="J6" s="2">
        <v>8</v>
      </c>
      <c r="K6" s="2">
        <v>199.48835885482771</v>
      </c>
      <c r="L6" s="2">
        <v>65</v>
      </c>
      <c r="M6" s="2">
        <v>25</v>
      </c>
      <c r="N6" s="2">
        <v>1.2054188401657679</v>
      </c>
      <c r="O6" s="2">
        <v>52.161321813163283</v>
      </c>
      <c r="P6" s="2">
        <v>1358.607933903113</v>
      </c>
      <c r="Q6" s="2">
        <v>1.2060368588053454</v>
      </c>
      <c r="R6" s="2">
        <v>50.909459630173359</v>
      </c>
      <c r="S6" s="2">
        <v>1373.2449419753225</v>
      </c>
      <c r="T6" s="2">
        <v>6.1801863957744452E-4</v>
      </c>
      <c r="U6" s="2">
        <v>-1.2518621829899246</v>
      </c>
      <c r="V6" s="2">
        <v>14.637008072209483</v>
      </c>
    </row>
    <row r="7" spans="1:22" ht="15">
      <c r="A7" s="2">
        <v>6</v>
      </c>
      <c r="B7" s="2" t="s">
        <v>78</v>
      </c>
      <c r="C7" s="2" t="s">
        <v>13</v>
      </c>
      <c r="D7" s="2">
        <v>1433.5840596933849</v>
      </c>
      <c r="E7" s="2">
        <v>1000.2757522976026</v>
      </c>
      <c r="F7" s="2">
        <v>534.63836880400777</v>
      </c>
      <c r="G7" s="2">
        <v>127.03792510554194</v>
      </c>
      <c r="H7" s="2">
        <v>17.794689996633679</v>
      </c>
      <c r="I7" s="2">
        <v>0.83950954297091818</v>
      </c>
      <c r="J7" s="2">
        <v>9</v>
      </c>
      <c r="K7" s="2">
        <v>189.73830503464254</v>
      </c>
      <c r="L7" s="2">
        <v>45</v>
      </c>
      <c r="M7" s="2">
        <v>25</v>
      </c>
      <c r="N7" s="2">
        <v>1.2123161735201553</v>
      </c>
      <c r="O7" s="2">
        <v>52.234139872804846</v>
      </c>
      <c r="P7" s="2">
        <v>1433.5840596933849</v>
      </c>
      <c r="Q7" s="2">
        <v>1.2055039575849182</v>
      </c>
      <c r="R7" s="2">
        <v>53.276966886517499</v>
      </c>
      <c r="S7" s="2">
        <v>1429.8090430855057</v>
      </c>
      <c r="T7" s="2">
        <v>-6.8122159352370648E-3</v>
      </c>
      <c r="U7" s="2">
        <v>1.0428270137126532</v>
      </c>
      <c r="V7" s="2">
        <v>-3.7750166078792518</v>
      </c>
    </row>
    <row r="8" spans="1:22" ht="15">
      <c r="A8" s="2">
        <v>7</v>
      </c>
      <c r="B8" s="2" t="s">
        <v>78</v>
      </c>
      <c r="C8" s="2" t="s">
        <v>13</v>
      </c>
      <c r="D8" s="2">
        <v>1492.9545208113268</v>
      </c>
      <c r="E8" s="2">
        <v>1073.0425685760565</v>
      </c>
      <c r="F8" s="2">
        <v>463.78661096096039</v>
      </c>
      <c r="G8" s="2">
        <v>300.64811357995495</v>
      </c>
      <c r="H8" s="2">
        <v>17.704082760028541</v>
      </c>
      <c r="I8" s="2">
        <v>0.81402155607705939</v>
      </c>
      <c r="J8" s="2">
        <v>10</v>
      </c>
      <c r="K8" s="2">
        <v>183.40478942673064</v>
      </c>
      <c r="L8" s="2">
        <v>35</v>
      </c>
      <c r="M8" s="2">
        <v>25</v>
      </c>
      <c r="N8" s="2">
        <v>1.1748621135188062</v>
      </c>
      <c r="O8" s="2">
        <v>52.293342941032513</v>
      </c>
      <c r="P8" s="2">
        <v>1492.9545208113268</v>
      </c>
      <c r="Q8" s="2">
        <v>1.1719382049910569</v>
      </c>
      <c r="R8" s="2">
        <v>53.673365102048535</v>
      </c>
      <c r="S8" s="2">
        <v>1490.1250909470496</v>
      </c>
      <c r="T8" s="2">
        <v>-2.9239085277492638E-3</v>
      </c>
      <c r="U8" s="2">
        <v>1.3800221610160222</v>
      </c>
      <c r="V8" s="2">
        <v>-2.8294298642772446</v>
      </c>
    </row>
    <row r="9" spans="1:22" ht="15">
      <c r="A9" s="2">
        <v>8</v>
      </c>
      <c r="B9" s="2" t="s">
        <v>78</v>
      </c>
      <c r="C9" s="2" t="s">
        <v>13</v>
      </c>
      <c r="D9" s="2">
        <v>1443.9684216747992</v>
      </c>
      <c r="E9" s="2">
        <v>697.49324442818761</v>
      </c>
      <c r="F9" s="2">
        <v>624.53908389434218</v>
      </c>
      <c r="G9" s="2">
        <v>119.40401191357523</v>
      </c>
      <c r="H9" s="2">
        <v>9.9313744581304491</v>
      </c>
      <c r="I9" s="2">
        <v>0.82265632041729986</v>
      </c>
      <c r="J9" s="2">
        <v>9</v>
      </c>
      <c r="K9" s="2">
        <v>195.02790139661144</v>
      </c>
      <c r="L9" s="2">
        <v>55</v>
      </c>
      <c r="M9" s="2">
        <v>25</v>
      </c>
      <c r="N9" s="2">
        <v>1.2327343888371132</v>
      </c>
      <c r="O9" s="2">
        <v>52.199755961351308</v>
      </c>
      <c r="P9" s="2">
        <v>1443.9684216747992</v>
      </c>
      <c r="Q9" s="2">
        <v>1.23587091496412</v>
      </c>
      <c r="R9" s="2">
        <v>50.902917126541361</v>
      </c>
      <c r="S9" s="2">
        <v>1450.186484955361</v>
      </c>
      <c r="T9" s="2">
        <v>3.1365261270068778E-3</v>
      </c>
      <c r="U9" s="2">
        <v>-1.2968388348099467</v>
      </c>
      <c r="V9" s="2">
        <v>6.2180632805618643</v>
      </c>
    </row>
    <row r="10" spans="1:22" ht="15">
      <c r="A10" s="2">
        <v>9</v>
      </c>
      <c r="B10" s="2" t="s">
        <v>78</v>
      </c>
      <c r="C10" s="2" t="s">
        <v>13</v>
      </c>
      <c r="D10" s="2">
        <v>1408.1499399617314</v>
      </c>
      <c r="E10" s="2">
        <v>878.30832008039579</v>
      </c>
      <c r="F10" s="2">
        <v>479.18523270636797</v>
      </c>
      <c r="G10" s="2">
        <v>169.9360976764001</v>
      </c>
      <c r="H10" s="2">
        <v>24.89615867100656</v>
      </c>
      <c r="I10" s="2">
        <v>0.82088066735537724</v>
      </c>
      <c r="J10" s="2">
        <v>9</v>
      </c>
      <c r="K10" s="2">
        <v>190.60152183174384</v>
      </c>
      <c r="L10" s="2">
        <v>45</v>
      </c>
      <c r="M10" s="2">
        <v>25</v>
      </c>
      <c r="N10" s="2">
        <v>1.1542888904866608</v>
      </c>
      <c r="O10" s="2">
        <v>52.213164468248465</v>
      </c>
      <c r="P10" s="2">
        <v>1408.1499399617314</v>
      </c>
      <c r="Q10" s="2">
        <v>1.145339338093557</v>
      </c>
      <c r="R10" s="2">
        <v>51.094489615249024</v>
      </c>
      <c r="S10" s="2">
        <v>1403.071943525043</v>
      </c>
      <c r="T10" s="2">
        <v>-8.949552393103799E-3</v>
      </c>
      <c r="U10" s="2">
        <v>-1.1186748529994404</v>
      </c>
      <c r="V10" s="2">
        <v>-5.0779964366884087</v>
      </c>
    </row>
    <row r="11" spans="1:22" ht="15">
      <c r="A11" s="2">
        <v>10</v>
      </c>
      <c r="B11" s="2" t="s">
        <v>78</v>
      </c>
      <c r="C11" s="2" t="s">
        <v>13</v>
      </c>
      <c r="D11" s="2">
        <v>1364.8114964948036</v>
      </c>
      <c r="E11" s="2">
        <v>1213.6572383577004</v>
      </c>
      <c r="F11" s="2">
        <v>514.99786684289575</v>
      </c>
      <c r="G11" s="2">
        <v>310.4586626123637</v>
      </c>
      <c r="H11" s="2">
        <v>9.2673617345280945</v>
      </c>
      <c r="I11" s="2">
        <v>0.79790573884267368</v>
      </c>
      <c r="J11" s="2">
        <v>9</v>
      </c>
      <c r="K11" s="2">
        <v>190.05468246501303</v>
      </c>
      <c r="L11" s="2">
        <v>35</v>
      </c>
      <c r="M11" s="2">
        <v>25</v>
      </c>
      <c r="N11" s="2">
        <v>1.1324263347166874</v>
      </c>
      <c r="O11" s="2">
        <v>52.29294881424623</v>
      </c>
      <c r="P11" s="2">
        <v>1364.8114964948036</v>
      </c>
      <c r="Q11" s="2">
        <v>1.1418185682649289</v>
      </c>
      <c r="R11" s="2">
        <v>52.859394516449385</v>
      </c>
      <c r="S11" s="2">
        <v>1361.226926385091</v>
      </c>
      <c r="T11" s="2">
        <v>9.3922335482414798E-3</v>
      </c>
      <c r="U11" s="2">
        <v>0.56644570220315416</v>
      </c>
      <c r="V11" s="2">
        <v>-3.5845701097125584</v>
      </c>
    </row>
    <row r="12" spans="1:22" ht="15">
      <c r="A12" s="2">
        <v>11</v>
      </c>
      <c r="B12" s="2" t="s">
        <v>78</v>
      </c>
      <c r="C12" s="2" t="s">
        <v>13</v>
      </c>
      <c r="D12" s="2">
        <v>1481.31246145349</v>
      </c>
      <c r="E12" s="2">
        <v>1078.0146206379868</v>
      </c>
      <c r="F12" s="2">
        <v>651.45330913364887</v>
      </c>
      <c r="G12" s="2">
        <v>244.8830475169234</v>
      </c>
      <c r="H12" s="2">
        <v>9.2042888114228845</v>
      </c>
      <c r="I12" s="2">
        <v>0.79008695616154001</v>
      </c>
      <c r="J12" s="2">
        <v>10</v>
      </c>
      <c r="K12" s="2">
        <v>187.48726958487126</v>
      </c>
      <c r="L12" s="2">
        <v>35</v>
      </c>
      <c r="M12" s="2">
        <v>25</v>
      </c>
      <c r="N12" s="2">
        <v>1.2076580604805562</v>
      </c>
      <c r="O12" s="2">
        <v>52.317056306815246</v>
      </c>
      <c r="P12" s="2">
        <v>1481.31246145349</v>
      </c>
      <c r="Q12" s="2">
        <v>1.2339671352962833</v>
      </c>
      <c r="R12" s="2">
        <v>53.445984966078754</v>
      </c>
      <c r="S12" s="2">
        <v>1486.3774146683861</v>
      </c>
      <c r="T12" s="2">
        <v>2.6309074815727085E-2</v>
      </c>
      <c r="U12" s="2">
        <v>1.1289286592635079</v>
      </c>
      <c r="V12" s="2">
        <v>5.0649532148961498</v>
      </c>
    </row>
    <row r="13" spans="1:22" ht="15">
      <c r="A13" s="2">
        <v>12</v>
      </c>
      <c r="B13" s="2" t="s">
        <v>78</v>
      </c>
      <c r="C13" s="2" t="s">
        <v>13</v>
      </c>
      <c r="D13" s="2">
        <v>1440.386587602552</v>
      </c>
      <c r="E13" s="2">
        <v>687.27044663392007</v>
      </c>
      <c r="F13" s="2">
        <v>376.84769732877612</v>
      </c>
      <c r="G13" s="2">
        <v>303.6396063817665</v>
      </c>
      <c r="H13" s="2">
        <v>10.185005072038621</v>
      </c>
      <c r="I13" s="2">
        <v>0.80514873337000614</v>
      </c>
      <c r="J13" s="2">
        <v>9</v>
      </c>
      <c r="K13" s="2">
        <v>198.77439725725009</v>
      </c>
      <c r="L13" s="2">
        <v>55</v>
      </c>
      <c r="M13" s="2">
        <v>25</v>
      </c>
      <c r="N13" s="2">
        <v>1.1728226159234802</v>
      </c>
      <c r="O13" s="2">
        <v>52.188267627222466</v>
      </c>
      <c r="P13" s="2">
        <v>1440.386587602552</v>
      </c>
      <c r="Q13" s="2">
        <v>1.1826329818640879</v>
      </c>
      <c r="R13" s="2">
        <v>52.398548137616238</v>
      </c>
      <c r="S13" s="2">
        <v>1450.6204776794243</v>
      </c>
      <c r="T13" s="2">
        <v>9.8103659406076904E-3</v>
      </c>
      <c r="U13" s="2">
        <v>0.2102805103937726</v>
      </c>
      <c r="V13" s="2">
        <v>10.233890076872285</v>
      </c>
    </row>
    <row r="14" spans="1:22" ht="15">
      <c r="A14" s="2">
        <v>13</v>
      </c>
      <c r="B14" s="2" t="s">
        <v>78</v>
      </c>
      <c r="C14" s="2" t="s">
        <v>13</v>
      </c>
      <c r="D14" s="2">
        <v>1414.0609995927662</v>
      </c>
      <c r="E14" s="2">
        <v>906.61516179097816</v>
      </c>
      <c r="F14" s="2">
        <v>630.38419093936682</v>
      </c>
      <c r="G14" s="2">
        <v>198.65658668102697</v>
      </c>
      <c r="H14" s="2">
        <v>22.428676206618547</v>
      </c>
      <c r="I14" s="2">
        <v>0.80099737271899363</v>
      </c>
      <c r="J14" s="2">
        <v>9</v>
      </c>
      <c r="K14" s="2">
        <v>196.15281422247668</v>
      </c>
      <c r="L14" s="2">
        <v>40</v>
      </c>
      <c r="M14" s="2">
        <v>25</v>
      </c>
      <c r="N14" s="2">
        <v>1.1663026559247849</v>
      </c>
      <c r="O14" s="2">
        <v>52.245632152352719</v>
      </c>
      <c r="P14" s="2">
        <v>1414.0609995927662</v>
      </c>
      <c r="Q14" s="2">
        <v>1.1782879845387288</v>
      </c>
      <c r="R14" s="2">
        <v>51.648563927401696</v>
      </c>
      <c r="S14" s="2">
        <v>1401.7846522825434</v>
      </c>
      <c r="T14" s="2">
        <v>1.1985328613943969E-2</v>
      </c>
      <c r="U14" s="2">
        <v>-0.5970682249510233</v>
      </c>
      <c r="V14" s="2">
        <v>-12.276347310222718</v>
      </c>
    </row>
    <row r="15" spans="1:22" ht="15">
      <c r="A15" s="2">
        <v>14</v>
      </c>
      <c r="B15" s="2" t="s">
        <v>78</v>
      </c>
      <c r="C15" s="2" t="s">
        <v>13</v>
      </c>
      <c r="D15" s="2">
        <v>1396.9164589536376</v>
      </c>
      <c r="E15" s="2">
        <v>835.08333161007613</v>
      </c>
      <c r="F15" s="2">
        <v>525.99535034969449</v>
      </c>
      <c r="G15" s="2">
        <v>301.85500897467136</v>
      </c>
      <c r="H15" s="2">
        <v>9.5690891095437109</v>
      </c>
      <c r="I15" s="2">
        <v>0.85122950478922577</v>
      </c>
      <c r="J15" s="2">
        <v>9</v>
      </c>
      <c r="K15" s="2">
        <v>182.33970863377209</v>
      </c>
      <c r="L15" s="2">
        <v>45</v>
      </c>
      <c r="M15" s="2">
        <v>25</v>
      </c>
      <c r="N15" s="2">
        <v>1.1730108802994834</v>
      </c>
      <c r="O15" s="2">
        <v>52.234292935758951</v>
      </c>
      <c r="P15" s="2">
        <v>1396.9164589536376</v>
      </c>
      <c r="Q15" s="2">
        <v>1.174545966559059</v>
      </c>
      <c r="R15" s="2">
        <v>52.13319486369533</v>
      </c>
      <c r="S15" s="2">
        <v>1398.0704906748388</v>
      </c>
      <c r="T15" s="2">
        <v>1.5350862595755466E-3</v>
      </c>
      <c r="U15" s="2">
        <v>-0.1010980720636212</v>
      </c>
      <c r="V15" s="2">
        <v>1.154031721201136</v>
      </c>
    </row>
    <row r="16" spans="1:22" ht="15">
      <c r="A16" s="2">
        <v>15</v>
      </c>
      <c r="B16" s="2" t="s">
        <v>79</v>
      </c>
      <c r="C16" s="2" t="s">
        <v>13</v>
      </c>
      <c r="D16" s="2">
        <v>1469.4660825887695</v>
      </c>
      <c r="E16" s="2">
        <v>888.30215904163197</v>
      </c>
      <c r="F16" s="2">
        <v>599.06027987599373</v>
      </c>
      <c r="G16" s="2">
        <v>302.99236099934205</v>
      </c>
      <c r="H16" s="2">
        <v>22.846429227851331</v>
      </c>
      <c r="I16" s="2">
        <v>0.8211944965808653</v>
      </c>
      <c r="J16" s="2">
        <v>9</v>
      </c>
      <c r="K16" s="2">
        <v>198.82501631019139</v>
      </c>
      <c r="L16" s="2">
        <v>40</v>
      </c>
      <c r="M16" s="2">
        <v>25</v>
      </c>
      <c r="N16" s="2">
        <v>1.2015577788181402</v>
      </c>
      <c r="O16" s="2">
        <v>52.254161072177048</v>
      </c>
      <c r="P16" s="2">
        <v>1469.4660825887695</v>
      </c>
      <c r="Q16" s="2">
        <v>1.2136798157588329</v>
      </c>
      <c r="R16" s="2">
        <v>51.125525882430125</v>
      </c>
      <c r="S16" s="2">
        <v>1467.3416020816699</v>
      </c>
      <c r="T16" s="2">
        <v>1.2122036940692693E-2</v>
      </c>
      <c r="U16" s="2">
        <v>-1.1286351897469231</v>
      </c>
      <c r="V16" s="2">
        <v>-2.1244805070996335</v>
      </c>
    </row>
    <row r="17" spans="1:22" ht="15">
      <c r="A17" s="2">
        <v>16</v>
      </c>
      <c r="B17" s="2" t="s">
        <v>79</v>
      </c>
      <c r="C17" s="2" t="s">
        <v>13</v>
      </c>
      <c r="D17" s="2">
        <v>1409.8225377383642</v>
      </c>
      <c r="E17" s="2">
        <v>1228.5029685124755</v>
      </c>
      <c r="F17" s="2">
        <v>538.98917576298118</v>
      </c>
      <c r="G17" s="2">
        <v>143.88379086274654</v>
      </c>
      <c r="H17" s="2">
        <v>27.888246962334961</v>
      </c>
      <c r="I17" s="2">
        <v>0.82649060546420516</v>
      </c>
      <c r="J17" s="2">
        <v>9</v>
      </c>
      <c r="K17" s="2">
        <v>189.5326427208619</v>
      </c>
      <c r="L17" s="2">
        <v>35</v>
      </c>
      <c r="M17" s="2">
        <v>25</v>
      </c>
      <c r="N17" s="2">
        <v>1.1758587931291602</v>
      </c>
      <c r="O17" s="2">
        <v>52.273031292686419</v>
      </c>
      <c r="P17" s="2">
        <v>1409.8225377383642</v>
      </c>
      <c r="Q17" s="2">
        <v>1.1833118605765203</v>
      </c>
      <c r="R17" s="2">
        <v>53.723020471219691</v>
      </c>
      <c r="S17" s="2">
        <v>1390.704687834165</v>
      </c>
      <c r="T17" s="2">
        <v>7.4530674473600733E-3</v>
      </c>
      <c r="U17" s="2">
        <v>1.4499891785332721</v>
      </c>
      <c r="V17" s="2">
        <v>-19.117849904199147</v>
      </c>
    </row>
    <row r="18" spans="1:22" ht="15">
      <c r="A18" s="2">
        <v>17</v>
      </c>
      <c r="B18" s="2" t="s">
        <v>79</v>
      </c>
      <c r="C18" s="2" t="s">
        <v>13</v>
      </c>
      <c r="D18" s="2">
        <v>1353.4519636072218</v>
      </c>
      <c r="E18" s="2">
        <v>665.57852973928675</v>
      </c>
      <c r="F18" s="2">
        <v>445.78982684761286</v>
      </c>
      <c r="G18" s="2">
        <v>239.97544495621696</v>
      </c>
      <c r="H18" s="2">
        <v>24.414881141856313</v>
      </c>
      <c r="I18" s="2">
        <v>0.85117409385042264</v>
      </c>
      <c r="J18" s="2">
        <v>8</v>
      </c>
      <c r="K18" s="2">
        <v>198.76250543009724</v>
      </c>
      <c r="L18" s="2">
        <v>60</v>
      </c>
      <c r="M18" s="2">
        <v>25</v>
      </c>
      <c r="N18" s="2">
        <v>1.1846676950941772</v>
      </c>
      <c r="O18" s="2">
        <v>52.162296250893874</v>
      </c>
      <c r="P18" s="2">
        <v>1353.4519636072218</v>
      </c>
      <c r="Q18" s="2">
        <v>1.1773327474198889</v>
      </c>
      <c r="R18" s="2">
        <v>50.590019985547904</v>
      </c>
      <c r="S18" s="2">
        <v>1359.240072304739</v>
      </c>
      <c r="T18" s="2">
        <v>-7.3349476742883279E-3</v>
      </c>
      <c r="U18" s="2">
        <v>-1.5722762653459696</v>
      </c>
      <c r="V18" s="2">
        <v>5.7881086975171456</v>
      </c>
    </row>
    <row r="19" spans="1:22" ht="15">
      <c r="A19" s="2">
        <v>18</v>
      </c>
      <c r="B19" s="2" t="s">
        <v>80</v>
      </c>
      <c r="C19" s="2" t="s">
        <v>13</v>
      </c>
      <c r="D19" s="2">
        <v>1411.2168844440021</v>
      </c>
      <c r="E19" s="2">
        <v>1119.9538433225825</v>
      </c>
      <c r="F19" s="2">
        <v>365.07735634222627</v>
      </c>
      <c r="G19" s="2">
        <v>286.87045832164586</v>
      </c>
      <c r="H19" s="2">
        <v>17.561625108588487</v>
      </c>
      <c r="I19" s="2">
        <v>0.85754162753466523</v>
      </c>
      <c r="J19" s="2">
        <v>9</v>
      </c>
      <c r="K19" s="2">
        <v>182.85045415243707</v>
      </c>
      <c r="L19" s="2">
        <v>40</v>
      </c>
      <c r="M19" s="2">
        <v>25</v>
      </c>
      <c r="N19" s="2">
        <v>1.1626492031749478</v>
      </c>
      <c r="O19" s="2">
        <v>52.251283766021537</v>
      </c>
      <c r="P19" s="2">
        <v>1411.2168844440021</v>
      </c>
      <c r="Q19" s="2">
        <v>1.1750811489508037</v>
      </c>
      <c r="R19" s="2">
        <v>52.779963915865622</v>
      </c>
      <c r="S19" s="2">
        <v>1406.8440735358743</v>
      </c>
      <c r="T19" s="2">
        <v>1.2431945775855935E-2</v>
      </c>
      <c r="U19" s="2">
        <v>0.52868014984408518</v>
      </c>
      <c r="V19" s="2">
        <v>-4.3728109081278035</v>
      </c>
    </row>
    <row r="20" spans="1:22" ht="15">
      <c r="A20" s="2">
        <v>19</v>
      </c>
      <c r="B20" s="2" t="s">
        <v>80</v>
      </c>
      <c r="C20" s="2" t="s">
        <v>13</v>
      </c>
      <c r="D20" s="2">
        <v>1391.9865431031212</v>
      </c>
      <c r="E20" s="2">
        <v>1189.631981367711</v>
      </c>
      <c r="F20" s="2">
        <v>489.83401320874691</v>
      </c>
      <c r="G20" s="2">
        <v>145.78967411769554</v>
      </c>
      <c r="H20" s="2">
        <v>18.236842033453286</v>
      </c>
      <c r="I20" s="2">
        <v>0.79216118392301726</v>
      </c>
      <c r="J20" s="2">
        <v>9</v>
      </c>
      <c r="K20" s="2">
        <v>195.24457218410339</v>
      </c>
      <c r="L20" s="2">
        <v>40</v>
      </c>
      <c r="M20" s="2">
        <v>25</v>
      </c>
      <c r="N20" s="2">
        <v>1.1984355623802281</v>
      </c>
      <c r="O20" s="2">
        <v>52.259602990141133</v>
      </c>
      <c r="P20" s="2">
        <v>1391.9865431031212</v>
      </c>
      <c r="Q20" s="2">
        <v>1.2140025937832948</v>
      </c>
      <c r="R20" s="2">
        <v>52.294136063968438</v>
      </c>
      <c r="S20" s="2">
        <v>1390.0845071999793</v>
      </c>
      <c r="T20" s="2">
        <v>1.55670314030667E-2</v>
      </c>
      <c r="U20" s="2">
        <v>3.4533073827304861E-2</v>
      </c>
      <c r="V20" s="2">
        <v>-1.9020359031419503</v>
      </c>
    </row>
    <row r="21" spans="1:22" ht="15">
      <c r="A21" s="2">
        <v>20</v>
      </c>
      <c r="B21" s="2" t="s">
        <v>80</v>
      </c>
      <c r="C21" s="2" t="s">
        <v>13</v>
      </c>
      <c r="D21" s="2">
        <v>1364.1933267354034</v>
      </c>
      <c r="E21" s="2">
        <v>741.24258742667735</v>
      </c>
      <c r="F21" s="2">
        <v>486.17265997454524</v>
      </c>
      <c r="G21" s="2">
        <v>137.04457440879196</v>
      </c>
      <c r="H21" s="2">
        <v>23.772661312948912</v>
      </c>
      <c r="I21" s="2">
        <v>0.81629910083487633</v>
      </c>
      <c r="J21" s="2">
        <v>9</v>
      </c>
      <c r="K21" s="2">
        <v>185.6881088670894</v>
      </c>
      <c r="L21" s="2">
        <v>55</v>
      </c>
      <c r="M21" s="2">
        <v>25</v>
      </c>
      <c r="N21" s="2">
        <v>1.2240855593395661</v>
      </c>
      <c r="O21" s="2">
        <v>52.187753397715731</v>
      </c>
      <c r="P21" s="2">
        <v>1364.1933267354034</v>
      </c>
      <c r="Q21" s="2">
        <v>1.2182663397147089</v>
      </c>
      <c r="R21" s="2">
        <v>52.024976840557954</v>
      </c>
      <c r="S21" s="2">
        <v>1368.1386648748553</v>
      </c>
      <c r="T21" s="2">
        <v>-5.8192196248572081E-3</v>
      </c>
      <c r="U21" s="2">
        <v>-0.16277655715777684</v>
      </c>
      <c r="V21" s="2">
        <v>3.9453381394519056</v>
      </c>
    </row>
    <row r="22" spans="1:22" ht="15">
      <c r="A22" s="2">
        <v>21</v>
      </c>
      <c r="B22" s="2" t="s">
        <v>78</v>
      </c>
      <c r="C22" s="2" t="s">
        <v>13</v>
      </c>
      <c r="D22" s="2">
        <v>1487.3781942296773</v>
      </c>
      <c r="E22" s="2">
        <v>704.69484812347218</v>
      </c>
      <c r="F22" s="2">
        <v>593.39501839131117</v>
      </c>
      <c r="G22" s="2">
        <v>322.13436647551134</v>
      </c>
      <c r="H22" s="2">
        <v>9.3529686480760574</v>
      </c>
      <c r="I22" s="2">
        <v>0.80060319973388694</v>
      </c>
      <c r="J22" s="2">
        <v>10</v>
      </c>
      <c r="K22" s="2">
        <v>185.7821945658059</v>
      </c>
      <c r="L22" s="2">
        <v>45</v>
      </c>
      <c r="M22" s="2">
        <v>25</v>
      </c>
      <c r="N22" s="2">
        <v>1.2602392465273957</v>
      </c>
      <c r="O22" s="2">
        <v>52.255703848365563</v>
      </c>
      <c r="P22" s="2">
        <v>1487.3781942296773</v>
      </c>
      <c r="Q22" s="2">
        <v>1.2783879403476541</v>
      </c>
      <c r="R22" s="2">
        <v>51.951482420484815</v>
      </c>
      <c r="S22" s="2">
        <v>1487.517507593044</v>
      </c>
      <c r="T22" s="2">
        <v>1.814869382025841E-2</v>
      </c>
      <c r="U22" s="2">
        <v>-0.3042214278807478</v>
      </c>
      <c r="V22" s="2">
        <v>0.1393133633666821</v>
      </c>
    </row>
    <row r="23" spans="1:22" ht="15">
      <c r="A23" s="2">
        <v>22</v>
      </c>
      <c r="B23" s="2" t="s">
        <v>78</v>
      </c>
      <c r="C23" s="2" t="s">
        <v>13</v>
      </c>
      <c r="D23" s="2">
        <v>1375.9331380133517</v>
      </c>
      <c r="E23" s="2">
        <v>1215.168104111217</v>
      </c>
      <c r="F23" s="2">
        <v>529.65532662346959</v>
      </c>
      <c r="G23" s="2">
        <v>128.10944991186261</v>
      </c>
      <c r="H23" s="2">
        <v>24.819575196597725</v>
      </c>
      <c r="I23" s="2">
        <v>0.79826512982603171</v>
      </c>
      <c r="J23" s="2">
        <v>9</v>
      </c>
      <c r="K23" s="2">
        <v>191.51714645556322</v>
      </c>
      <c r="L23" s="2">
        <v>40</v>
      </c>
      <c r="M23" s="2">
        <v>25</v>
      </c>
      <c r="N23" s="2">
        <v>1.2617448797902824</v>
      </c>
      <c r="O23" s="2">
        <v>52.267037059414811</v>
      </c>
      <c r="P23" s="2">
        <v>1375.9331380133517</v>
      </c>
      <c r="Q23" s="2">
        <v>1.2550911807082079</v>
      </c>
      <c r="R23" s="2">
        <v>52.816487856479597</v>
      </c>
      <c r="S23" s="2">
        <v>1357.1779887499333</v>
      </c>
      <c r="T23" s="2">
        <v>-6.6536990820744712E-3</v>
      </c>
      <c r="U23" s="2">
        <v>0.54945079706478595</v>
      </c>
      <c r="V23" s="2">
        <v>-18.755149263418389</v>
      </c>
    </row>
    <row r="24" spans="1:22" ht="15">
      <c r="A24" s="2">
        <v>23</v>
      </c>
      <c r="B24" s="2" t="s">
        <v>78</v>
      </c>
      <c r="C24" s="2" t="s">
        <v>13</v>
      </c>
      <c r="D24" s="2">
        <v>1363.9028799952939</v>
      </c>
      <c r="E24" s="2">
        <v>715.84890430094674</v>
      </c>
      <c r="F24" s="2">
        <v>350.53890198469162</v>
      </c>
      <c r="G24" s="2">
        <v>273.90828622272238</v>
      </c>
      <c r="H24" s="2">
        <v>29.924484576098621</v>
      </c>
      <c r="I24" s="2">
        <v>0.84053530987119307</v>
      </c>
      <c r="J24" s="2">
        <v>9</v>
      </c>
      <c r="K24" s="2">
        <v>180.29553626622166</v>
      </c>
      <c r="L24" s="2">
        <v>55</v>
      </c>
      <c r="M24" s="2">
        <v>25</v>
      </c>
      <c r="N24" s="2">
        <v>1.2276834597368258</v>
      </c>
      <c r="O24" s="2">
        <v>52.183985668224366</v>
      </c>
      <c r="P24" s="2">
        <v>1363.9028799952939</v>
      </c>
      <c r="Q24" s="2">
        <v>1.2220170240054316</v>
      </c>
      <c r="R24" s="2">
        <v>51.473744188755816</v>
      </c>
      <c r="S24" s="2">
        <v>1362.8903179484334</v>
      </c>
      <c r="T24" s="2">
        <v>-5.6664357313942482E-3</v>
      </c>
      <c r="U24" s="2">
        <v>-0.7102414794685501</v>
      </c>
      <c r="V24" s="2">
        <v>-1.0125620468604666</v>
      </c>
    </row>
    <row r="25" spans="1:22" ht="15">
      <c r="A25" s="2">
        <v>24</v>
      </c>
      <c r="B25" s="2" t="s">
        <v>78</v>
      </c>
      <c r="C25" s="2" t="s">
        <v>13</v>
      </c>
      <c r="D25" s="2">
        <v>1488.5840008850209</v>
      </c>
      <c r="E25" s="2">
        <v>1117.7611201070249</v>
      </c>
      <c r="F25" s="2">
        <v>708.08635568246245</v>
      </c>
      <c r="G25" s="2">
        <v>196.01221247110516</v>
      </c>
      <c r="H25" s="2">
        <v>11.254280438181013</v>
      </c>
      <c r="I25" s="2">
        <v>0.84835409571416676</v>
      </c>
      <c r="J25" s="2">
        <v>9</v>
      </c>
      <c r="K25" s="2">
        <v>194.96366335253126</v>
      </c>
      <c r="L25" s="2">
        <v>35</v>
      </c>
      <c r="M25" s="2">
        <v>25</v>
      </c>
      <c r="N25" s="2">
        <v>1.1357350217667668</v>
      </c>
      <c r="O25" s="2">
        <v>52.290258471892024</v>
      </c>
      <c r="P25" s="2">
        <v>1488.5840008850209</v>
      </c>
      <c r="Q25" s="2">
        <v>1.1414067608129974</v>
      </c>
      <c r="R25" s="2">
        <v>53.097021463568446</v>
      </c>
      <c r="S25" s="2">
        <v>1479.0139156752273</v>
      </c>
      <c r="T25" s="2">
        <v>5.6717390462306394E-3</v>
      </c>
      <c r="U25" s="2">
        <v>0.80676299167642185</v>
      </c>
      <c r="V25" s="2">
        <v>-9.5700852097936604</v>
      </c>
    </row>
    <row r="26" spans="1:22" ht="15">
      <c r="A26" s="2">
        <v>25</v>
      </c>
      <c r="B26" s="2" t="s">
        <v>78</v>
      </c>
      <c r="C26" s="2" t="s">
        <v>13</v>
      </c>
      <c r="D26" s="2">
        <v>1406.6861227154732</v>
      </c>
      <c r="E26" s="2">
        <v>1049.9003986245953</v>
      </c>
      <c r="F26" s="2">
        <v>605.05525339394808</v>
      </c>
      <c r="G26" s="2">
        <v>292.55171910161152</v>
      </c>
      <c r="H26" s="2">
        <v>26.414405075833201</v>
      </c>
      <c r="I26" s="2">
        <v>0.81164383028866727</v>
      </c>
      <c r="J26" s="2">
        <v>9</v>
      </c>
      <c r="K26" s="2">
        <v>192.57025341264318</v>
      </c>
      <c r="L26" s="2">
        <v>35</v>
      </c>
      <c r="M26" s="2">
        <v>25</v>
      </c>
      <c r="N26" s="2">
        <v>1.1866930097733976</v>
      </c>
      <c r="O26" s="2">
        <v>52.278665086841912</v>
      </c>
      <c r="P26" s="2">
        <v>1406.6861227154732</v>
      </c>
      <c r="Q26" s="2">
        <v>1.1850094621356893</v>
      </c>
      <c r="R26" s="2">
        <v>52.847345401893122</v>
      </c>
      <c r="S26" s="2">
        <v>1391.6663653955752</v>
      </c>
      <c r="T26" s="2">
        <v>-1.6835476377083936E-3</v>
      </c>
      <c r="U26" s="2">
        <v>0.56868031505121053</v>
      </c>
      <c r="V26" s="2">
        <v>-15.019757319897963</v>
      </c>
    </row>
    <row r="27" spans="1:22" ht="15">
      <c r="A27" s="2">
        <v>26</v>
      </c>
      <c r="B27" s="2" t="s">
        <v>78</v>
      </c>
      <c r="C27" s="2" t="s">
        <v>13</v>
      </c>
      <c r="D27" s="2">
        <v>1359.6737301559187</v>
      </c>
      <c r="E27" s="2">
        <v>604.75789851043373</v>
      </c>
      <c r="F27" s="2">
        <v>469.66908434405923</v>
      </c>
      <c r="G27" s="2">
        <v>253.1531152036041</v>
      </c>
      <c r="H27" s="2">
        <v>29.832911964971572</v>
      </c>
      <c r="I27" s="2">
        <v>0.81221542180050166</v>
      </c>
      <c r="J27" s="2">
        <v>9</v>
      </c>
      <c r="K27" s="2">
        <v>186.00343560494542</v>
      </c>
      <c r="L27" s="2">
        <v>55</v>
      </c>
      <c r="M27" s="2">
        <v>25</v>
      </c>
      <c r="N27" s="2">
        <v>1.2167676577348814</v>
      </c>
      <c r="O27" s="2">
        <v>52.1820029267897</v>
      </c>
      <c r="P27" s="2">
        <v>1359.6737301559187</v>
      </c>
      <c r="Q27" s="2">
        <v>1.1959034884535484</v>
      </c>
      <c r="R27" s="2">
        <v>50.866771544308023</v>
      </c>
      <c r="S27" s="2">
        <v>1359.5247372296958</v>
      </c>
      <c r="T27" s="2">
        <v>-2.0864169281332945E-2</v>
      </c>
      <c r="U27" s="2">
        <v>-1.3152313824816773</v>
      </c>
      <c r="V27" s="2">
        <v>-0.14899292622294524</v>
      </c>
    </row>
    <row r="28" spans="1:22" ht="15">
      <c r="A28" s="2">
        <v>27</v>
      </c>
      <c r="B28" s="2" t="s">
        <v>78</v>
      </c>
      <c r="C28" s="2" t="s">
        <v>13</v>
      </c>
      <c r="D28" s="2">
        <v>1405.1374331815168</v>
      </c>
      <c r="E28" s="2">
        <v>692.63219429412857</v>
      </c>
      <c r="F28" s="2">
        <v>538.70868720114231</v>
      </c>
      <c r="G28" s="2">
        <v>93.744169089477509</v>
      </c>
      <c r="H28" s="2">
        <v>14.342217707075179</v>
      </c>
      <c r="I28" s="2">
        <v>0.85084388772724195</v>
      </c>
      <c r="J28" s="2">
        <v>9</v>
      </c>
      <c r="K28" s="2">
        <v>183.49591942377913</v>
      </c>
      <c r="L28" s="2">
        <v>55</v>
      </c>
      <c r="M28" s="2">
        <v>25</v>
      </c>
      <c r="N28" s="2">
        <v>1.1542815879256072</v>
      </c>
      <c r="O28" s="2">
        <v>52.181613886512423</v>
      </c>
      <c r="P28" s="2">
        <v>1405.1374331815168</v>
      </c>
      <c r="Q28" s="2">
        <v>1.1565584470446451</v>
      </c>
      <c r="R28" s="2">
        <v>50.609273210131235</v>
      </c>
      <c r="S28" s="2">
        <v>1421.599712571606</v>
      </c>
      <c r="T28" s="2">
        <v>2.2768591190378551E-3</v>
      </c>
      <c r="U28" s="2">
        <v>-1.572340676381188</v>
      </c>
      <c r="V28" s="2">
        <v>16.462279390089179</v>
      </c>
    </row>
    <row r="29" spans="1:22" ht="15">
      <c r="A29" s="2">
        <v>28</v>
      </c>
      <c r="B29" s="2" t="s">
        <v>78</v>
      </c>
      <c r="C29" s="2" t="s">
        <v>13</v>
      </c>
      <c r="D29" s="2">
        <v>1481.8573393276893</v>
      </c>
      <c r="E29" s="2">
        <v>700.33667753450572</v>
      </c>
      <c r="F29" s="2">
        <v>418.68757260963321</v>
      </c>
      <c r="G29" s="2">
        <v>252.64077428262681</v>
      </c>
      <c r="H29" s="2">
        <v>25.057020868640393</v>
      </c>
      <c r="I29" s="2">
        <v>0.81181094698607925</v>
      </c>
      <c r="J29" s="2">
        <v>10</v>
      </c>
      <c r="K29" s="2">
        <v>182.53724525755868</v>
      </c>
      <c r="L29" s="2">
        <v>50</v>
      </c>
      <c r="M29" s="2">
        <v>25</v>
      </c>
      <c r="N29" s="2">
        <v>1.245567944038112</v>
      </c>
      <c r="O29" s="2">
        <v>52.212640965481931</v>
      </c>
      <c r="P29" s="2">
        <v>1481.8573393276893</v>
      </c>
      <c r="Q29" s="2">
        <v>1.2269014707312713</v>
      </c>
      <c r="R29" s="2">
        <v>50.664402752031584</v>
      </c>
      <c r="S29" s="2">
        <v>1473.8716678499106</v>
      </c>
      <c r="T29" s="2">
        <v>-1.8666473306840681E-2</v>
      </c>
      <c r="U29" s="2">
        <v>-1.5482382134503467</v>
      </c>
      <c r="V29" s="2">
        <v>-7.9856714777786237</v>
      </c>
    </row>
    <row r="30" spans="1:22" ht="15">
      <c r="A30" s="2">
        <v>29</v>
      </c>
      <c r="B30" s="2" t="s">
        <v>78</v>
      </c>
      <c r="C30" s="2" t="s">
        <v>13</v>
      </c>
      <c r="D30" s="2">
        <v>1455.1547288428992</v>
      </c>
      <c r="E30" s="2">
        <v>1078.5621651331894</v>
      </c>
      <c r="F30" s="2">
        <v>713.91538735479116</v>
      </c>
      <c r="G30" s="2">
        <v>301.60245181294158</v>
      </c>
      <c r="H30" s="2">
        <v>19.450641822069883</v>
      </c>
      <c r="I30" s="2">
        <v>0.81791210633004086</v>
      </c>
      <c r="J30" s="2">
        <v>9</v>
      </c>
      <c r="K30" s="2">
        <v>197.67876952671008</v>
      </c>
      <c r="L30" s="2">
        <v>35</v>
      </c>
      <c r="M30" s="2">
        <v>25</v>
      </c>
      <c r="N30" s="2">
        <v>1.2237198904766888</v>
      </c>
      <c r="O30" s="2">
        <v>52.301519424670623</v>
      </c>
      <c r="P30" s="2">
        <v>1455.1547288428992</v>
      </c>
      <c r="Q30" s="2">
        <v>1.2270339916456767</v>
      </c>
      <c r="R30" s="2">
        <v>52.260256828092466</v>
      </c>
      <c r="S30" s="2">
        <v>1441.6839798280605</v>
      </c>
      <c r="T30" s="2">
        <v>3.314101168987893E-3</v>
      </c>
      <c r="U30" s="2">
        <v>-4.1262596578157229E-2</v>
      </c>
      <c r="V30" s="2">
        <v>-13.470749014838702</v>
      </c>
    </row>
    <row r="31" spans="1:22" ht="15">
      <c r="A31" s="2">
        <v>30</v>
      </c>
      <c r="B31" s="2" t="s">
        <v>78</v>
      </c>
      <c r="C31" s="2" t="s">
        <v>13</v>
      </c>
      <c r="D31" s="2">
        <v>1479.4425189611502</v>
      </c>
      <c r="E31" s="2">
        <v>791.89735266845673</v>
      </c>
      <c r="F31" s="2">
        <v>531.1659355647862</v>
      </c>
      <c r="G31" s="2">
        <v>157.07697805017233</v>
      </c>
      <c r="H31" s="2">
        <v>18.199724155012518</v>
      </c>
      <c r="I31" s="2">
        <v>0.83786287422757599</v>
      </c>
      <c r="J31" s="2">
        <v>9</v>
      </c>
      <c r="K31" s="2">
        <v>196.19260760102105</v>
      </c>
      <c r="L31" s="2">
        <v>50</v>
      </c>
      <c r="M31" s="2">
        <v>25</v>
      </c>
      <c r="N31" s="2">
        <v>1.1937702024966674</v>
      </c>
      <c r="O31" s="2">
        <v>52.205790871020234</v>
      </c>
      <c r="P31" s="2">
        <v>1479.4425189611502</v>
      </c>
      <c r="Q31" s="2">
        <v>1.181455148840145</v>
      </c>
      <c r="R31" s="2">
        <v>52.466802044968688</v>
      </c>
      <c r="S31" s="2">
        <v>1485.3426430247296</v>
      </c>
      <c r="T31" s="2">
        <v>-1.2315053656522412E-2</v>
      </c>
      <c r="U31" s="2">
        <v>0.26101117394845375</v>
      </c>
      <c r="V31" s="2">
        <v>5.9001240635793692</v>
      </c>
    </row>
    <row r="32" spans="1:22" ht="15">
      <c r="A32" s="2">
        <v>31</v>
      </c>
      <c r="B32" s="2" t="s">
        <v>78</v>
      </c>
      <c r="C32" s="2" t="s">
        <v>13</v>
      </c>
      <c r="D32" s="2">
        <v>1499.6580671751872</v>
      </c>
      <c r="E32" s="2">
        <v>1161.9248888571747</v>
      </c>
      <c r="F32" s="2">
        <v>675.58102831244469</v>
      </c>
      <c r="G32" s="2">
        <v>239.73685070639476</v>
      </c>
      <c r="H32" s="2">
        <v>11.558636835776269</v>
      </c>
      <c r="I32" s="2">
        <v>0.8255490733101033</v>
      </c>
      <c r="J32" s="2">
        <v>10</v>
      </c>
      <c r="K32" s="2">
        <v>181.65583557161435</v>
      </c>
      <c r="L32" s="2">
        <v>35</v>
      </c>
      <c r="M32" s="2">
        <v>25</v>
      </c>
      <c r="N32" s="2">
        <v>1.2812340594999916</v>
      </c>
      <c r="O32" s="2">
        <v>52.334882309534514</v>
      </c>
      <c r="P32" s="2">
        <v>1499.6580671751872</v>
      </c>
      <c r="Q32" s="2">
        <v>1.2878039334967328</v>
      </c>
      <c r="R32" s="2">
        <v>52.597356895447007</v>
      </c>
      <c r="S32" s="2">
        <v>1497.098742480312</v>
      </c>
      <c r="T32" s="2">
        <v>6.5698739967412489E-3</v>
      </c>
      <c r="U32" s="2">
        <v>0.26247458591249284</v>
      </c>
      <c r="V32" s="2">
        <v>-2.5593246948751585</v>
      </c>
    </row>
    <row r="33" spans="1:22" ht="15">
      <c r="A33" s="2">
        <v>32</v>
      </c>
      <c r="B33" s="2" t="s">
        <v>78</v>
      </c>
      <c r="C33" s="2" t="s">
        <v>13</v>
      </c>
      <c r="D33" s="2">
        <v>1365.7694546389394</v>
      </c>
      <c r="E33" s="2">
        <v>759.86999794840813</v>
      </c>
      <c r="F33" s="2">
        <v>572.63338854536414</v>
      </c>
      <c r="G33" s="2">
        <v>164.68478836584836</v>
      </c>
      <c r="H33" s="2">
        <v>8.5607058121822774</v>
      </c>
      <c r="I33" s="2">
        <v>0.8155675576161594</v>
      </c>
      <c r="J33" s="2">
        <v>9</v>
      </c>
      <c r="K33" s="2">
        <v>186.06939450866412</v>
      </c>
      <c r="L33" s="2">
        <v>50</v>
      </c>
      <c r="M33" s="2">
        <v>25</v>
      </c>
      <c r="N33" s="2">
        <v>1.1641719439501992</v>
      </c>
      <c r="O33" s="2">
        <v>52.208449066164981</v>
      </c>
      <c r="P33" s="2">
        <v>1365.7694546389394</v>
      </c>
      <c r="Q33" s="2">
        <v>1.1640441606873659</v>
      </c>
      <c r="R33" s="2">
        <v>52.221962521219275</v>
      </c>
      <c r="S33" s="2">
        <v>1380.563362034854</v>
      </c>
      <c r="T33" s="2">
        <v>-1.2778326283324759E-4</v>
      </c>
      <c r="U33" s="2">
        <v>1.3513455054294354E-2</v>
      </c>
      <c r="V33" s="2">
        <v>14.79390739591463</v>
      </c>
    </row>
    <row r="34" spans="1:22" ht="15">
      <c r="A34" s="2">
        <v>33</v>
      </c>
      <c r="B34" s="2" t="s">
        <v>78</v>
      </c>
      <c r="C34" s="2" t="s">
        <v>13</v>
      </c>
      <c r="D34" s="2">
        <v>1366.6506922803819</v>
      </c>
      <c r="E34" s="2">
        <v>725.57219410082325</v>
      </c>
      <c r="F34" s="2">
        <v>540.66452626138926</v>
      </c>
      <c r="G34" s="2">
        <v>308.12651755521074</v>
      </c>
      <c r="H34" s="2">
        <v>16.857251072302461</v>
      </c>
      <c r="I34" s="2">
        <v>0.85056469890521846</v>
      </c>
      <c r="J34" s="2">
        <v>9</v>
      </c>
      <c r="K34" s="2">
        <v>178.52854358462346</v>
      </c>
      <c r="L34" s="2">
        <v>45</v>
      </c>
      <c r="M34" s="2">
        <v>25</v>
      </c>
      <c r="N34" s="2">
        <v>1.1484260726332667</v>
      </c>
      <c r="O34" s="2">
        <v>52.220482587872269</v>
      </c>
      <c r="P34" s="2">
        <v>1366.6506922803819</v>
      </c>
      <c r="Q34" s="2">
        <v>1.1593551621574218</v>
      </c>
      <c r="R34" s="2">
        <v>52.078446216990791</v>
      </c>
      <c r="S34" s="2">
        <v>1375.8708680278432</v>
      </c>
      <c r="T34" s="2">
        <v>1.0929089524155167E-2</v>
      </c>
      <c r="U34" s="2">
        <v>-0.14203637088147758</v>
      </c>
      <c r="V34" s="2">
        <v>9.220175747461326</v>
      </c>
    </row>
    <row r="35" spans="1:22" ht="15">
      <c r="A35" s="2">
        <v>34</v>
      </c>
      <c r="B35" s="2" t="s">
        <v>78</v>
      </c>
      <c r="C35" s="2" t="s">
        <v>13</v>
      </c>
      <c r="D35" s="2">
        <v>1485.5111466371454</v>
      </c>
      <c r="E35" s="2">
        <v>1149.3210251675919</v>
      </c>
      <c r="F35" s="2">
        <v>647.14539581909776</v>
      </c>
      <c r="G35" s="2">
        <v>101.50185802020133</v>
      </c>
      <c r="H35" s="2">
        <v>24.652950056362897</v>
      </c>
      <c r="I35" s="2">
        <v>0.80554656362626709</v>
      </c>
      <c r="J35" s="2">
        <v>10</v>
      </c>
      <c r="K35" s="2">
        <v>184.41033873323647</v>
      </c>
      <c r="L35" s="2">
        <v>35</v>
      </c>
      <c r="M35" s="2">
        <v>25</v>
      </c>
      <c r="N35" s="2">
        <v>1.2477661035223526</v>
      </c>
      <c r="O35" s="2">
        <v>52.303823004337943</v>
      </c>
      <c r="P35" s="2">
        <v>1485.5111466371454</v>
      </c>
      <c r="Q35" s="2">
        <v>1.259108417419093</v>
      </c>
      <c r="R35" s="2">
        <v>52.325378969644269</v>
      </c>
      <c r="S35" s="2">
        <v>1469.0748640937934</v>
      </c>
      <c r="T35" s="2">
        <v>1.1342313896740341E-2</v>
      </c>
      <c r="U35" s="2">
        <v>2.1555965306326641E-2</v>
      </c>
      <c r="V35" s="2">
        <v>-16.436282543352036</v>
      </c>
    </row>
    <row r="36" spans="1:22" ht="15">
      <c r="A36" s="2">
        <v>35</v>
      </c>
      <c r="B36" s="2" t="s">
        <v>79</v>
      </c>
      <c r="C36" s="2" t="s">
        <v>13</v>
      </c>
      <c r="D36" s="2">
        <v>1494.8159396415576</v>
      </c>
      <c r="E36" s="2">
        <v>978.48225847119465</v>
      </c>
      <c r="F36" s="2">
        <v>555.9851985424757</v>
      </c>
      <c r="G36" s="2">
        <v>84.394439689349383</v>
      </c>
      <c r="H36" s="2">
        <v>26.809199859388173</v>
      </c>
      <c r="I36" s="2">
        <v>0.8300573202292435</v>
      </c>
      <c r="J36" s="2">
        <v>10</v>
      </c>
      <c r="K36" s="2">
        <v>180.08586915765318</v>
      </c>
      <c r="L36" s="2">
        <v>40</v>
      </c>
      <c r="M36" s="2">
        <v>25</v>
      </c>
      <c r="N36" s="2">
        <v>1.2132698779987177</v>
      </c>
      <c r="O36" s="2">
        <v>52.255467823603787</v>
      </c>
      <c r="P36" s="2">
        <v>1494.8159396415576</v>
      </c>
      <c r="Q36" s="2">
        <v>1.2052468284018911</v>
      </c>
      <c r="R36" s="2">
        <v>52.451324213791224</v>
      </c>
      <c r="S36" s="2">
        <v>1486.2542177288001</v>
      </c>
      <c r="T36" s="2">
        <v>-8.023049596826537E-3</v>
      </c>
      <c r="U36" s="2">
        <v>0.19585639018743706</v>
      </c>
      <c r="V36" s="2">
        <v>-8.5617219127575481</v>
      </c>
    </row>
    <row r="37" spans="1:22" ht="15">
      <c r="A37" s="2">
        <v>36</v>
      </c>
      <c r="B37" s="2" t="s">
        <v>79</v>
      </c>
      <c r="C37" s="2" t="s">
        <v>13</v>
      </c>
      <c r="D37" s="2">
        <v>1458.6850027902983</v>
      </c>
      <c r="E37" s="2">
        <v>988.61210797913373</v>
      </c>
      <c r="F37" s="2">
        <v>394.60193840786815</v>
      </c>
      <c r="G37" s="2">
        <v>289.97221616562456</v>
      </c>
      <c r="H37" s="2">
        <v>13.467446989845484</v>
      </c>
      <c r="I37" s="2">
        <v>0.82625448895618325</v>
      </c>
      <c r="J37" s="2">
        <v>9</v>
      </c>
      <c r="K37" s="2">
        <v>196.1576167966081</v>
      </c>
      <c r="L37" s="2">
        <v>45</v>
      </c>
      <c r="M37" s="2">
        <v>25</v>
      </c>
      <c r="N37" s="2">
        <v>1.199067476822939</v>
      </c>
      <c r="O37" s="2">
        <v>52.235891567988517</v>
      </c>
      <c r="P37" s="2">
        <v>1458.6850027902983</v>
      </c>
      <c r="Q37" s="2">
        <v>1.1966151687434659</v>
      </c>
      <c r="R37" s="2">
        <v>53.489848694295524</v>
      </c>
      <c r="S37" s="2">
        <v>1472.6224757767995</v>
      </c>
      <c r="T37" s="2">
        <v>-2.4523080794731644E-3</v>
      </c>
      <c r="U37" s="2">
        <v>1.2539571263070073</v>
      </c>
      <c r="V37" s="2">
        <v>13.937472986501234</v>
      </c>
    </row>
    <row r="38" spans="1:22" ht="15">
      <c r="A38" s="2">
        <v>37</v>
      </c>
      <c r="B38" s="2" t="s">
        <v>79</v>
      </c>
      <c r="C38" s="2" t="s">
        <v>13</v>
      </c>
      <c r="D38" s="2">
        <v>1490.5159658286721</v>
      </c>
      <c r="E38" s="2">
        <v>918.20172051666304</v>
      </c>
      <c r="F38" s="2">
        <v>609.86903440207243</v>
      </c>
      <c r="G38" s="2">
        <v>204.32206171797588</v>
      </c>
      <c r="H38" s="2">
        <v>29.01423341780901</v>
      </c>
      <c r="I38" s="2">
        <v>0.85386950800428174</v>
      </c>
      <c r="J38" s="2">
        <v>9</v>
      </c>
      <c r="K38" s="2">
        <v>193.95573157209427</v>
      </c>
      <c r="L38" s="2">
        <v>40</v>
      </c>
      <c r="M38" s="2">
        <v>25</v>
      </c>
      <c r="N38" s="2">
        <v>1.1980008768889068</v>
      </c>
      <c r="O38" s="2">
        <v>52.245123349934076</v>
      </c>
      <c r="P38" s="2">
        <v>1490.5159658286721</v>
      </c>
      <c r="Q38" s="2">
        <v>1.2005306581672732</v>
      </c>
      <c r="R38" s="2">
        <v>52.491640400770422</v>
      </c>
      <c r="S38" s="2">
        <v>1464.3776746977348</v>
      </c>
      <c r="T38" s="2">
        <v>2.5297812783664497E-3</v>
      </c>
      <c r="U38" s="2">
        <v>0.24651705083634567</v>
      </c>
      <c r="V38" s="2">
        <v>-26.138291130937205</v>
      </c>
    </row>
    <row r="39" spans="1:22" ht="15">
      <c r="A39" s="2">
        <v>38</v>
      </c>
      <c r="B39" s="2" t="s">
        <v>80</v>
      </c>
      <c r="C39" s="2" t="s">
        <v>13</v>
      </c>
      <c r="D39" s="2">
        <v>1373.0004604090936</v>
      </c>
      <c r="E39" s="2">
        <v>932.68145096953958</v>
      </c>
      <c r="F39" s="2">
        <v>531.91954167559743</v>
      </c>
      <c r="G39" s="2">
        <v>154.70922684296966</v>
      </c>
      <c r="H39" s="2">
        <v>24.264845280442387</v>
      </c>
      <c r="I39" s="2">
        <v>0.79885793925728654</v>
      </c>
      <c r="J39" s="2">
        <v>9</v>
      </c>
      <c r="K39" s="2">
        <v>190.96712846586385</v>
      </c>
      <c r="L39" s="2">
        <v>45</v>
      </c>
      <c r="M39" s="2">
        <v>25</v>
      </c>
      <c r="N39" s="2">
        <v>1.2138631278402288</v>
      </c>
      <c r="O39" s="2">
        <v>52.227490945973678</v>
      </c>
      <c r="P39" s="2">
        <v>1373.0004604090936</v>
      </c>
      <c r="Q39" s="2">
        <v>1.21067402625076</v>
      </c>
      <c r="R39" s="2">
        <v>52.880456635396122</v>
      </c>
      <c r="S39" s="2">
        <v>1362.2501696619549</v>
      </c>
      <c r="T39" s="2">
        <v>-3.1891015894687236E-3</v>
      </c>
      <c r="U39" s="2">
        <v>0.65296568942244448</v>
      </c>
      <c r="V39" s="2">
        <v>-10.750290747138706</v>
      </c>
    </row>
    <row r="40" spans="1:22" ht="15">
      <c r="A40" s="2">
        <v>39</v>
      </c>
      <c r="B40" s="2" t="s">
        <v>80</v>
      </c>
      <c r="C40" s="2" t="s">
        <v>13</v>
      </c>
      <c r="D40" s="2">
        <v>1433.8375668274239</v>
      </c>
      <c r="E40" s="2">
        <v>1082.4456591275521</v>
      </c>
      <c r="F40" s="2">
        <v>666.43290519714355</v>
      </c>
      <c r="G40" s="2">
        <v>189.96904032072052</v>
      </c>
      <c r="H40" s="2">
        <v>10.275401967577636</v>
      </c>
      <c r="I40" s="2">
        <v>0.83662501953309409</v>
      </c>
      <c r="J40" s="2">
        <v>9</v>
      </c>
      <c r="K40" s="2">
        <v>190.42615446996575</v>
      </c>
      <c r="L40" s="2">
        <v>40</v>
      </c>
      <c r="M40" s="2">
        <v>25</v>
      </c>
      <c r="N40" s="2">
        <v>1.2237686033002753</v>
      </c>
      <c r="O40" s="2">
        <v>52.277314812754334</v>
      </c>
      <c r="P40" s="2">
        <v>1433.8375668274239</v>
      </c>
      <c r="Q40" s="2">
        <v>1.2314290005476061</v>
      </c>
      <c r="R40" s="2">
        <v>53.697750128797374</v>
      </c>
      <c r="S40" s="2">
        <v>1437.373875252968</v>
      </c>
      <c r="T40" s="2">
        <v>7.660397247330808E-3</v>
      </c>
      <c r="U40" s="2">
        <v>1.4204353160430401</v>
      </c>
      <c r="V40" s="2">
        <v>3.5363084255441208</v>
      </c>
    </row>
    <row r="41" spans="1:22" ht="15">
      <c r="A41" s="2">
        <v>40</v>
      </c>
      <c r="B41" s="2" t="s">
        <v>80</v>
      </c>
      <c r="C41" s="2" t="s">
        <v>13</v>
      </c>
      <c r="D41" s="2">
        <v>1497.4857524852268</v>
      </c>
      <c r="E41" s="2">
        <v>632.78456190600991</v>
      </c>
      <c r="F41" s="2">
        <v>427.75432830676436</v>
      </c>
      <c r="G41" s="2">
        <v>153.59500380698591</v>
      </c>
      <c r="H41" s="2">
        <v>10.880135846789926</v>
      </c>
      <c r="I41" s="2">
        <v>0.85781686992384498</v>
      </c>
      <c r="J41" s="2">
        <v>9</v>
      </c>
      <c r="K41" s="2">
        <v>193.96599864778057</v>
      </c>
      <c r="L41" s="2">
        <v>65</v>
      </c>
      <c r="M41" s="2">
        <v>25</v>
      </c>
      <c r="N41" s="2">
        <v>1.2243571168529366</v>
      </c>
      <c r="O41" s="2">
        <v>52.164313827425026</v>
      </c>
      <c r="P41" s="2">
        <v>1497.4857524852268</v>
      </c>
      <c r="Q41" s="2">
        <v>1.2272035532638412</v>
      </c>
      <c r="R41" s="2">
        <v>52.258073285815271</v>
      </c>
      <c r="S41" s="2">
        <v>1525.6079272109835</v>
      </c>
      <c r="T41" s="2">
        <v>2.8464364109046514E-3</v>
      </c>
      <c r="U41" s="2">
        <v>9.3759458390245243E-2</v>
      </c>
      <c r="V41" s="2">
        <v>28.122174725756622</v>
      </c>
    </row>
    <row r="42" spans="1:22" ht="15">
      <c r="A42" s="2">
        <v>41</v>
      </c>
      <c r="B42" s="2" t="s">
        <v>78</v>
      </c>
      <c r="C42" s="2" t="s">
        <v>13</v>
      </c>
      <c r="D42" s="2">
        <v>1366.9065205380321</v>
      </c>
      <c r="E42" s="2">
        <v>649.8713095090352</v>
      </c>
      <c r="F42" s="2">
        <v>377.63366717845201</v>
      </c>
      <c r="G42" s="2">
        <v>220.17962623620406</v>
      </c>
      <c r="H42" s="2">
        <v>12.521247347816825</v>
      </c>
      <c r="I42" s="2">
        <v>0.84865720064612105</v>
      </c>
      <c r="J42" s="2">
        <v>9</v>
      </c>
      <c r="K42" s="2">
        <v>178.96331070586757</v>
      </c>
      <c r="L42" s="2">
        <v>60</v>
      </c>
      <c r="M42" s="2">
        <v>25</v>
      </c>
      <c r="N42" s="2">
        <v>1.1725672331368695</v>
      </c>
      <c r="O42" s="2">
        <v>52.169545221710869</v>
      </c>
      <c r="P42" s="2">
        <v>1366.9065205380321</v>
      </c>
      <c r="Q42" s="2">
        <v>1.1724317396820216</v>
      </c>
      <c r="R42" s="2">
        <v>52.349965268474733</v>
      </c>
      <c r="S42" s="2">
        <v>1389.762592027844</v>
      </c>
      <c r="T42" s="2">
        <v>-1.3549345484786812E-4</v>
      </c>
      <c r="U42" s="2">
        <v>0.1804200467638637</v>
      </c>
      <c r="V42" s="2">
        <v>22.856071489811939</v>
      </c>
    </row>
    <row r="43" spans="1:22" ht="15">
      <c r="A43" s="2">
        <v>42</v>
      </c>
      <c r="B43" s="2" t="s">
        <v>78</v>
      </c>
      <c r="C43" s="2" t="s">
        <v>13</v>
      </c>
      <c r="D43" s="2">
        <v>1447.5146677927114</v>
      </c>
      <c r="E43" s="2">
        <v>763.87738848570734</v>
      </c>
      <c r="F43" s="2">
        <v>635.23898730054498</v>
      </c>
      <c r="G43" s="2">
        <v>279.85226797871292</v>
      </c>
      <c r="H43" s="2">
        <v>21.672934908885509</v>
      </c>
      <c r="I43" s="2">
        <v>0.8319131619902328</v>
      </c>
      <c r="J43" s="2">
        <v>9</v>
      </c>
      <c r="K43" s="2">
        <v>193.33143221740173</v>
      </c>
      <c r="L43" s="2">
        <v>45</v>
      </c>
      <c r="M43" s="2">
        <v>25</v>
      </c>
      <c r="N43" s="2">
        <v>1.2422671629691933</v>
      </c>
      <c r="O43" s="2">
        <v>52.23679318577905</v>
      </c>
      <c r="P43" s="2">
        <v>1447.5146677927114</v>
      </c>
      <c r="Q43" s="2">
        <v>1.2370997954817751</v>
      </c>
      <c r="R43" s="2">
        <v>51.445282793190792</v>
      </c>
      <c r="S43" s="2">
        <v>1444.4826556461774</v>
      </c>
      <c r="T43" s="2">
        <v>-5.1673674874181952E-3</v>
      </c>
      <c r="U43" s="2">
        <v>-0.79151039258825762</v>
      </c>
      <c r="V43" s="2">
        <v>-3.0320121465340435</v>
      </c>
    </row>
    <row r="44" spans="1:22" ht="15">
      <c r="A44" s="2">
        <v>43</v>
      </c>
      <c r="B44" s="2" t="s">
        <v>78</v>
      </c>
      <c r="C44" s="2" t="s">
        <v>13</v>
      </c>
      <c r="D44" s="2">
        <v>1451.939935865812</v>
      </c>
      <c r="E44" s="2">
        <v>1064.3480254919268</v>
      </c>
      <c r="F44" s="2">
        <v>442.6622349768877</v>
      </c>
      <c r="G44" s="2">
        <v>268.18880821345374</v>
      </c>
      <c r="H44" s="2">
        <v>11.080747322179377</v>
      </c>
      <c r="I44" s="2">
        <v>0.80950437373248862</v>
      </c>
      <c r="J44" s="2">
        <v>9</v>
      </c>
      <c r="K44" s="2">
        <v>199.29065830342046</v>
      </c>
      <c r="L44" s="2">
        <v>45</v>
      </c>
      <c r="M44" s="2">
        <v>25</v>
      </c>
      <c r="N44" s="2">
        <v>1.2564722183375256</v>
      </c>
      <c r="O44" s="2">
        <v>52.251797914784277</v>
      </c>
      <c r="P44" s="2">
        <v>1451.939935865812</v>
      </c>
      <c r="Q44" s="2">
        <v>1.2628055748173552</v>
      </c>
      <c r="R44" s="2">
        <v>52.874443691281613</v>
      </c>
      <c r="S44" s="2">
        <v>1456.0931251158031</v>
      </c>
      <c r="T44" s="2">
        <v>6.3333564798295772E-3</v>
      </c>
      <c r="U44" s="2">
        <v>0.6226457764973361</v>
      </c>
      <c r="V44" s="2">
        <v>4.153189249991101</v>
      </c>
    </row>
    <row r="45" spans="1:22" ht="15">
      <c r="A45" s="2">
        <v>44</v>
      </c>
      <c r="B45" s="2" t="s">
        <v>78</v>
      </c>
      <c r="C45" s="2" t="s">
        <v>13</v>
      </c>
      <c r="D45" s="2">
        <v>1478.7662638700567</v>
      </c>
      <c r="E45" s="2">
        <v>603.37350904010236</v>
      </c>
      <c r="F45" s="2">
        <v>407.58717460557818</v>
      </c>
      <c r="G45" s="2">
        <v>196.39846197795123</v>
      </c>
      <c r="H45" s="2">
        <v>26.386794138234109</v>
      </c>
      <c r="I45" s="2">
        <v>0.80815685305744411</v>
      </c>
      <c r="J45" s="2">
        <v>10</v>
      </c>
      <c r="K45" s="2">
        <v>182.98010569056518</v>
      </c>
      <c r="L45" s="2">
        <v>55</v>
      </c>
      <c r="M45" s="2">
        <v>25</v>
      </c>
      <c r="N45" s="2">
        <v>1.2049544338662761</v>
      </c>
      <c r="O45" s="2">
        <v>52.184174971979296</v>
      </c>
      <c r="P45" s="2">
        <v>1478.7662638700567</v>
      </c>
      <c r="Q45" s="2">
        <v>1.1962931504262539</v>
      </c>
      <c r="R45" s="2">
        <v>51.873285094809503</v>
      </c>
      <c r="S45" s="2">
        <v>1489.4458745786558</v>
      </c>
      <c r="T45" s="2">
        <v>-8.6612834400221494E-3</v>
      </c>
      <c r="U45" s="2">
        <v>-0.31088987716979233</v>
      </c>
      <c r="V45" s="2">
        <v>10.679610708599057</v>
      </c>
    </row>
    <row r="46" spans="1:22" ht="15">
      <c r="A46" s="2">
        <v>45</v>
      </c>
      <c r="B46" s="2" t="s">
        <v>78</v>
      </c>
      <c r="C46" s="2" t="s">
        <v>13</v>
      </c>
      <c r="D46" s="2">
        <v>1401.3010127004236</v>
      </c>
      <c r="E46" s="2">
        <v>615.49326357198879</v>
      </c>
      <c r="F46" s="2">
        <v>551.84082891792059</v>
      </c>
      <c r="G46" s="2">
        <v>80.113619316834956</v>
      </c>
      <c r="H46" s="2">
        <v>23.94651061668992</v>
      </c>
      <c r="I46" s="2">
        <v>0.84974735833937309</v>
      </c>
      <c r="J46" s="2">
        <v>9</v>
      </c>
      <c r="K46" s="2">
        <v>183.23106390886312</v>
      </c>
      <c r="L46" s="2">
        <v>60</v>
      </c>
      <c r="M46" s="2">
        <v>25</v>
      </c>
      <c r="N46" s="2">
        <v>1.2139950464807749</v>
      </c>
      <c r="O46" s="2">
        <v>52.169508284463461</v>
      </c>
      <c r="P46" s="2">
        <v>1401.3010127004236</v>
      </c>
      <c r="Q46" s="2">
        <v>1.198678524701879</v>
      </c>
      <c r="R46" s="2">
        <v>51.049830810053479</v>
      </c>
      <c r="S46" s="2">
        <v>1400.7547720223563</v>
      </c>
      <c r="T46" s="2">
        <v>-1.5316521778895975E-2</v>
      </c>
      <c r="U46" s="2">
        <v>-1.1196774744099827</v>
      </c>
      <c r="V46" s="2">
        <v>-0.54624067806730636</v>
      </c>
    </row>
    <row r="47" spans="1:22" ht="15">
      <c r="A47" s="2">
        <v>46</v>
      </c>
      <c r="B47" s="2" t="s">
        <v>78</v>
      </c>
      <c r="C47" s="2" t="s">
        <v>13</v>
      </c>
      <c r="D47" s="2">
        <v>1359.6719762426801</v>
      </c>
      <c r="E47" s="2">
        <v>953.88401977252215</v>
      </c>
      <c r="F47" s="2">
        <v>412.43448602035642</v>
      </c>
      <c r="G47" s="2">
        <v>240.79388931393623</v>
      </c>
      <c r="H47" s="2">
        <v>8.6712000169791281</v>
      </c>
      <c r="I47" s="2">
        <v>0.81673286504577847</v>
      </c>
      <c r="J47" s="2">
        <v>9</v>
      </c>
      <c r="K47" s="2">
        <v>184.97439063933911</v>
      </c>
      <c r="L47" s="2">
        <v>50</v>
      </c>
      <c r="M47" s="2">
        <v>25</v>
      </c>
      <c r="N47" s="2">
        <v>1.2473212652656689</v>
      </c>
      <c r="O47" s="2">
        <v>52.22558900020703</v>
      </c>
      <c r="P47" s="2">
        <v>1359.6719762426801</v>
      </c>
      <c r="Q47" s="2">
        <v>1.2440694174547162</v>
      </c>
      <c r="R47" s="2">
        <v>52.507518524170486</v>
      </c>
      <c r="S47" s="2">
        <v>1367.8544895899804</v>
      </c>
      <c r="T47" s="2">
        <v>-3.2518478109526683E-3</v>
      </c>
      <c r="U47" s="2">
        <v>0.28192952396345561</v>
      </c>
      <c r="V47" s="2">
        <v>8.1825133473003007</v>
      </c>
    </row>
    <row r="48" spans="1:22" ht="15">
      <c r="A48" s="2">
        <v>47</v>
      </c>
      <c r="B48" s="2" t="s">
        <v>78</v>
      </c>
      <c r="C48" s="2" t="s">
        <v>13</v>
      </c>
      <c r="D48" s="2">
        <v>1454.0374139556661</v>
      </c>
      <c r="E48" s="2">
        <v>651.45725469337776</v>
      </c>
      <c r="F48" s="2">
        <v>497.88472428917885</v>
      </c>
      <c r="G48" s="2">
        <v>276.95289660012349</v>
      </c>
      <c r="H48" s="2">
        <v>14.972267611883581</v>
      </c>
      <c r="I48" s="2">
        <v>0.8311732551991009</v>
      </c>
      <c r="J48" s="2">
        <v>9</v>
      </c>
      <c r="K48" s="2">
        <v>194.37549470121047</v>
      </c>
      <c r="L48" s="2">
        <v>55</v>
      </c>
      <c r="M48" s="2">
        <v>25</v>
      </c>
      <c r="N48" s="2">
        <v>1.2405815193916871</v>
      </c>
      <c r="O48" s="2">
        <v>52.197395028475228</v>
      </c>
      <c r="P48" s="2">
        <v>1454.0374139556661</v>
      </c>
      <c r="Q48" s="2">
        <v>1.2305798239455306</v>
      </c>
      <c r="R48" s="2">
        <v>52.066027648296505</v>
      </c>
      <c r="S48" s="2">
        <v>1460.2626355829157</v>
      </c>
      <c r="T48" s="2">
        <v>-1.0001695446156589E-2</v>
      </c>
      <c r="U48" s="2">
        <v>-0.13136738017872318</v>
      </c>
      <c r="V48" s="2">
        <v>6.2252216272495389</v>
      </c>
    </row>
    <row r="49" spans="1:22" ht="15">
      <c r="A49" s="2">
        <v>48</v>
      </c>
      <c r="B49" s="2" t="s">
        <v>78</v>
      </c>
      <c r="C49" s="2" t="s">
        <v>13</v>
      </c>
      <c r="D49" s="2">
        <v>1427.9104266199283</v>
      </c>
      <c r="E49" s="2">
        <v>765.87883923202753</v>
      </c>
      <c r="F49" s="2">
        <v>367.42576798424125</v>
      </c>
      <c r="G49" s="2">
        <v>155.55072393734008</v>
      </c>
      <c r="H49" s="2">
        <v>19.244533890392631</v>
      </c>
      <c r="I49" s="2">
        <v>0.8058053674455733</v>
      </c>
      <c r="J49" s="2">
        <v>9</v>
      </c>
      <c r="K49" s="2">
        <v>196.89210382381467</v>
      </c>
      <c r="L49" s="2">
        <v>60</v>
      </c>
      <c r="M49" s="2">
        <v>25</v>
      </c>
      <c r="N49" s="2">
        <v>1.2344444418456741</v>
      </c>
      <c r="O49" s="2">
        <v>52.175964767510123</v>
      </c>
      <c r="P49" s="2">
        <v>1427.9104266199283</v>
      </c>
      <c r="Q49" s="2">
        <v>1.2375272827904866</v>
      </c>
      <c r="R49" s="2">
        <v>51.422239850606594</v>
      </c>
      <c r="S49" s="2">
        <v>1436.2066415219917</v>
      </c>
      <c r="T49" s="2">
        <v>3.0828409448124816E-3</v>
      </c>
      <c r="U49" s="2">
        <v>-0.75372491690352916</v>
      </c>
      <c r="V49" s="2">
        <v>8.2962149020634115</v>
      </c>
    </row>
    <row r="50" spans="1:22" ht="15">
      <c r="A50" s="2">
        <v>49</v>
      </c>
      <c r="B50" s="2" t="s">
        <v>78</v>
      </c>
      <c r="C50" s="2" t="s">
        <v>13</v>
      </c>
      <c r="D50" s="2">
        <v>1424.8981227166951</v>
      </c>
      <c r="E50" s="2">
        <v>743.54254541685805</v>
      </c>
      <c r="F50" s="2">
        <v>386.21795568615198</v>
      </c>
      <c r="G50" s="2">
        <v>196.94730079034343</v>
      </c>
      <c r="H50" s="2">
        <v>9.3081234861165285</v>
      </c>
      <c r="I50" s="2">
        <v>0.80094298391835772</v>
      </c>
      <c r="J50" s="2">
        <v>9</v>
      </c>
      <c r="K50" s="2">
        <v>197.66951807311983</v>
      </c>
      <c r="L50" s="2">
        <v>60</v>
      </c>
      <c r="M50" s="2">
        <v>25</v>
      </c>
      <c r="N50" s="2">
        <v>1.231882478523407</v>
      </c>
      <c r="O50" s="2">
        <v>52.181866914010214</v>
      </c>
      <c r="P50" s="2">
        <v>1424.8981227166951</v>
      </c>
      <c r="Q50" s="2">
        <v>1.2354159062397156</v>
      </c>
      <c r="R50" s="2">
        <v>51.172786144042931</v>
      </c>
      <c r="S50" s="2">
        <v>1438.3043053980566</v>
      </c>
      <c r="T50" s="2">
        <v>3.5334277163086014E-3</v>
      </c>
      <c r="U50" s="2">
        <v>-1.0090807699672837</v>
      </c>
      <c r="V50" s="2">
        <v>13.406182681361543</v>
      </c>
    </row>
    <row r="51" spans="1:22" ht="15">
      <c r="A51" s="2">
        <v>50</v>
      </c>
      <c r="B51" s="2" t="s">
        <v>78</v>
      </c>
      <c r="C51" s="2" t="s">
        <v>13</v>
      </c>
      <c r="D51" s="2">
        <v>1410.8754671760835</v>
      </c>
      <c r="E51" s="2">
        <v>697.11635385174304</v>
      </c>
      <c r="F51" s="2">
        <v>566.82415688410401</v>
      </c>
      <c r="G51" s="2">
        <v>157.60293898172677</v>
      </c>
      <c r="H51" s="2">
        <v>16.010248572099954</v>
      </c>
      <c r="I51" s="2">
        <v>0.82244808661285795</v>
      </c>
      <c r="J51" s="2">
        <v>9</v>
      </c>
      <c r="K51" s="2">
        <v>190.60648732609235</v>
      </c>
      <c r="L51" s="2">
        <v>55</v>
      </c>
      <c r="M51" s="2">
        <v>25</v>
      </c>
      <c r="N51" s="2">
        <v>1.2408012291774302</v>
      </c>
      <c r="O51" s="2">
        <v>52.196654162397209</v>
      </c>
      <c r="P51" s="2">
        <v>1410.8754671760835</v>
      </c>
      <c r="Q51" s="2">
        <v>1.2507916274113771</v>
      </c>
      <c r="R51" s="2">
        <v>51.471937735110245</v>
      </c>
      <c r="S51" s="2">
        <v>1423.0326037850441</v>
      </c>
      <c r="T51" s="2">
        <v>9.9903982339468733E-3</v>
      </c>
      <c r="U51" s="2">
        <v>-0.72471642728696395</v>
      </c>
      <c r="V51" s="2">
        <v>12.157136608960627</v>
      </c>
    </row>
    <row r="52" spans="1:22" ht="15">
      <c r="A52" s="2">
        <v>51</v>
      </c>
      <c r="B52" s="2" t="s">
        <v>78</v>
      </c>
      <c r="C52" s="2" t="s">
        <v>13</v>
      </c>
      <c r="D52" s="2">
        <v>1429.5092044165358</v>
      </c>
      <c r="E52" s="2">
        <v>1006.8637307384051</v>
      </c>
      <c r="F52" s="2">
        <v>352.98555456101894</v>
      </c>
      <c r="G52" s="2">
        <v>95.395543246995658</v>
      </c>
      <c r="H52" s="2">
        <v>14.656337481923401</v>
      </c>
      <c r="I52" s="2">
        <v>0.80699279893888165</v>
      </c>
      <c r="J52" s="2">
        <v>9</v>
      </c>
      <c r="K52" s="2">
        <v>196.82251967444287</v>
      </c>
      <c r="L52" s="2">
        <v>50</v>
      </c>
      <c r="M52" s="2">
        <v>25</v>
      </c>
      <c r="N52" s="2">
        <v>1.1596141910194189</v>
      </c>
      <c r="O52" s="2">
        <v>52.2019090498911</v>
      </c>
      <c r="P52" s="2">
        <v>1429.5092044165358</v>
      </c>
      <c r="Q52" s="2">
        <v>1.1670108060474988</v>
      </c>
      <c r="R52" s="2">
        <v>53.258610738044325</v>
      </c>
      <c r="S52" s="2">
        <v>1441.6988276306245</v>
      </c>
      <c r="T52" s="2">
        <v>7.3966150280799781E-3</v>
      </c>
      <c r="U52" s="2">
        <v>1.0567016881532254</v>
      </c>
      <c r="V52" s="2">
        <v>12.18962321408867</v>
      </c>
    </row>
    <row r="53" spans="1:22" ht="15">
      <c r="A53" s="2">
        <v>52</v>
      </c>
      <c r="B53" s="2" t="s">
        <v>78</v>
      </c>
      <c r="C53" s="2" t="s">
        <v>13</v>
      </c>
      <c r="D53" s="2">
        <v>1392.1426073997281</v>
      </c>
      <c r="E53" s="2">
        <v>1072.2996565047652</v>
      </c>
      <c r="F53" s="2">
        <v>681.80786250159144</v>
      </c>
      <c r="G53" s="2">
        <v>190.47353164758533</v>
      </c>
      <c r="H53" s="2">
        <v>9.2568767364136875</v>
      </c>
      <c r="I53" s="2">
        <v>0.84709191853180532</v>
      </c>
      <c r="J53" s="2">
        <v>9</v>
      </c>
      <c r="K53" s="2">
        <v>182.60416437616544</v>
      </c>
      <c r="L53" s="2">
        <v>40</v>
      </c>
      <c r="M53" s="2">
        <v>25</v>
      </c>
      <c r="N53" s="2">
        <v>1.2215804230976188</v>
      </c>
      <c r="O53" s="2">
        <v>52.278208800323213</v>
      </c>
      <c r="P53" s="2">
        <v>1392.1426073997281</v>
      </c>
      <c r="Q53" s="2">
        <v>1.245507244250722</v>
      </c>
      <c r="R53" s="2">
        <v>52.265302924449024</v>
      </c>
      <c r="S53" s="2">
        <v>1384.6404129282801</v>
      </c>
      <c r="T53" s="2">
        <v>2.3926821153103184E-2</v>
      </c>
      <c r="U53" s="2">
        <v>-1.2905875874189121E-2</v>
      </c>
      <c r="V53" s="2">
        <v>-7.5021944714480924</v>
      </c>
    </row>
    <row r="54" spans="1:22" ht="15">
      <c r="A54" s="2">
        <v>53</v>
      </c>
      <c r="B54" s="2" t="s">
        <v>78</v>
      </c>
      <c r="C54" s="2" t="s">
        <v>13</v>
      </c>
      <c r="D54" s="2">
        <v>1365.1213158387691</v>
      </c>
      <c r="E54" s="2">
        <v>1222.5124664488249</v>
      </c>
      <c r="F54" s="2">
        <v>729.48302309960127</v>
      </c>
      <c r="G54" s="2">
        <v>250.907533087302</v>
      </c>
      <c r="H54" s="2">
        <v>23.0065638422966</v>
      </c>
      <c r="I54" s="2">
        <v>0.80868711775401614</v>
      </c>
      <c r="J54" s="2">
        <v>9</v>
      </c>
      <c r="K54" s="2">
        <v>187.56345052901565</v>
      </c>
      <c r="L54" s="2">
        <v>30</v>
      </c>
      <c r="M54" s="2">
        <v>25</v>
      </c>
      <c r="N54" s="2">
        <v>1.1575772902025177</v>
      </c>
      <c r="O54" s="2">
        <v>52.318487653804475</v>
      </c>
      <c r="P54" s="2">
        <v>1365.1213158387691</v>
      </c>
      <c r="Q54" s="2">
        <v>1.1756482212687398</v>
      </c>
      <c r="R54" s="2">
        <v>52.021414441078576</v>
      </c>
      <c r="S54" s="2">
        <v>1348.5307700931053</v>
      </c>
      <c r="T54" s="2">
        <v>1.8070931066222151E-2</v>
      </c>
      <c r="U54" s="2">
        <v>-0.29707321272589837</v>
      </c>
      <c r="V54" s="2">
        <v>-16.590545745663803</v>
      </c>
    </row>
    <row r="55" spans="1:22" ht="15">
      <c r="A55" s="2">
        <v>54</v>
      </c>
      <c r="B55" s="2" t="s">
        <v>78</v>
      </c>
      <c r="C55" s="2" t="s">
        <v>13</v>
      </c>
      <c r="D55" s="2">
        <v>1370.1679543708451</v>
      </c>
      <c r="E55" s="2">
        <v>1031.8570831557736</v>
      </c>
      <c r="F55" s="2">
        <v>420.63633622601628</v>
      </c>
      <c r="G55" s="2">
        <v>106.2398743070662</v>
      </c>
      <c r="H55" s="2">
        <v>28.750220707152039</v>
      </c>
      <c r="I55" s="2">
        <v>0.83555112434085466</v>
      </c>
      <c r="J55" s="2">
        <v>9</v>
      </c>
      <c r="K55" s="2">
        <v>182.20415170775075</v>
      </c>
      <c r="L55" s="2">
        <v>45</v>
      </c>
      <c r="M55" s="2">
        <v>25</v>
      </c>
      <c r="N55" s="2">
        <v>1.1932708854223535</v>
      </c>
      <c r="O55" s="2">
        <v>52.218045488818433</v>
      </c>
      <c r="P55" s="2">
        <v>1370.1679543708451</v>
      </c>
      <c r="Q55" s="2">
        <v>1.1779327669847415</v>
      </c>
      <c r="R55" s="2">
        <v>53.408152378505363</v>
      </c>
      <c r="S55" s="2">
        <v>1354.3887241818566</v>
      </c>
      <c r="T55" s="2">
        <v>-1.5338118437612014E-2</v>
      </c>
      <c r="U55" s="2">
        <v>1.1901068896869305</v>
      </c>
      <c r="V55" s="2">
        <v>-15.779230188988549</v>
      </c>
    </row>
    <row r="56" spans="1:22" ht="15">
      <c r="A56" s="2">
        <v>55</v>
      </c>
      <c r="B56" s="2" t="s">
        <v>79</v>
      </c>
      <c r="C56" s="2" t="s">
        <v>13</v>
      </c>
      <c r="D56" s="2">
        <v>1496.9960996182635</v>
      </c>
      <c r="E56" s="2">
        <v>895.2182395500131</v>
      </c>
      <c r="F56" s="2">
        <v>499.92687255144119</v>
      </c>
      <c r="G56" s="2">
        <v>281.22554799309</v>
      </c>
      <c r="H56" s="2">
        <v>9.2575368387624621</v>
      </c>
      <c r="I56" s="2">
        <v>0.84313647974049677</v>
      </c>
      <c r="J56" s="2">
        <v>9</v>
      </c>
      <c r="K56" s="2">
        <v>197.27873713728923</v>
      </c>
      <c r="L56" s="2">
        <v>45</v>
      </c>
      <c r="M56" s="2">
        <v>25</v>
      </c>
      <c r="N56" s="2">
        <v>1.1805657025641421</v>
      </c>
      <c r="O56" s="2">
        <v>52.236388095175236</v>
      </c>
      <c r="P56" s="2">
        <v>1496.9960996182635</v>
      </c>
      <c r="Q56" s="2">
        <v>1.1958282941748746</v>
      </c>
      <c r="R56" s="2">
        <v>53.220651464800184</v>
      </c>
      <c r="S56" s="2">
        <v>1501.3928549420152</v>
      </c>
      <c r="T56" s="2">
        <v>1.5262591610732512E-2</v>
      </c>
      <c r="U56" s="2">
        <v>0.98426336962494787</v>
      </c>
      <c r="V56" s="2">
        <v>4.3967553237516768</v>
      </c>
    </row>
    <row r="57" spans="1:22" ht="15">
      <c r="A57" s="2">
        <v>56</v>
      </c>
      <c r="B57" s="2" t="s">
        <v>79</v>
      </c>
      <c r="C57" s="2" t="s">
        <v>13</v>
      </c>
      <c r="D57" s="2">
        <v>1491.1471567000262</v>
      </c>
      <c r="E57" s="2">
        <v>1061.1373308114707</v>
      </c>
      <c r="F57" s="2">
        <v>454.00808965787292</v>
      </c>
      <c r="G57" s="2">
        <v>179.91560003254563</v>
      </c>
      <c r="H57" s="2">
        <v>14.438182627316564</v>
      </c>
      <c r="I57" s="2">
        <v>0.83178118479438135</v>
      </c>
      <c r="J57" s="2">
        <v>9</v>
      </c>
      <c r="K57" s="2">
        <v>199.19062902591546</v>
      </c>
      <c r="L57" s="2">
        <v>45</v>
      </c>
      <c r="M57" s="2">
        <v>25</v>
      </c>
      <c r="N57" s="2">
        <v>1.2186033115213322</v>
      </c>
      <c r="O57" s="2">
        <v>52.239302389621756</v>
      </c>
      <c r="P57" s="2">
        <v>1491.1471567000262</v>
      </c>
      <c r="Q57" s="2">
        <v>1.2136804431987871</v>
      </c>
      <c r="R57" s="2">
        <v>51.713689650630307</v>
      </c>
      <c r="S57" s="2">
        <v>1500.1306999739211</v>
      </c>
      <c r="T57" s="2">
        <v>-4.9228683225450709E-3</v>
      </c>
      <c r="U57" s="2">
        <v>-0.52561273899144823</v>
      </c>
      <c r="V57" s="2">
        <v>8.9835432738948384</v>
      </c>
    </row>
    <row r="58" spans="1:22" ht="15">
      <c r="A58" s="2">
        <v>57</v>
      </c>
      <c r="B58" s="2" t="s">
        <v>79</v>
      </c>
      <c r="C58" s="2" t="s">
        <v>13</v>
      </c>
      <c r="D58" s="2">
        <v>1487.9497747868299</v>
      </c>
      <c r="E58" s="2">
        <v>1181.9113908684812</v>
      </c>
      <c r="F58" s="2">
        <v>510.81817913800478</v>
      </c>
      <c r="G58" s="2">
        <v>313.78554783994332</v>
      </c>
      <c r="H58" s="2">
        <v>25.427104188129306</v>
      </c>
      <c r="I58" s="2">
        <v>0.85297531333984811</v>
      </c>
      <c r="J58" s="2">
        <v>9</v>
      </c>
      <c r="K58" s="2">
        <v>193.82478035237256</v>
      </c>
      <c r="L58" s="2">
        <v>35</v>
      </c>
      <c r="M58" s="2">
        <v>25</v>
      </c>
      <c r="N58" s="2">
        <v>1.2123782888983161</v>
      </c>
      <c r="O58" s="2">
        <v>52.287865869750206</v>
      </c>
      <c r="P58" s="2">
        <v>1487.9497747868299</v>
      </c>
      <c r="Q58" s="2">
        <v>1.2218023564133467</v>
      </c>
      <c r="R58" s="2">
        <v>53.147155950438332</v>
      </c>
      <c r="S58" s="2">
        <v>1465.3330760359145</v>
      </c>
      <c r="T58" s="2">
        <v>9.4240675150305542E-3</v>
      </c>
      <c r="U58" s="2">
        <v>0.85929008068812607</v>
      </c>
      <c r="V58" s="2">
        <v>-22.616698750915475</v>
      </c>
    </row>
    <row r="59" spans="1:22" ht="15">
      <c r="A59" s="2">
        <v>58</v>
      </c>
      <c r="B59" s="2" t="s">
        <v>80</v>
      </c>
      <c r="C59" s="2" t="s">
        <v>13</v>
      </c>
      <c r="D59" s="2">
        <v>1379.5145767391659</v>
      </c>
      <c r="E59" s="2">
        <v>973.78014309797436</v>
      </c>
      <c r="F59" s="2">
        <v>470.69805422797799</v>
      </c>
      <c r="G59" s="2">
        <v>219.46313387714326</v>
      </c>
      <c r="H59" s="2">
        <v>24.010178369004279</v>
      </c>
      <c r="I59" s="2">
        <v>0.85791006170678885</v>
      </c>
      <c r="J59" s="2">
        <v>9</v>
      </c>
      <c r="K59" s="2">
        <v>178.66604467899313</v>
      </c>
      <c r="L59" s="2">
        <v>45</v>
      </c>
      <c r="M59" s="2">
        <v>25</v>
      </c>
      <c r="N59" s="2">
        <v>1.2430174279456838</v>
      </c>
      <c r="O59" s="2">
        <v>52.234450052067842</v>
      </c>
      <c r="P59" s="2">
        <v>1379.5145767391659</v>
      </c>
      <c r="Q59" s="2">
        <v>1.2461764896274734</v>
      </c>
      <c r="R59" s="2">
        <v>52.12982596126389</v>
      </c>
      <c r="S59" s="2">
        <v>1368.5992668130461</v>
      </c>
      <c r="T59" s="2">
        <v>3.1590616817895878E-3</v>
      </c>
      <c r="U59" s="2">
        <v>-0.10462409080395219</v>
      </c>
      <c r="V59" s="2">
        <v>-10.915309926119789</v>
      </c>
    </row>
    <row r="60" spans="1:22" ht="15">
      <c r="A60" s="2">
        <v>59</v>
      </c>
      <c r="B60" s="2" t="s">
        <v>80</v>
      </c>
      <c r="C60" s="2" t="s">
        <v>13</v>
      </c>
      <c r="D60" s="2">
        <v>1409.6952807856724</v>
      </c>
      <c r="E60" s="2">
        <v>1131.5265246317722</v>
      </c>
      <c r="F60" s="2">
        <v>529.60423566401005</v>
      </c>
      <c r="G60" s="2">
        <v>226.74739091424271</v>
      </c>
      <c r="H60" s="2">
        <v>8.8693100297823548</v>
      </c>
      <c r="I60" s="2">
        <v>0.82013442369876433</v>
      </c>
      <c r="J60" s="2">
        <v>9</v>
      </c>
      <c r="K60" s="2">
        <v>190.98431238842514</v>
      </c>
      <c r="L60" s="2">
        <v>40</v>
      </c>
      <c r="M60" s="2">
        <v>25</v>
      </c>
      <c r="N60" s="2">
        <v>1.1853067989090618</v>
      </c>
      <c r="O60" s="2">
        <v>52.269367400727425</v>
      </c>
      <c r="P60" s="2">
        <v>1409.6952807856724</v>
      </c>
      <c r="Q60" s="2">
        <v>1.1994113287495587</v>
      </c>
      <c r="R60" s="2">
        <v>51.780379464402323</v>
      </c>
      <c r="S60" s="2">
        <v>1405.8686990807789</v>
      </c>
      <c r="T60" s="2">
        <v>1.4104529840496927E-2</v>
      </c>
      <c r="U60" s="2">
        <v>-0.48898793632510262</v>
      </c>
      <c r="V60" s="2">
        <v>-3.8265817048934423</v>
      </c>
    </row>
    <row r="61" spans="1:22" ht="15">
      <c r="A61" s="2">
        <v>60</v>
      </c>
      <c r="B61" s="2" t="s">
        <v>80</v>
      </c>
      <c r="C61" s="2" t="s">
        <v>13</v>
      </c>
      <c r="D61" s="2">
        <v>1446.3500250480138</v>
      </c>
      <c r="E61" s="2">
        <v>863.69737791828811</v>
      </c>
      <c r="F61" s="2">
        <v>553.95299745723605</v>
      </c>
      <c r="G61" s="2">
        <v>178.44980936031789</v>
      </c>
      <c r="H61" s="2">
        <v>28.058937917929143</v>
      </c>
      <c r="I61" s="2">
        <v>0.79264516130089768</v>
      </c>
      <c r="J61" s="2">
        <v>10</v>
      </c>
      <c r="K61" s="2">
        <v>182.4713119643913</v>
      </c>
      <c r="L61" s="2">
        <v>40</v>
      </c>
      <c r="M61" s="2">
        <v>25</v>
      </c>
      <c r="N61" s="2">
        <v>1.2037536983713619</v>
      </c>
      <c r="O61" s="2">
        <v>52.251524357005479</v>
      </c>
      <c r="P61" s="2">
        <v>1446.3500250480138</v>
      </c>
      <c r="Q61" s="2">
        <v>1.1935998324126398</v>
      </c>
      <c r="R61" s="2">
        <v>52.218185391690227</v>
      </c>
      <c r="S61" s="2">
        <v>1428.4303968401045</v>
      </c>
      <c r="T61" s="2">
        <v>-1.0153865958722141E-2</v>
      </c>
      <c r="U61" s="2">
        <v>-3.3338965315252267E-2</v>
      </c>
      <c r="V61" s="2">
        <v>-17.919628207909227</v>
      </c>
    </row>
    <row r="62" spans="1:22" ht="15">
      <c r="A62" s="2">
        <v>61</v>
      </c>
      <c r="B62" s="2" t="s">
        <v>78</v>
      </c>
      <c r="C62" s="2" t="s">
        <v>13</v>
      </c>
      <c r="D62" s="2">
        <v>1361.2942542415112</v>
      </c>
      <c r="E62" s="2">
        <v>1050.4567053983919</v>
      </c>
      <c r="F62" s="2">
        <v>442.92150195688009</v>
      </c>
      <c r="G62" s="2">
        <v>240.91997810872272</v>
      </c>
      <c r="H62" s="2">
        <v>19.930900510400534</v>
      </c>
      <c r="I62" s="2">
        <v>0.85161772225284949</v>
      </c>
      <c r="J62" s="2">
        <v>8</v>
      </c>
      <c r="K62" s="2">
        <v>199.81005248463703</v>
      </c>
      <c r="L62" s="2">
        <v>45</v>
      </c>
      <c r="M62" s="2">
        <v>25</v>
      </c>
      <c r="N62" s="2">
        <v>1.1524511624659826</v>
      </c>
      <c r="O62" s="2">
        <v>52.215373728505305</v>
      </c>
      <c r="P62" s="2">
        <v>1361.2942542415112</v>
      </c>
      <c r="Q62" s="2">
        <v>1.1585936030326702</v>
      </c>
      <c r="R62" s="2">
        <v>51.534256016534457</v>
      </c>
      <c r="S62" s="2">
        <v>1356.6152804953238</v>
      </c>
      <c r="T62" s="2">
        <v>6.142440566687668E-3</v>
      </c>
      <c r="U62" s="2">
        <v>-0.68111771197084892</v>
      </c>
      <c r="V62" s="2">
        <v>-4.6789737461874665</v>
      </c>
    </row>
    <row r="63" spans="1:22" ht="15">
      <c r="A63" s="2">
        <v>62</v>
      </c>
      <c r="B63" s="2" t="s">
        <v>78</v>
      </c>
      <c r="C63" s="2" t="s">
        <v>13</v>
      </c>
      <c r="D63" s="2">
        <v>1462.3568754759617</v>
      </c>
      <c r="E63" s="2">
        <v>1092.1012247679755</v>
      </c>
      <c r="F63" s="2">
        <v>685.13913648203015</v>
      </c>
      <c r="G63" s="2">
        <v>308.4874627366662</v>
      </c>
      <c r="H63" s="2">
        <v>21.457729341927916</v>
      </c>
      <c r="I63" s="2">
        <v>0.79676571625750514</v>
      </c>
      <c r="J63" s="2">
        <v>10</v>
      </c>
      <c r="K63" s="2">
        <v>183.53662132261545</v>
      </c>
      <c r="L63" s="2">
        <v>30</v>
      </c>
      <c r="M63" s="2">
        <v>25</v>
      </c>
      <c r="N63" s="2">
        <v>1.1848893116526913</v>
      </c>
      <c r="O63" s="2">
        <v>52.336352345505688</v>
      </c>
      <c r="P63" s="2">
        <v>1462.3568754759617</v>
      </c>
      <c r="Q63" s="2">
        <v>1.1986633821185972</v>
      </c>
      <c r="R63" s="2">
        <v>53.51080506043715</v>
      </c>
      <c r="S63" s="2">
        <v>1438.4099095765982</v>
      </c>
      <c r="T63" s="2">
        <v>1.3774070465905952E-2</v>
      </c>
      <c r="U63" s="2">
        <v>1.1744527149314621</v>
      </c>
      <c r="V63" s="2">
        <v>-23.946965899363477</v>
      </c>
    </row>
    <row r="64" spans="1:22" ht="15">
      <c r="A64" s="2">
        <v>63</v>
      </c>
      <c r="B64" s="2" t="s">
        <v>78</v>
      </c>
      <c r="C64" s="2" t="s">
        <v>13</v>
      </c>
      <c r="D64" s="2">
        <v>1389.1219146782532</v>
      </c>
      <c r="E64" s="2">
        <v>991.90673335688189</v>
      </c>
      <c r="F64" s="2">
        <v>355.40618225932121</v>
      </c>
      <c r="G64" s="2">
        <v>92.470241112168878</v>
      </c>
      <c r="H64" s="2">
        <v>15.66517189797014</v>
      </c>
      <c r="I64" s="2">
        <v>0.85187670411309235</v>
      </c>
      <c r="J64" s="2">
        <v>9</v>
      </c>
      <c r="K64" s="2">
        <v>181.18452900926403</v>
      </c>
      <c r="L64" s="2">
        <v>50</v>
      </c>
      <c r="M64" s="2">
        <v>25</v>
      </c>
      <c r="N64" s="2">
        <v>1.1523770511520419</v>
      </c>
      <c r="O64" s="2">
        <v>52.199498188712866</v>
      </c>
      <c r="P64" s="2">
        <v>1389.1219146782532</v>
      </c>
      <c r="Q64" s="2">
        <v>1.1629498522762853</v>
      </c>
      <c r="R64" s="2">
        <v>53.466270555211196</v>
      </c>
      <c r="S64" s="2">
        <v>1391.8501697294025</v>
      </c>
      <c r="T64" s="2">
        <v>1.0572801124243414E-2</v>
      </c>
      <c r="U64" s="2">
        <v>1.2667723664983299</v>
      </c>
      <c r="V64" s="2">
        <v>2.72825505114929</v>
      </c>
    </row>
    <row r="65" spans="1:22" ht="15">
      <c r="A65" s="2">
        <v>64</v>
      </c>
      <c r="B65" s="2" t="s">
        <v>78</v>
      </c>
      <c r="C65" s="2" t="s">
        <v>13</v>
      </c>
      <c r="D65" s="2">
        <v>1447.4562385934405</v>
      </c>
      <c r="E65" s="2">
        <v>1167.4714174121618</v>
      </c>
      <c r="F65" s="2">
        <v>512.77671447023749</v>
      </c>
      <c r="G65" s="2">
        <v>83.175475751049817</v>
      </c>
      <c r="H65" s="2">
        <v>27.165652827825397</v>
      </c>
      <c r="I65" s="2">
        <v>0.85193960013799375</v>
      </c>
      <c r="J65" s="2">
        <v>9</v>
      </c>
      <c r="K65" s="2">
        <v>188.77919388742626</v>
      </c>
      <c r="L65" s="2">
        <v>40</v>
      </c>
      <c r="M65" s="2">
        <v>25</v>
      </c>
      <c r="N65" s="2">
        <v>1.2074616063436412</v>
      </c>
      <c r="O65" s="2">
        <v>52.249961826020247</v>
      </c>
      <c r="P65" s="2">
        <v>1447.4562385934405</v>
      </c>
      <c r="Q65" s="2">
        <v>1.207278651948416</v>
      </c>
      <c r="R65" s="2">
        <v>51.931441755739705</v>
      </c>
      <c r="S65" s="2">
        <v>1432.3914383336569</v>
      </c>
      <c r="T65" s="2">
        <v>-1.8295439522519885E-4</v>
      </c>
      <c r="U65" s="2">
        <v>-0.31852007028054174</v>
      </c>
      <c r="V65" s="2">
        <v>-15.064800259783624</v>
      </c>
    </row>
    <row r="66" spans="1:22" ht="15">
      <c r="A66" s="2">
        <v>65</v>
      </c>
      <c r="B66" s="2" t="s">
        <v>78</v>
      </c>
      <c r="C66" s="2" t="s">
        <v>13</v>
      </c>
      <c r="D66" s="2">
        <v>1376.1366072110832</v>
      </c>
      <c r="E66" s="2">
        <v>1126.6223046346568</v>
      </c>
      <c r="F66" s="2">
        <v>623.88688270002604</v>
      </c>
      <c r="G66" s="2">
        <v>116.15840623388067</v>
      </c>
      <c r="H66" s="2">
        <v>19.453503021970391</v>
      </c>
      <c r="I66" s="2">
        <v>0.85144453848944979</v>
      </c>
      <c r="J66" s="2">
        <v>9</v>
      </c>
      <c r="K66" s="2">
        <v>179.58194639332081</v>
      </c>
      <c r="L66" s="2">
        <v>40</v>
      </c>
      <c r="M66" s="2">
        <v>25</v>
      </c>
      <c r="N66" s="2">
        <v>1.2298815967787537</v>
      </c>
      <c r="O66" s="2">
        <v>52.266060144527174</v>
      </c>
      <c r="P66" s="2">
        <v>1376.1366072110832</v>
      </c>
      <c r="Q66" s="2">
        <v>1.2365201313953365</v>
      </c>
      <c r="R66" s="2">
        <v>53.102314776499469</v>
      </c>
      <c r="S66" s="2">
        <v>1361.8185910803822</v>
      </c>
      <c r="T66" s="2">
        <v>6.6385346165827031E-3</v>
      </c>
      <c r="U66" s="2">
        <v>0.83625463197229521</v>
      </c>
      <c r="V66" s="2">
        <v>-14.318016130700926</v>
      </c>
    </row>
    <row r="67" spans="1:22" ht="15">
      <c r="A67" s="2">
        <v>66</v>
      </c>
      <c r="B67" s="2" t="s">
        <v>78</v>
      </c>
      <c r="C67" s="2" t="s">
        <v>13</v>
      </c>
      <c r="D67" s="2">
        <v>1437.7821055823006</v>
      </c>
      <c r="E67" s="2">
        <v>1010.3864907519892</v>
      </c>
      <c r="F67" s="2">
        <v>397.36193055287004</v>
      </c>
      <c r="G67" s="2">
        <v>87.425440708175302</v>
      </c>
      <c r="H67" s="2">
        <v>20.382635646034032</v>
      </c>
      <c r="I67" s="2">
        <v>0.80842975972685971</v>
      </c>
      <c r="J67" s="2">
        <v>9</v>
      </c>
      <c r="K67" s="2">
        <v>197.60970618016023</v>
      </c>
      <c r="L67" s="2">
        <v>50</v>
      </c>
      <c r="M67" s="2">
        <v>25</v>
      </c>
      <c r="N67" s="2">
        <v>1.2145008812544025</v>
      </c>
      <c r="O67" s="2">
        <v>52.208134984434373</v>
      </c>
      <c r="P67" s="2">
        <v>1437.7821055823006</v>
      </c>
      <c r="Q67" s="2">
        <v>1.2022139090304624</v>
      </c>
      <c r="R67" s="2">
        <v>51.711280022156778</v>
      </c>
      <c r="S67" s="2">
        <v>1442.3113905389494</v>
      </c>
      <c r="T67" s="2">
        <v>-1.228697222394004E-2</v>
      </c>
      <c r="U67" s="2">
        <v>-0.49685496227759529</v>
      </c>
      <c r="V67" s="2">
        <v>4.5292849566487803</v>
      </c>
    </row>
    <row r="68" spans="1:22" ht="15">
      <c r="A68" s="2">
        <v>67</v>
      </c>
      <c r="B68" s="2" t="s">
        <v>78</v>
      </c>
      <c r="C68" s="2" t="s">
        <v>13</v>
      </c>
      <c r="D68" s="2">
        <v>1392.8062971448526</v>
      </c>
      <c r="E68" s="2">
        <v>977.71600388223305</v>
      </c>
      <c r="F68" s="2">
        <v>463.72692696750164</v>
      </c>
      <c r="G68" s="2">
        <v>209.71110612852499</v>
      </c>
      <c r="H68" s="2">
        <v>24.539210711605847</v>
      </c>
      <c r="I68" s="2">
        <v>0.83741937176091596</v>
      </c>
      <c r="J68" s="2">
        <v>9</v>
      </c>
      <c r="K68" s="2">
        <v>184.80137963956727</v>
      </c>
      <c r="L68" s="2">
        <v>45</v>
      </c>
      <c r="M68" s="2">
        <v>25</v>
      </c>
      <c r="N68" s="2">
        <v>1.2367903003005827</v>
      </c>
      <c r="O68" s="2">
        <v>52.232456193215832</v>
      </c>
      <c r="P68" s="2">
        <v>1392.8062971448526</v>
      </c>
      <c r="Q68" s="2">
        <v>1.2229807054219703</v>
      </c>
      <c r="R68" s="2">
        <v>52.846998286656181</v>
      </c>
      <c r="S68" s="2">
        <v>1385.0264278162492</v>
      </c>
      <c r="T68" s="2">
        <v>-1.380959487861233E-2</v>
      </c>
      <c r="U68" s="2">
        <v>0.61454209344034894</v>
      </c>
      <c r="V68" s="2">
        <v>-7.779869328603354</v>
      </c>
    </row>
    <row r="69" spans="1:22" ht="15">
      <c r="A69" s="2">
        <v>68</v>
      </c>
      <c r="B69" s="2" t="s">
        <v>78</v>
      </c>
      <c r="C69" s="2" t="s">
        <v>13</v>
      </c>
      <c r="D69" s="2">
        <v>1452.3369840695523</v>
      </c>
      <c r="E69" s="2">
        <v>1049.8804588336498</v>
      </c>
      <c r="F69" s="2">
        <v>580.26723889634013</v>
      </c>
      <c r="G69" s="2">
        <v>123.9069498097524</v>
      </c>
      <c r="H69" s="2">
        <v>10.169118277262896</v>
      </c>
      <c r="I69" s="2">
        <v>0.80525349771603949</v>
      </c>
      <c r="J69" s="2">
        <v>10</v>
      </c>
      <c r="K69" s="2">
        <v>180.35773681068778</v>
      </c>
      <c r="L69" s="2">
        <v>40</v>
      </c>
      <c r="M69" s="2">
        <v>25</v>
      </c>
      <c r="N69" s="2">
        <v>1.2236282776561755</v>
      </c>
      <c r="O69" s="2">
        <v>52.278889967686261</v>
      </c>
      <c r="P69" s="2">
        <v>1452.3369840695523</v>
      </c>
      <c r="Q69" s="2">
        <v>1.2226988841364104</v>
      </c>
      <c r="R69" s="2">
        <v>53.62787464446491</v>
      </c>
      <c r="S69" s="2">
        <v>1455.5116326027787</v>
      </c>
      <c r="T69" s="2">
        <v>-9.2939351976517592E-4</v>
      </c>
      <c r="U69" s="2">
        <v>1.3489846767786489</v>
      </c>
      <c r="V69" s="2">
        <v>3.1746485332264456</v>
      </c>
    </row>
    <row r="70" spans="1:22" ht="15">
      <c r="A70" s="2">
        <v>69</v>
      </c>
      <c r="B70" s="2" t="s">
        <v>78</v>
      </c>
      <c r="C70" s="2" t="s">
        <v>13</v>
      </c>
      <c r="D70" s="2">
        <v>1399.6517332736403</v>
      </c>
      <c r="E70" s="2">
        <v>759.19584202347323</v>
      </c>
      <c r="F70" s="2">
        <v>419.16203331202269</v>
      </c>
      <c r="G70" s="2">
        <v>97.453677312005311</v>
      </c>
      <c r="H70" s="2">
        <v>20.429538778960705</v>
      </c>
      <c r="I70" s="2">
        <v>0.85754855217644943</v>
      </c>
      <c r="J70" s="2">
        <v>9</v>
      </c>
      <c r="K70" s="2">
        <v>181.35050063104472</v>
      </c>
      <c r="L70" s="2">
        <v>60</v>
      </c>
      <c r="M70" s="2">
        <v>25</v>
      </c>
      <c r="N70" s="2">
        <v>1.2269631045023019</v>
      </c>
      <c r="O70" s="2">
        <v>52.173930916346563</v>
      </c>
      <c r="P70" s="2">
        <v>1399.6517332736403</v>
      </c>
      <c r="Q70" s="2">
        <v>1.2159483788296976</v>
      </c>
      <c r="R70" s="2">
        <v>50.817261437520685</v>
      </c>
      <c r="S70" s="2">
        <v>1407.2693521499284</v>
      </c>
      <c r="T70" s="2">
        <v>-1.1014725672604309E-2</v>
      </c>
      <c r="U70" s="2">
        <v>-1.3566694788258786</v>
      </c>
      <c r="V70" s="2">
        <v>7.6176188762881338</v>
      </c>
    </row>
    <row r="71" spans="1:22" ht="15">
      <c r="A71" s="2">
        <v>70</v>
      </c>
      <c r="B71" s="2" t="s">
        <v>78</v>
      </c>
      <c r="C71" s="2" t="s">
        <v>13</v>
      </c>
      <c r="D71" s="2">
        <v>1430.1515317638405</v>
      </c>
      <c r="E71" s="2">
        <v>876.55074407812208</v>
      </c>
      <c r="F71" s="2">
        <v>553.52665754035115</v>
      </c>
      <c r="G71" s="2">
        <v>145.04346383735538</v>
      </c>
      <c r="H71" s="2">
        <v>10.698156310711056</v>
      </c>
      <c r="I71" s="2">
        <v>0.81490276002790785</v>
      </c>
      <c r="J71" s="2">
        <v>9</v>
      </c>
      <c r="K71" s="2">
        <v>194.99961657522894</v>
      </c>
      <c r="L71" s="2">
        <v>50</v>
      </c>
      <c r="M71" s="2">
        <v>25</v>
      </c>
      <c r="N71" s="2">
        <v>1.2323320115897436</v>
      </c>
      <c r="O71" s="2">
        <v>52.220600720946194</v>
      </c>
      <c r="P71" s="2">
        <v>1430.1515317638405</v>
      </c>
      <c r="Q71" s="2">
        <v>1.2297579891803148</v>
      </c>
      <c r="R71" s="2">
        <v>53.168798439428187</v>
      </c>
      <c r="S71" s="2">
        <v>1444.7465579712218</v>
      </c>
      <c r="T71" s="2">
        <v>-2.5740224094288333E-3</v>
      </c>
      <c r="U71" s="2">
        <v>0.94819771848199252</v>
      </c>
      <c r="V71" s="2">
        <v>14.595026207381352</v>
      </c>
    </row>
    <row r="72" spans="1:22" ht="15">
      <c r="A72" s="2">
        <v>71</v>
      </c>
      <c r="B72" s="2" t="s">
        <v>78</v>
      </c>
      <c r="C72" s="2" t="s">
        <v>13</v>
      </c>
      <c r="D72" s="2">
        <v>1358.8952935533598</v>
      </c>
      <c r="E72" s="2">
        <v>1136.9524426874705</v>
      </c>
      <c r="F72" s="2">
        <v>422.68218100070953</v>
      </c>
      <c r="G72" s="2">
        <v>206.09837198397145</v>
      </c>
      <c r="H72" s="2">
        <v>25.744637968949974</v>
      </c>
      <c r="I72" s="2">
        <v>0.83043696954613555</v>
      </c>
      <c r="J72" s="2">
        <v>9</v>
      </c>
      <c r="K72" s="2">
        <v>181.81797232954841</v>
      </c>
      <c r="L72" s="2">
        <v>40</v>
      </c>
      <c r="M72" s="2">
        <v>25</v>
      </c>
      <c r="N72" s="2">
        <v>1.2016041186367243</v>
      </c>
      <c r="O72" s="2">
        <v>52.250321917350178</v>
      </c>
      <c r="P72" s="2">
        <v>1358.8952935533598</v>
      </c>
      <c r="Q72" s="2">
        <v>1.1889771299650931</v>
      </c>
      <c r="R72" s="2">
        <v>53.549634725286069</v>
      </c>
      <c r="S72" s="2">
        <v>1351.331892537328</v>
      </c>
      <c r="T72" s="2">
        <v>-1.2626988671631256E-2</v>
      </c>
      <c r="U72" s="2">
        <v>1.2993128079358911</v>
      </c>
      <c r="V72" s="2">
        <v>-7.5634010160317757</v>
      </c>
    </row>
    <row r="73" spans="1:22" ht="15">
      <c r="A73" s="2">
        <v>72</v>
      </c>
      <c r="B73" s="2" t="s">
        <v>78</v>
      </c>
      <c r="C73" s="2" t="s">
        <v>13</v>
      </c>
      <c r="D73" s="2">
        <v>1453.8600531290285</v>
      </c>
      <c r="E73" s="2">
        <v>1208.1607659347355</v>
      </c>
      <c r="F73" s="2">
        <v>351.45335262641311</v>
      </c>
      <c r="G73" s="2">
        <v>102.62979338411242</v>
      </c>
      <c r="H73" s="2">
        <v>22.594772098120302</v>
      </c>
      <c r="I73" s="2">
        <v>0.79070037894882261</v>
      </c>
      <c r="J73" s="2">
        <v>10</v>
      </c>
      <c r="K73" s="2">
        <v>183.86990721590743</v>
      </c>
      <c r="L73" s="2">
        <v>40</v>
      </c>
      <c r="M73" s="2">
        <v>25</v>
      </c>
      <c r="N73" s="2">
        <v>1.222622303355126</v>
      </c>
      <c r="O73" s="2">
        <v>52.262983757744522</v>
      </c>
      <c r="P73" s="2">
        <v>1453.8600531290285</v>
      </c>
      <c r="Q73" s="2">
        <v>1.2206385769241959</v>
      </c>
      <c r="R73" s="2">
        <v>52.558935613630005</v>
      </c>
      <c r="S73" s="2">
        <v>1445.3365025500225</v>
      </c>
      <c r="T73" s="2">
        <v>-1.9837264309301439E-3</v>
      </c>
      <c r="U73" s="2">
        <v>0.29595185588548389</v>
      </c>
      <c r="V73" s="2">
        <v>-8.5235505790060415</v>
      </c>
    </row>
    <row r="74" spans="1:22" ht="15">
      <c r="A74" s="2">
        <v>73</v>
      </c>
      <c r="B74" s="2" t="s">
        <v>78</v>
      </c>
      <c r="C74" s="2" t="s">
        <v>13</v>
      </c>
      <c r="D74" s="2">
        <v>1372.0306986942887</v>
      </c>
      <c r="E74" s="2">
        <v>748.00199646269903</v>
      </c>
      <c r="F74" s="2">
        <v>704.83461935073137</v>
      </c>
      <c r="G74" s="2">
        <v>323.25122829759493</v>
      </c>
      <c r="H74" s="2">
        <v>13.262316172942519</v>
      </c>
      <c r="I74" s="2">
        <v>0.80915856265695774</v>
      </c>
      <c r="J74" s="2">
        <v>9</v>
      </c>
      <c r="K74" s="2">
        <v>188.40294405326179</v>
      </c>
      <c r="L74" s="2">
        <v>40</v>
      </c>
      <c r="M74" s="2">
        <v>25</v>
      </c>
      <c r="N74" s="2">
        <v>1.1421008333254792</v>
      </c>
      <c r="O74" s="2">
        <v>52.251936497093006</v>
      </c>
      <c r="P74" s="2">
        <v>1372.0306986942887</v>
      </c>
      <c r="Q74" s="2">
        <v>1.1470751738886709</v>
      </c>
      <c r="R74" s="2">
        <v>52.058818405241887</v>
      </c>
      <c r="S74" s="2">
        <v>1367.0368510170806</v>
      </c>
      <c r="T74" s="2">
        <v>4.9743405631916815E-3</v>
      </c>
      <c r="U74" s="2">
        <v>-0.19311809185111883</v>
      </c>
      <c r="V74" s="2">
        <v>-4.9938476772081231</v>
      </c>
    </row>
    <row r="75" spans="1:22" ht="15">
      <c r="A75" s="2">
        <v>74</v>
      </c>
      <c r="B75" s="2" t="s">
        <v>78</v>
      </c>
      <c r="C75" s="2" t="s">
        <v>13</v>
      </c>
      <c r="D75" s="2">
        <v>1401.5314587042667</v>
      </c>
      <c r="E75" s="2">
        <v>759.07630028668791</v>
      </c>
      <c r="F75" s="2">
        <v>369.80238864198327</v>
      </c>
      <c r="G75" s="2">
        <v>120.86342896334827</v>
      </c>
      <c r="H75" s="2">
        <v>8.713874523062259</v>
      </c>
      <c r="I75" s="2">
        <v>0.80013089512009172</v>
      </c>
      <c r="J75" s="2">
        <v>9</v>
      </c>
      <c r="K75" s="2">
        <v>194.62530266430284</v>
      </c>
      <c r="L75" s="2">
        <v>60</v>
      </c>
      <c r="M75" s="2">
        <v>25</v>
      </c>
      <c r="N75" s="2">
        <v>1.1602141122340828</v>
      </c>
      <c r="O75" s="2">
        <v>52.169866039732305</v>
      </c>
      <c r="P75" s="2">
        <v>1401.5314587042667</v>
      </c>
      <c r="Q75" s="2">
        <v>1.1470360548077676</v>
      </c>
      <c r="R75" s="2">
        <v>51.716884600805315</v>
      </c>
      <c r="S75" s="2">
        <v>1427.9706437526452</v>
      </c>
      <c r="T75" s="2">
        <v>-1.3178057426315171E-2</v>
      </c>
      <c r="U75" s="2">
        <v>-0.45298143892699017</v>
      </c>
      <c r="V75" s="2">
        <v>26.439185048378476</v>
      </c>
    </row>
    <row r="76" spans="1:22" ht="15">
      <c r="A76" s="2">
        <v>75</v>
      </c>
      <c r="B76" s="2" t="s">
        <v>79</v>
      </c>
      <c r="C76" s="2" t="s">
        <v>13</v>
      </c>
      <c r="D76" s="2">
        <v>1408.1268260953948</v>
      </c>
      <c r="E76" s="2">
        <v>1209.3387427390553</v>
      </c>
      <c r="F76" s="2">
        <v>580.27809746563435</v>
      </c>
      <c r="G76" s="2">
        <v>170.38198384223506</v>
      </c>
      <c r="H76" s="2">
        <v>19.499135077930987</v>
      </c>
      <c r="I76" s="2">
        <v>0.81866528152255347</v>
      </c>
      <c r="J76" s="2">
        <v>9</v>
      </c>
      <c r="K76" s="2">
        <v>191.11417054579388</v>
      </c>
      <c r="L76" s="2">
        <v>35</v>
      </c>
      <c r="M76" s="2">
        <v>25</v>
      </c>
      <c r="N76" s="2">
        <v>1.1530597292233933</v>
      </c>
      <c r="O76" s="2">
        <v>52.280612816639511</v>
      </c>
      <c r="P76" s="2">
        <v>1408.1268260953948</v>
      </c>
      <c r="Q76" s="2">
        <v>1.1713772097199413</v>
      </c>
      <c r="R76" s="2">
        <v>52.453217546450567</v>
      </c>
      <c r="S76" s="2">
        <v>1396.096463422567</v>
      </c>
      <c r="T76" s="2">
        <v>1.8317480496548022E-2</v>
      </c>
      <c r="U76" s="2">
        <v>0.17260472981105579</v>
      </c>
      <c r="V76" s="2">
        <v>-12.030362672827778</v>
      </c>
    </row>
    <row r="77" spans="1:22" ht="15">
      <c r="A77" s="2">
        <v>76</v>
      </c>
      <c r="B77" s="2" t="s">
        <v>79</v>
      </c>
      <c r="C77" s="2" t="s">
        <v>13</v>
      </c>
      <c r="D77" s="2">
        <v>1384.7573960549198</v>
      </c>
      <c r="E77" s="2">
        <v>773.6735490616411</v>
      </c>
      <c r="F77" s="2">
        <v>668.58216030523181</v>
      </c>
      <c r="G77" s="2">
        <v>120.5057844473049</v>
      </c>
      <c r="H77" s="2">
        <v>25.58892461983487</v>
      </c>
      <c r="I77" s="2">
        <v>0.80892012830823667</v>
      </c>
      <c r="J77" s="2">
        <v>9</v>
      </c>
      <c r="K77" s="2">
        <v>190.20658222063977</v>
      </c>
      <c r="L77" s="2">
        <v>45</v>
      </c>
      <c r="M77" s="2">
        <v>25</v>
      </c>
      <c r="N77" s="2">
        <v>1.1815284492130445</v>
      </c>
      <c r="O77" s="2">
        <v>52.218673585922964</v>
      </c>
      <c r="P77" s="2">
        <v>1384.7573960549198</v>
      </c>
      <c r="Q77" s="2">
        <v>1.1780545716724919</v>
      </c>
      <c r="R77" s="2">
        <v>51.498347630606361</v>
      </c>
      <c r="S77" s="2">
        <v>1380.4985205500911</v>
      </c>
      <c r="T77" s="2">
        <v>-3.4738775405525057E-3</v>
      </c>
      <c r="U77" s="2">
        <v>-0.72032595531660348</v>
      </c>
      <c r="V77" s="2">
        <v>-4.2588755048286657</v>
      </c>
    </row>
    <row r="78" spans="1:22" ht="15">
      <c r="A78" s="2">
        <v>77</v>
      </c>
      <c r="B78" s="2" t="s">
        <v>79</v>
      </c>
      <c r="C78" s="2" t="s">
        <v>13</v>
      </c>
      <c r="D78" s="2">
        <v>1496.223778417334</v>
      </c>
      <c r="E78" s="2">
        <v>687.44800452841446</v>
      </c>
      <c r="F78" s="2">
        <v>653.49651779979467</v>
      </c>
      <c r="G78" s="2">
        <v>102.32368272962049</v>
      </c>
      <c r="H78" s="2">
        <v>20.057101298123598</v>
      </c>
      <c r="I78" s="2">
        <v>0.80823740095132968</v>
      </c>
      <c r="J78" s="2">
        <v>10</v>
      </c>
      <c r="K78" s="2">
        <v>185.12181899231774</v>
      </c>
      <c r="L78" s="2">
        <v>45</v>
      </c>
      <c r="M78" s="2">
        <v>25</v>
      </c>
      <c r="N78" s="2">
        <v>1.1739774803956371</v>
      </c>
      <c r="O78" s="2">
        <v>52.225046216526266</v>
      </c>
      <c r="P78" s="2">
        <v>1496.223778417334</v>
      </c>
      <c r="Q78" s="2">
        <v>1.1585793027145217</v>
      </c>
      <c r="R78" s="2">
        <v>51.445720940552597</v>
      </c>
      <c r="S78" s="2">
        <v>1503.9249996466529</v>
      </c>
      <c r="T78" s="2">
        <v>-1.5398177681115399E-2</v>
      </c>
      <c r="U78" s="2">
        <v>-0.77932527597366885</v>
      </c>
      <c r="V78" s="2">
        <v>7.7012212293188895</v>
      </c>
    </row>
    <row r="79" spans="1:22" ht="15">
      <c r="A79" s="2">
        <v>78</v>
      </c>
      <c r="B79" s="2" t="s">
        <v>80</v>
      </c>
      <c r="C79" s="2" t="s">
        <v>13</v>
      </c>
      <c r="D79" s="2">
        <v>1471.7707457137294</v>
      </c>
      <c r="E79" s="2">
        <v>1188.9838126255199</v>
      </c>
      <c r="F79" s="2">
        <v>555.63364671543241</v>
      </c>
      <c r="G79" s="2">
        <v>105.14137141406536</v>
      </c>
      <c r="H79" s="2">
        <v>8.0237591513432562</v>
      </c>
      <c r="I79" s="2">
        <v>0.85012008875142786</v>
      </c>
      <c r="J79" s="2">
        <v>9</v>
      </c>
      <c r="K79" s="2">
        <v>192.36115581888888</v>
      </c>
      <c r="L79" s="2">
        <v>40</v>
      </c>
      <c r="M79" s="2">
        <v>25</v>
      </c>
      <c r="N79" s="2">
        <v>1.1576670916713747</v>
      </c>
      <c r="O79" s="2">
        <v>52.263423645685478</v>
      </c>
      <c r="P79" s="2">
        <v>1471.7707457137294</v>
      </c>
      <c r="Q79" s="2">
        <v>1.1704721999135872</v>
      </c>
      <c r="R79" s="2">
        <v>54.060626881485057</v>
      </c>
      <c r="S79" s="2">
        <v>1468.8211750610722</v>
      </c>
      <c r="T79" s="2">
        <v>1.2805108242212482E-2</v>
      </c>
      <c r="U79" s="2">
        <v>1.7972032357995786</v>
      </c>
      <c r="V79" s="2">
        <v>-2.9495706526572576</v>
      </c>
    </row>
    <row r="80" spans="1:22" ht="15">
      <c r="A80" s="2">
        <v>79</v>
      </c>
      <c r="B80" s="2" t="s">
        <v>80</v>
      </c>
      <c r="C80" s="2" t="s">
        <v>13</v>
      </c>
      <c r="D80" s="2">
        <v>1471.1461579659954</v>
      </c>
      <c r="E80" s="2">
        <v>1223.9936922793277</v>
      </c>
      <c r="F80" s="2">
        <v>383.28334167599678</v>
      </c>
      <c r="G80" s="2">
        <v>235.45651729917154</v>
      </c>
      <c r="H80" s="2">
        <v>14.025746910832822</v>
      </c>
      <c r="I80" s="2">
        <v>0.83317806629231206</v>
      </c>
      <c r="J80" s="2">
        <v>9</v>
      </c>
      <c r="K80" s="2">
        <v>196.18937515464481</v>
      </c>
      <c r="L80" s="2">
        <v>40</v>
      </c>
      <c r="M80" s="2">
        <v>25</v>
      </c>
      <c r="N80" s="2">
        <v>1.1863968691838083</v>
      </c>
      <c r="O80" s="2">
        <v>52.262328228979349</v>
      </c>
      <c r="P80" s="2">
        <v>1471.1461579659954</v>
      </c>
      <c r="Q80" s="2">
        <v>1.1939777092063242</v>
      </c>
      <c r="R80" s="2">
        <v>53.766844965188753</v>
      </c>
      <c r="S80" s="2">
        <v>1476.4682215260634</v>
      </c>
      <c r="T80" s="2">
        <v>7.5808400225159112E-3</v>
      </c>
      <c r="U80" s="2">
        <v>1.5045167362094034</v>
      </c>
      <c r="V80" s="2">
        <v>5.3220635600680453</v>
      </c>
    </row>
    <row r="81" spans="1:22" ht="15">
      <c r="A81" s="2">
        <v>80</v>
      </c>
      <c r="B81" s="2" t="s">
        <v>80</v>
      </c>
      <c r="C81" s="2" t="s">
        <v>13</v>
      </c>
      <c r="D81" s="2">
        <v>1469.1235348465852</v>
      </c>
      <c r="E81" s="2">
        <v>761.41973566263914</v>
      </c>
      <c r="F81" s="2">
        <v>404.73725339397788</v>
      </c>
      <c r="G81" s="2">
        <v>93.208000105805695</v>
      </c>
      <c r="H81" s="2">
        <v>17.27459363033995</v>
      </c>
      <c r="I81" s="2">
        <v>0.7968601177539677</v>
      </c>
      <c r="J81" s="2">
        <v>10</v>
      </c>
      <c r="K81" s="2">
        <v>184.36404358991655</v>
      </c>
      <c r="L81" s="2">
        <v>55</v>
      </c>
      <c r="M81" s="2">
        <v>25</v>
      </c>
      <c r="N81" s="2">
        <v>1.2205319267022898</v>
      </c>
      <c r="O81" s="2">
        <v>52.193184984372387</v>
      </c>
      <c r="P81" s="2">
        <v>1469.1235348465852</v>
      </c>
      <c r="Q81" s="2">
        <v>1.213614589096726</v>
      </c>
      <c r="R81" s="2">
        <v>52.260397990213711</v>
      </c>
      <c r="S81" s="2">
        <v>1479.9013543817127</v>
      </c>
      <c r="T81" s="2">
        <v>-6.9173376055637892E-3</v>
      </c>
      <c r="U81" s="2">
        <v>6.7213005841324502E-2</v>
      </c>
      <c r="V81" s="2">
        <v>10.777819535127492</v>
      </c>
    </row>
    <row r="82" spans="1:22" ht="15">
      <c r="A82" s="2">
        <v>81</v>
      </c>
      <c r="B82" s="2" t="s">
        <v>78</v>
      </c>
      <c r="C82" s="2" t="s">
        <v>13</v>
      </c>
      <c r="D82" s="2">
        <v>1357.3221699334681</v>
      </c>
      <c r="E82" s="2">
        <v>688.04770832648501</v>
      </c>
      <c r="F82" s="2">
        <v>543.93619988113642</v>
      </c>
      <c r="G82" s="2">
        <v>172.20896108308807</v>
      </c>
      <c r="H82" s="2">
        <v>23.836816193535924</v>
      </c>
      <c r="I82" s="2">
        <v>0.81439831159310416</v>
      </c>
      <c r="J82" s="2">
        <v>9</v>
      </c>
      <c r="K82" s="2">
        <v>185.18404604994151</v>
      </c>
      <c r="L82" s="2">
        <v>50</v>
      </c>
      <c r="M82" s="2">
        <v>25</v>
      </c>
      <c r="N82" s="2">
        <v>1.1605714655121355</v>
      </c>
      <c r="O82" s="2">
        <v>52.19394877314415</v>
      </c>
      <c r="P82" s="2">
        <v>1357.3221699334681</v>
      </c>
      <c r="Q82" s="2">
        <v>1.1623488761220877</v>
      </c>
      <c r="R82" s="2">
        <v>51.455239119860821</v>
      </c>
      <c r="S82" s="2">
        <v>1350.1400320525563</v>
      </c>
      <c r="T82" s="2">
        <v>1.7774106099521791E-3</v>
      </c>
      <c r="U82" s="2">
        <v>-0.73870965328332971</v>
      </c>
      <c r="V82" s="2">
        <v>-7.1821378809117959</v>
      </c>
    </row>
    <row r="83" spans="1:22" ht="15">
      <c r="A83" s="2">
        <v>82</v>
      </c>
      <c r="B83" s="2" t="s">
        <v>78</v>
      </c>
      <c r="C83" s="2" t="s">
        <v>13</v>
      </c>
      <c r="D83" s="2">
        <v>1378.5685557522811</v>
      </c>
      <c r="E83" s="2">
        <v>1079.5863003702834</v>
      </c>
      <c r="F83" s="2">
        <v>559.27263284102082</v>
      </c>
      <c r="G83" s="2">
        <v>94.754305826500058</v>
      </c>
      <c r="H83" s="2">
        <v>27.353210643399507</v>
      </c>
      <c r="I83" s="2">
        <v>0.8286263180756942</v>
      </c>
      <c r="J83" s="2">
        <v>9</v>
      </c>
      <c r="K83" s="2">
        <v>184.85326935812259</v>
      </c>
      <c r="L83" s="2">
        <v>40</v>
      </c>
      <c r="M83" s="2">
        <v>25</v>
      </c>
      <c r="N83" s="2">
        <v>1.1903380992558217</v>
      </c>
      <c r="O83" s="2">
        <v>52.245313644296971</v>
      </c>
      <c r="P83" s="2">
        <v>1378.5685557522811</v>
      </c>
      <c r="Q83" s="2">
        <v>1.1926674881368933</v>
      </c>
      <c r="R83" s="2">
        <v>53.11994756505095</v>
      </c>
      <c r="S83" s="2">
        <v>1361.0435555347362</v>
      </c>
      <c r="T83" s="2">
        <v>2.3293888810715924E-3</v>
      </c>
      <c r="U83" s="2">
        <v>0.87463392075397906</v>
      </c>
      <c r="V83" s="2">
        <v>-17.525000217544857</v>
      </c>
    </row>
    <row r="84" spans="1:22" ht="15">
      <c r="A84" s="2">
        <v>83</v>
      </c>
      <c r="B84" s="2" t="s">
        <v>78</v>
      </c>
      <c r="C84" s="2" t="s">
        <v>13</v>
      </c>
      <c r="D84" s="2">
        <v>1496.6327244183049</v>
      </c>
      <c r="E84" s="2">
        <v>691.09782424056903</v>
      </c>
      <c r="F84" s="2">
        <v>448.05428646504879</v>
      </c>
      <c r="G84" s="2">
        <v>271.003390296828</v>
      </c>
      <c r="H84" s="2">
        <v>27.998072233982384</v>
      </c>
      <c r="I84" s="2">
        <v>0.85484152477933095</v>
      </c>
      <c r="J84" s="2">
        <v>9</v>
      </c>
      <c r="K84" s="2">
        <v>194.5302376113444</v>
      </c>
      <c r="L84" s="2">
        <v>50</v>
      </c>
      <c r="M84" s="2">
        <v>25</v>
      </c>
      <c r="N84" s="2">
        <v>1.1825005059816565</v>
      </c>
      <c r="O84" s="2">
        <v>52.194878496493807</v>
      </c>
      <c r="P84" s="2">
        <v>1496.6327244183049</v>
      </c>
      <c r="Q84" s="2">
        <v>1.1647978727801989</v>
      </c>
      <c r="R84" s="2">
        <v>51.784259473802031</v>
      </c>
      <c r="S84" s="2">
        <v>1486.9817547768189</v>
      </c>
      <c r="T84" s="2">
        <v>-1.7702633201457596E-2</v>
      </c>
      <c r="U84" s="2">
        <v>-0.41061902269177608</v>
      </c>
      <c r="V84" s="2">
        <v>-9.6509696414859718</v>
      </c>
    </row>
    <row r="85" spans="1:22" ht="15">
      <c r="A85" s="2">
        <v>84</v>
      </c>
      <c r="B85" s="2" t="s">
        <v>78</v>
      </c>
      <c r="C85" s="2" t="s">
        <v>13</v>
      </c>
      <c r="D85" s="2">
        <v>1466.6385856806301</v>
      </c>
      <c r="E85" s="2">
        <v>718.04106892086565</v>
      </c>
      <c r="F85" s="2">
        <v>635.34749923273921</v>
      </c>
      <c r="G85" s="2">
        <v>167.8672277322039</v>
      </c>
      <c r="H85" s="2">
        <v>8.550698712002486</v>
      </c>
      <c r="I85" s="2">
        <v>0.80580438153818257</v>
      </c>
      <c r="J85" s="2">
        <v>10</v>
      </c>
      <c r="K85" s="2">
        <v>182.00925923001253</v>
      </c>
      <c r="L85" s="2">
        <v>45</v>
      </c>
      <c r="M85" s="2">
        <v>25</v>
      </c>
      <c r="N85" s="2">
        <v>1.1822242306762087</v>
      </c>
      <c r="O85" s="2">
        <v>52.238557566637212</v>
      </c>
      <c r="P85" s="2">
        <v>1466.6385856806301</v>
      </c>
      <c r="Q85" s="2">
        <v>1.1860388228973497</v>
      </c>
      <c r="R85" s="2">
        <v>51.688735231624733</v>
      </c>
      <c r="S85" s="2">
        <v>1485.2248056297162</v>
      </c>
      <c r="T85" s="2">
        <v>3.8145922211409999E-3</v>
      </c>
      <c r="U85" s="2">
        <v>-0.5498223350124789</v>
      </c>
      <c r="V85" s="2">
        <v>18.586219949086171</v>
      </c>
    </row>
    <row r="86" spans="1:22" ht="15">
      <c r="A86" s="2">
        <v>85</v>
      </c>
      <c r="B86" s="2" t="s">
        <v>78</v>
      </c>
      <c r="C86" s="2" t="s">
        <v>13</v>
      </c>
      <c r="D86" s="2">
        <v>1395.7971290219575</v>
      </c>
      <c r="E86" s="2">
        <v>823.58036896912381</v>
      </c>
      <c r="F86" s="2">
        <v>575.90923886746168</v>
      </c>
      <c r="G86" s="2">
        <v>123.90815674560145</v>
      </c>
      <c r="H86" s="2">
        <v>10.958908960223198</v>
      </c>
      <c r="I86" s="2">
        <v>0.85723344383994116</v>
      </c>
      <c r="J86" s="2">
        <v>9</v>
      </c>
      <c r="K86" s="2">
        <v>180.917544696595</v>
      </c>
      <c r="L86" s="2">
        <v>50</v>
      </c>
      <c r="M86" s="2">
        <v>25</v>
      </c>
      <c r="N86" s="2">
        <v>1.1945893526868427</v>
      </c>
      <c r="O86" s="2">
        <v>52.212535796442481</v>
      </c>
      <c r="P86" s="2">
        <v>1395.7971290219575</v>
      </c>
      <c r="Q86" s="2">
        <v>1.1983010698932033</v>
      </c>
      <c r="R86" s="2">
        <v>51.917228612528525</v>
      </c>
      <c r="S86" s="2">
        <v>1408.8910297272196</v>
      </c>
      <c r="T86" s="2">
        <v>3.711717206360543E-3</v>
      </c>
      <c r="U86" s="2">
        <v>-0.29530718391395538</v>
      </c>
      <c r="V86" s="2">
        <v>13.093900705262058</v>
      </c>
    </row>
    <row r="87" spans="1:22" ht="15">
      <c r="A87" s="2">
        <v>86</v>
      </c>
      <c r="B87" s="2" t="s">
        <v>78</v>
      </c>
      <c r="C87" s="2" t="s">
        <v>13</v>
      </c>
      <c r="D87" s="2">
        <v>1367.3760888283141</v>
      </c>
      <c r="E87" s="2">
        <v>1118.5576302697882</v>
      </c>
      <c r="F87" s="2">
        <v>591.82707788422704</v>
      </c>
      <c r="G87" s="2">
        <v>149.5265200920403</v>
      </c>
      <c r="H87" s="2">
        <v>24.708841300103813</v>
      </c>
      <c r="I87" s="2">
        <v>0.85764084314461797</v>
      </c>
      <c r="J87" s="2">
        <v>8</v>
      </c>
      <c r="K87" s="2">
        <v>199.29322684404605</v>
      </c>
      <c r="L87" s="2">
        <v>45</v>
      </c>
      <c r="M87" s="2">
        <v>25</v>
      </c>
      <c r="N87" s="2">
        <v>1.2532924332145754</v>
      </c>
      <c r="O87" s="2">
        <v>52.232783696234897</v>
      </c>
      <c r="P87" s="2">
        <v>1367.3760888283141</v>
      </c>
      <c r="Q87" s="2">
        <v>1.2425562301088382</v>
      </c>
      <c r="R87" s="2">
        <v>52.315098833177998</v>
      </c>
      <c r="S87" s="2">
        <v>1350.1419492876305</v>
      </c>
      <c r="T87" s="2">
        <v>-1.0736203105737196E-2</v>
      </c>
      <c r="U87" s="2">
        <v>8.2315136943101663E-2</v>
      </c>
      <c r="V87" s="2">
        <v>-17.2341395406836</v>
      </c>
    </row>
    <row r="88" spans="1:22" ht="15">
      <c r="A88" s="2">
        <v>87</v>
      </c>
      <c r="B88" s="2" t="s">
        <v>78</v>
      </c>
      <c r="C88" s="2" t="s">
        <v>13</v>
      </c>
      <c r="D88" s="2">
        <v>1483.2062606932595</v>
      </c>
      <c r="E88" s="2">
        <v>1191.4594562840648</v>
      </c>
      <c r="F88" s="2">
        <v>414.56333249807358</v>
      </c>
      <c r="G88" s="2">
        <v>189.65846566250548</v>
      </c>
      <c r="H88" s="2">
        <v>13.858501012437046</v>
      </c>
      <c r="I88" s="2">
        <v>0.84279025237774485</v>
      </c>
      <c r="J88" s="2">
        <v>9</v>
      </c>
      <c r="K88" s="2">
        <v>195.54176756035795</v>
      </c>
      <c r="L88" s="2">
        <v>40</v>
      </c>
      <c r="M88" s="2">
        <v>25</v>
      </c>
      <c r="N88" s="2">
        <v>1.1571365883814342</v>
      </c>
      <c r="O88" s="2">
        <v>52.254991599599279</v>
      </c>
      <c r="P88" s="2">
        <v>1483.2062606932595</v>
      </c>
      <c r="Q88" s="2">
        <v>1.1758919857331049</v>
      </c>
      <c r="R88" s="2">
        <v>52.366562688387759</v>
      </c>
      <c r="S88" s="2">
        <v>1477.526708033469</v>
      </c>
      <c r="T88" s="2">
        <v>1.8755397351670755E-2</v>
      </c>
      <c r="U88" s="2">
        <v>0.11157108878848021</v>
      </c>
      <c r="V88" s="2">
        <v>-5.6795526597904882</v>
      </c>
    </row>
    <row r="89" spans="1:22" ht="15">
      <c r="A89" s="2">
        <v>88</v>
      </c>
      <c r="B89" s="2" t="s">
        <v>78</v>
      </c>
      <c r="C89" s="2" t="s">
        <v>13</v>
      </c>
      <c r="D89" s="2">
        <v>1493.1096407468431</v>
      </c>
      <c r="E89" s="2">
        <v>644.08878451213241</v>
      </c>
      <c r="F89" s="2">
        <v>403.83645510300994</v>
      </c>
      <c r="G89" s="2">
        <v>217.41095422301441</v>
      </c>
      <c r="H89" s="2">
        <v>10.428364952560514</v>
      </c>
      <c r="I89" s="2">
        <v>0.85161958788521597</v>
      </c>
      <c r="J89" s="2">
        <v>9</v>
      </c>
      <c r="K89" s="2">
        <v>194.80654690677966</v>
      </c>
      <c r="L89" s="2">
        <v>60</v>
      </c>
      <c r="M89" s="2">
        <v>25</v>
      </c>
      <c r="N89" s="2">
        <v>1.180705516882262</v>
      </c>
      <c r="O89" s="2">
        <v>52.172297546024218</v>
      </c>
      <c r="P89" s="2">
        <v>1493.1096407468431</v>
      </c>
      <c r="Q89" s="2">
        <v>1.1664917204449876</v>
      </c>
      <c r="R89" s="2">
        <v>52.114710554351511</v>
      </c>
      <c r="S89" s="2">
        <v>1509.429502391404</v>
      </c>
      <c r="T89" s="2">
        <v>-1.4213796437274384E-2</v>
      </c>
      <c r="U89" s="2">
        <v>-5.75869916727072E-2</v>
      </c>
      <c r="V89" s="2">
        <v>16.319861644560888</v>
      </c>
    </row>
    <row r="90" spans="1:22" ht="15">
      <c r="A90" s="2">
        <v>89</v>
      </c>
      <c r="B90" s="2" t="s">
        <v>78</v>
      </c>
      <c r="C90" s="2" t="s">
        <v>13</v>
      </c>
      <c r="D90" s="2">
        <v>1496.3152773678303</v>
      </c>
      <c r="E90" s="2">
        <v>914.04049567645416</v>
      </c>
      <c r="F90" s="2">
        <v>571.23694289475679</v>
      </c>
      <c r="G90" s="2">
        <v>152.99942761892453</v>
      </c>
      <c r="H90" s="2">
        <v>23.95214575342834</v>
      </c>
      <c r="I90" s="2">
        <v>0.80464820225955924</v>
      </c>
      <c r="J90" s="2">
        <v>10</v>
      </c>
      <c r="K90" s="2">
        <v>185.95894120759581</v>
      </c>
      <c r="L90" s="2">
        <v>40</v>
      </c>
      <c r="M90" s="2">
        <v>25</v>
      </c>
      <c r="N90" s="2">
        <v>1.2129452578187827</v>
      </c>
      <c r="O90" s="2">
        <v>52.258831467067438</v>
      </c>
      <c r="P90" s="2">
        <v>1496.3152773678303</v>
      </c>
      <c r="Q90" s="2">
        <v>1.2167015957463421</v>
      </c>
      <c r="R90" s="2">
        <v>51.906424162169678</v>
      </c>
      <c r="S90" s="2">
        <v>1493.521452528501</v>
      </c>
      <c r="T90" s="2">
        <v>3.7563379275593611E-3</v>
      </c>
      <c r="U90" s="2">
        <v>-0.35240730489775984</v>
      </c>
      <c r="V90" s="2">
        <v>-2.7938248393293179</v>
      </c>
    </row>
    <row r="91" spans="1:22" ht="15">
      <c r="A91" s="2">
        <v>90</v>
      </c>
      <c r="B91" s="2" t="s">
        <v>78</v>
      </c>
      <c r="C91" s="2" t="s">
        <v>13</v>
      </c>
      <c r="D91" s="2">
        <v>1438.4760497719981</v>
      </c>
      <c r="E91" s="2">
        <v>739.34670111630112</v>
      </c>
      <c r="F91" s="2">
        <v>486.07371905818582</v>
      </c>
      <c r="G91" s="2">
        <v>206.02657242678106</v>
      </c>
      <c r="H91" s="2">
        <v>24.674739923793823</v>
      </c>
      <c r="I91" s="2">
        <v>0.84938910827506342</v>
      </c>
      <c r="J91" s="2">
        <v>9</v>
      </c>
      <c r="K91" s="2">
        <v>188.17132294228765</v>
      </c>
      <c r="L91" s="2">
        <v>50</v>
      </c>
      <c r="M91" s="2">
        <v>25</v>
      </c>
      <c r="N91" s="2">
        <v>1.1846789262051654</v>
      </c>
      <c r="O91" s="2">
        <v>52.19819837232135</v>
      </c>
      <c r="P91" s="2">
        <v>1438.4760497719981</v>
      </c>
      <c r="Q91" s="2">
        <v>1.1779658692399675</v>
      </c>
      <c r="R91" s="2">
        <v>52.562437713113937</v>
      </c>
      <c r="S91" s="2">
        <v>1428.8458294684144</v>
      </c>
      <c r="T91" s="2">
        <v>-6.7130569651978611E-3</v>
      </c>
      <c r="U91" s="2">
        <v>0.36423934079258657</v>
      </c>
      <c r="V91" s="2">
        <v>-9.6302203035836556</v>
      </c>
    </row>
    <row r="92" spans="1:22" ht="15">
      <c r="A92" s="2">
        <v>91</v>
      </c>
      <c r="B92" s="2" t="s">
        <v>78</v>
      </c>
      <c r="C92" s="2" t="s">
        <v>13</v>
      </c>
      <c r="D92" s="2">
        <v>1365.5809768242761</v>
      </c>
      <c r="E92" s="2">
        <v>1080.3873714641668</v>
      </c>
      <c r="F92" s="2">
        <v>714.8803535848856</v>
      </c>
      <c r="G92" s="2">
        <v>183.1112942728214</v>
      </c>
      <c r="H92" s="2">
        <v>19.978248589672148</v>
      </c>
      <c r="I92" s="2">
        <v>0.80726842547534039</v>
      </c>
      <c r="J92" s="2">
        <v>9</v>
      </c>
      <c r="K92" s="2">
        <v>187.95634123531903</v>
      </c>
      <c r="L92" s="2">
        <v>35</v>
      </c>
      <c r="M92" s="2">
        <v>25</v>
      </c>
      <c r="N92" s="2">
        <v>1.1656269665421122</v>
      </c>
      <c r="O92" s="2">
        <v>52.283478748587761</v>
      </c>
      <c r="P92" s="2">
        <v>1365.5809768242761</v>
      </c>
      <c r="Q92" s="2">
        <v>1.1831857561808359</v>
      </c>
      <c r="R92" s="2">
        <v>51.911069338929373</v>
      </c>
      <c r="S92" s="2">
        <v>1358.2785409704256</v>
      </c>
      <c r="T92" s="2">
        <v>1.7558789638723704E-2</v>
      </c>
      <c r="U92" s="2">
        <v>-0.37240940965838831</v>
      </c>
      <c r="V92" s="2">
        <v>-7.3024358538505112</v>
      </c>
    </row>
    <row r="93" spans="1:22" ht="15">
      <c r="A93" s="2">
        <v>92</v>
      </c>
      <c r="B93" s="2" t="s">
        <v>78</v>
      </c>
      <c r="C93" s="2" t="s">
        <v>13</v>
      </c>
      <c r="D93" s="2">
        <v>1438.4242594591342</v>
      </c>
      <c r="E93" s="2">
        <v>928.84111548773944</v>
      </c>
      <c r="F93" s="2">
        <v>387.66240729019046</v>
      </c>
      <c r="G93" s="2">
        <v>150.57618338149041</v>
      </c>
      <c r="H93" s="2">
        <v>19.498086031060666</v>
      </c>
      <c r="I93" s="2">
        <v>0.79268655754625805</v>
      </c>
      <c r="J93" s="2">
        <v>10</v>
      </c>
      <c r="K93" s="2">
        <v>181.46192158370158</v>
      </c>
      <c r="L93" s="2">
        <v>45</v>
      </c>
      <c r="M93" s="2">
        <v>25</v>
      </c>
      <c r="N93" s="2">
        <v>1.1895260018123697</v>
      </c>
      <c r="O93" s="2">
        <v>52.229171559092116</v>
      </c>
      <c r="P93" s="2">
        <v>1438.4242594591342</v>
      </c>
      <c r="Q93" s="2">
        <v>1.1904028662896466</v>
      </c>
      <c r="R93" s="2">
        <v>51.846609193977194</v>
      </c>
      <c r="S93" s="2">
        <v>1440.8339184142621</v>
      </c>
      <c r="T93" s="2">
        <v>8.7686447727697292E-4</v>
      </c>
      <c r="U93" s="2">
        <v>-0.38256236511492148</v>
      </c>
      <c r="V93" s="2">
        <v>2.4096589551279521</v>
      </c>
    </row>
    <row r="94" spans="1:22" ht="15">
      <c r="A94" s="2">
        <v>93</v>
      </c>
      <c r="B94" s="2" t="s">
        <v>78</v>
      </c>
      <c r="C94" s="2" t="s">
        <v>13</v>
      </c>
      <c r="D94" s="2">
        <v>1391.3488320540637</v>
      </c>
      <c r="E94" s="2">
        <v>817.03494050307199</v>
      </c>
      <c r="F94" s="2">
        <v>742.48311277478933</v>
      </c>
      <c r="G94" s="2">
        <v>109.82415334554389</v>
      </c>
      <c r="H94" s="2">
        <v>17.492074649780989</v>
      </c>
      <c r="I94" s="2">
        <v>0.84329520669067282</v>
      </c>
      <c r="J94" s="2">
        <v>9</v>
      </c>
      <c r="K94" s="2">
        <v>183.32170448275787</v>
      </c>
      <c r="L94" s="2">
        <v>45</v>
      </c>
      <c r="M94" s="2">
        <v>25</v>
      </c>
      <c r="N94" s="2">
        <v>1.2158811972855885</v>
      </c>
      <c r="O94" s="2">
        <v>52.235292183567751</v>
      </c>
      <c r="P94" s="2">
        <v>1391.3488320540637</v>
      </c>
      <c r="Q94" s="2">
        <v>1.2102335278712064</v>
      </c>
      <c r="R94" s="2">
        <v>51.153356412508863</v>
      </c>
      <c r="S94" s="2">
        <v>1393.3067769640904</v>
      </c>
      <c r="T94" s="2">
        <v>-5.647669414382106E-3</v>
      </c>
      <c r="U94" s="2">
        <v>-1.0819357710588875</v>
      </c>
      <c r="V94" s="2">
        <v>1.9579449100267539</v>
      </c>
    </row>
    <row r="95" spans="1:22" ht="15">
      <c r="A95" s="2">
        <v>94</v>
      </c>
      <c r="B95" s="2" t="s">
        <v>78</v>
      </c>
      <c r="C95" s="2" t="s">
        <v>13</v>
      </c>
      <c r="D95" s="2">
        <v>1466.0836003837176</v>
      </c>
      <c r="E95" s="2">
        <v>991.46858144085854</v>
      </c>
      <c r="F95" s="2">
        <v>746.28740148618817</v>
      </c>
      <c r="G95" s="2">
        <v>318.36624156683683</v>
      </c>
      <c r="H95" s="2">
        <v>19.198970841709524</v>
      </c>
      <c r="I95" s="2">
        <v>0.85406206529121853</v>
      </c>
      <c r="J95" s="2">
        <v>9</v>
      </c>
      <c r="K95" s="2">
        <v>190.7334190810453</v>
      </c>
      <c r="L95" s="2">
        <v>35</v>
      </c>
      <c r="M95" s="2">
        <v>25</v>
      </c>
      <c r="N95" s="2">
        <v>1.2021402137303676</v>
      </c>
      <c r="O95" s="2">
        <v>52.295600857854211</v>
      </c>
      <c r="P95" s="2">
        <v>1466.0836003837176</v>
      </c>
      <c r="Q95" s="2">
        <v>1.2123696155942427</v>
      </c>
      <c r="R95" s="2">
        <v>51.659163255776576</v>
      </c>
      <c r="S95" s="2">
        <v>1458.8561702511829</v>
      </c>
      <c r="T95" s="2">
        <v>1.0229401863875109E-2</v>
      </c>
      <c r="U95" s="2">
        <v>-0.63643760207763478</v>
      </c>
      <c r="V95" s="2">
        <v>-7.2274301325346642</v>
      </c>
    </row>
    <row r="96" spans="1:22" ht="15">
      <c r="A96" s="2">
        <v>95</v>
      </c>
      <c r="B96" s="2" t="s">
        <v>79</v>
      </c>
      <c r="C96" s="2" t="s">
        <v>13</v>
      </c>
      <c r="D96" s="2">
        <v>1422.9365293169394</v>
      </c>
      <c r="E96" s="2">
        <v>1084.7763895173557</v>
      </c>
      <c r="F96" s="2">
        <v>487.35726699233055</v>
      </c>
      <c r="G96" s="2">
        <v>267.0422488427721</v>
      </c>
      <c r="H96" s="2">
        <v>13.127936742268503</v>
      </c>
      <c r="I96" s="2">
        <v>0.79667997235199439</v>
      </c>
      <c r="J96" s="2">
        <v>9</v>
      </c>
      <c r="K96" s="2">
        <v>198.45366307656934</v>
      </c>
      <c r="L96" s="2">
        <v>40</v>
      </c>
      <c r="M96" s="2">
        <v>25</v>
      </c>
      <c r="N96" s="2">
        <v>1.1793821836467615</v>
      </c>
      <c r="O96" s="2">
        <v>52.261773503042079</v>
      </c>
      <c r="P96" s="2">
        <v>1422.9365293169394</v>
      </c>
      <c r="Q96" s="2">
        <v>1.1982339226768628</v>
      </c>
      <c r="R96" s="2">
        <v>53.482005967512784</v>
      </c>
      <c r="S96" s="2">
        <v>1423.6127721620117</v>
      </c>
      <c r="T96" s="2">
        <v>1.8851739030101289E-2</v>
      </c>
      <c r="U96" s="2">
        <v>1.2202324644707048</v>
      </c>
      <c r="V96" s="2">
        <v>0.6762428450722382</v>
      </c>
    </row>
    <row r="97" spans="1:22" ht="15">
      <c r="A97" s="2">
        <v>96</v>
      </c>
      <c r="B97" s="2" t="s">
        <v>79</v>
      </c>
      <c r="C97" s="2" t="s">
        <v>13</v>
      </c>
      <c r="D97" s="2">
        <v>1440.5098190414719</v>
      </c>
      <c r="E97" s="2">
        <v>998.4508752822876</v>
      </c>
      <c r="F97" s="2">
        <v>470.99903514608741</v>
      </c>
      <c r="G97" s="2">
        <v>88.377331425435841</v>
      </c>
      <c r="H97" s="2">
        <v>15.621496678795666</v>
      </c>
      <c r="I97" s="2">
        <v>0.81848607922904193</v>
      </c>
      <c r="J97" s="2">
        <v>9</v>
      </c>
      <c r="K97" s="2">
        <v>195.55206939002065</v>
      </c>
      <c r="L97" s="2">
        <v>50</v>
      </c>
      <c r="M97" s="2">
        <v>25</v>
      </c>
      <c r="N97" s="2">
        <v>1.2410596770704203</v>
      </c>
      <c r="O97" s="2">
        <v>52.217904212686051</v>
      </c>
      <c r="P97" s="2">
        <v>1440.5098190414719</v>
      </c>
      <c r="Q97" s="2">
        <v>1.2475344984324859</v>
      </c>
      <c r="R97" s="2">
        <v>51.432932695028953</v>
      </c>
      <c r="S97" s="2">
        <v>1454.8208902840101</v>
      </c>
      <c r="T97" s="2">
        <v>6.4748213620655637E-3</v>
      </c>
      <c r="U97" s="2">
        <v>-0.78497151765709816</v>
      </c>
      <c r="V97" s="2">
        <v>14.311071242538219</v>
      </c>
    </row>
    <row r="98" spans="1:22" ht="15">
      <c r="A98" s="2">
        <v>97</v>
      </c>
      <c r="B98" s="2" t="s">
        <v>79</v>
      </c>
      <c r="C98" s="2" t="s">
        <v>13</v>
      </c>
      <c r="D98" s="2">
        <v>1466.2995069287717</v>
      </c>
      <c r="E98" s="2">
        <v>912.78350868960842</v>
      </c>
      <c r="F98" s="2">
        <v>610.45892480760813</v>
      </c>
      <c r="G98" s="2">
        <v>133.90160816023126</v>
      </c>
      <c r="H98" s="2">
        <v>19.733911389485002</v>
      </c>
      <c r="I98" s="2">
        <v>0.83470161157893019</v>
      </c>
      <c r="J98" s="2">
        <v>9</v>
      </c>
      <c r="K98" s="2">
        <v>195.1861182205518</v>
      </c>
      <c r="L98" s="2">
        <v>45</v>
      </c>
      <c r="M98" s="2">
        <v>25</v>
      </c>
      <c r="N98" s="2">
        <v>1.2182855604234215</v>
      </c>
      <c r="O98" s="2">
        <v>52.23339018469543</v>
      </c>
      <c r="P98" s="2">
        <v>1466.2995069287717</v>
      </c>
      <c r="Q98" s="2">
        <v>1.2229913437050415</v>
      </c>
      <c r="R98" s="2">
        <v>51.650916305477438</v>
      </c>
      <c r="S98" s="2">
        <v>1471.685039880748</v>
      </c>
      <c r="T98" s="2">
        <v>4.7057832816199685E-3</v>
      </c>
      <c r="U98" s="2">
        <v>-0.58247387921799287</v>
      </c>
      <c r="V98" s="2">
        <v>5.3855329519763018</v>
      </c>
    </row>
    <row r="99" spans="1:22" ht="15">
      <c r="A99" s="2">
        <v>98</v>
      </c>
      <c r="B99" s="2" t="s">
        <v>80</v>
      </c>
      <c r="C99" s="2" t="s">
        <v>13</v>
      </c>
      <c r="D99" s="2">
        <v>1441.8125459575094</v>
      </c>
      <c r="E99" s="2">
        <v>1091.7038503335789</v>
      </c>
      <c r="F99" s="2">
        <v>445.33580476418138</v>
      </c>
      <c r="G99" s="2">
        <v>158.03268008865416</v>
      </c>
      <c r="H99" s="2">
        <v>21.714057304430753</v>
      </c>
      <c r="I99" s="2">
        <v>0.85499866864178331</v>
      </c>
      <c r="J99" s="2">
        <v>9</v>
      </c>
      <c r="K99" s="2">
        <v>187.37034321909337</v>
      </c>
      <c r="L99" s="2">
        <v>45</v>
      </c>
      <c r="M99" s="2">
        <v>25</v>
      </c>
      <c r="N99" s="2">
        <v>1.253396349733938</v>
      </c>
      <c r="O99" s="2">
        <v>52.239304153863948</v>
      </c>
      <c r="P99" s="2">
        <v>1441.8125459575094</v>
      </c>
      <c r="Q99" s="2">
        <v>1.2639426985895938</v>
      </c>
      <c r="R99" s="2">
        <v>52.520922591721359</v>
      </c>
      <c r="S99" s="2">
        <v>1438.4377580751359</v>
      </c>
      <c r="T99" s="2">
        <v>1.0546348855655863E-2</v>
      </c>
      <c r="U99" s="2">
        <v>0.2816184378574107</v>
      </c>
      <c r="V99" s="2">
        <v>-3.3747878823735391</v>
      </c>
    </row>
    <row r="100" spans="1:22" ht="15">
      <c r="A100" s="2">
        <v>99</v>
      </c>
      <c r="B100" s="2" t="s">
        <v>80</v>
      </c>
      <c r="C100" s="2" t="s">
        <v>13</v>
      </c>
      <c r="D100" s="2">
        <v>1364.9745397036895</v>
      </c>
      <c r="E100" s="2">
        <v>734.81207877630368</v>
      </c>
      <c r="F100" s="2">
        <v>367.76572875678539</v>
      </c>
      <c r="G100" s="2">
        <v>326.30379833979532</v>
      </c>
      <c r="H100" s="2">
        <v>20.227471609599888</v>
      </c>
      <c r="I100" s="2">
        <v>0.82619147845311092</v>
      </c>
      <c r="J100" s="2">
        <v>9</v>
      </c>
      <c r="K100" s="2">
        <v>183.5698402854706</v>
      </c>
      <c r="L100" s="2">
        <v>50</v>
      </c>
      <c r="M100" s="2">
        <v>25</v>
      </c>
      <c r="N100" s="2">
        <v>1.1638611376557306</v>
      </c>
      <c r="O100" s="2">
        <v>52.19779836439573</v>
      </c>
      <c r="P100" s="2">
        <v>1364.9745397036895</v>
      </c>
      <c r="Q100" s="2">
        <v>1.1661081905044501</v>
      </c>
      <c r="R100" s="2">
        <v>52.348286539686988</v>
      </c>
      <c r="S100" s="2">
        <v>1362.8013867854454</v>
      </c>
      <c r="T100" s="2">
        <v>2.2470528487195107E-3</v>
      </c>
      <c r="U100" s="2">
        <v>0.15048817529125813</v>
      </c>
      <c r="V100" s="2">
        <v>-2.1731529182441136</v>
      </c>
    </row>
    <row r="101" spans="1:22" ht="15">
      <c r="A101" s="2">
        <v>100</v>
      </c>
      <c r="B101" s="2" t="s">
        <v>80</v>
      </c>
      <c r="C101" s="2" t="s">
        <v>13</v>
      </c>
      <c r="D101" s="2">
        <v>1411.3924744888209</v>
      </c>
      <c r="E101" s="2">
        <v>790.70436884649098</v>
      </c>
      <c r="F101" s="2">
        <v>530.30670015141368</v>
      </c>
      <c r="G101" s="2">
        <v>270.31045062001795</v>
      </c>
      <c r="H101" s="2">
        <v>13.441504515241832</v>
      </c>
      <c r="I101" s="2">
        <v>0.83930777190253147</v>
      </c>
      <c r="J101" s="2">
        <v>9</v>
      </c>
      <c r="K101" s="2">
        <v>186.84610259098739</v>
      </c>
      <c r="L101" s="2">
        <v>50</v>
      </c>
      <c r="M101" s="2">
        <v>25</v>
      </c>
      <c r="N101" s="2">
        <v>1.2566858018960454</v>
      </c>
      <c r="O101" s="2">
        <v>52.223126807946421</v>
      </c>
      <c r="P101" s="2">
        <v>1411.3924744888209</v>
      </c>
      <c r="Q101" s="2">
        <v>1.2542214784474068</v>
      </c>
      <c r="R101" s="2">
        <v>50.940560056739109</v>
      </c>
      <c r="S101" s="2">
        <v>1417.809791936997</v>
      </c>
      <c r="T101" s="2">
        <v>-2.4643234486385612E-3</v>
      </c>
      <c r="U101" s="2">
        <v>-1.2825667512073124</v>
      </c>
      <c r="V101" s="2">
        <v>6.4173174481761635</v>
      </c>
    </row>
    <row r="102" spans="1:22" ht="15">
      <c r="A102" s="2">
        <v>101</v>
      </c>
      <c r="B102" s="2" t="s">
        <v>78</v>
      </c>
      <c r="C102" s="2" t="s">
        <v>13</v>
      </c>
      <c r="D102" s="2">
        <v>1390.3548358473927</v>
      </c>
      <c r="E102" s="2">
        <v>680.37933463929221</v>
      </c>
      <c r="F102" s="2">
        <v>451.80593859404325</v>
      </c>
      <c r="G102" s="2">
        <v>220.22839936660603</v>
      </c>
      <c r="H102" s="2">
        <v>28.721596993505955</v>
      </c>
      <c r="I102" s="2">
        <v>0.85818353468785069</v>
      </c>
      <c r="J102" s="2">
        <v>9</v>
      </c>
      <c r="K102" s="2">
        <v>180.01262481212845</v>
      </c>
      <c r="L102" s="2">
        <v>55</v>
      </c>
      <c r="M102" s="2">
        <v>25</v>
      </c>
      <c r="N102" s="2">
        <v>1.2331624200882958</v>
      </c>
      <c r="O102" s="2">
        <v>52.185875101900137</v>
      </c>
      <c r="P102" s="2">
        <v>1390.3548358473927</v>
      </c>
      <c r="Q102" s="2">
        <v>1.2244943632306824</v>
      </c>
      <c r="R102" s="2">
        <v>51.566888140864947</v>
      </c>
      <c r="S102" s="2">
        <v>1386.2220125427743</v>
      </c>
      <c r="T102" s="2">
        <v>-8.6680568576134043E-3</v>
      </c>
      <c r="U102" s="2">
        <v>-0.61898696103519057</v>
      </c>
      <c r="V102" s="2">
        <v>-4.1328233046183414</v>
      </c>
    </row>
    <row r="103" spans="1:22" ht="15">
      <c r="A103" s="2">
        <v>102</v>
      </c>
      <c r="B103" s="2" t="s">
        <v>78</v>
      </c>
      <c r="C103" s="2" t="s">
        <v>13</v>
      </c>
      <c r="D103" s="2">
        <v>1432.3505061795004</v>
      </c>
      <c r="E103" s="2">
        <v>650.73739138897508</v>
      </c>
      <c r="F103" s="2">
        <v>725.28979452326894</v>
      </c>
      <c r="G103" s="2">
        <v>167.2850208543241</v>
      </c>
      <c r="H103" s="2">
        <v>21.935199259314686</v>
      </c>
      <c r="I103" s="2">
        <v>0.83053829239215704</v>
      </c>
      <c r="J103" s="2">
        <v>9</v>
      </c>
      <c r="K103" s="2">
        <v>191.62277970805528</v>
      </c>
      <c r="L103" s="2">
        <v>45</v>
      </c>
      <c r="M103" s="2">
        <v>25</v>
      </c>
      <c r="N103" s="2">
        <v>1.1513423269760747</v>
      </c>
      <c r="O103" s="2">
        <v>52.215640955840072</v>
      </c>
      <c r="P103" s="2">
        <v>1432.3505061795004</v>
      </c>
      <c r="Q103" s="2">
        <v>1.1443181213915161</v>
      </c>
      <c r="R103" s="2">
        <v>52.604805852594062</v>
      </c>
      <c r="S103" s="2">
        <v>1436.897129478469</v>
      </c>
      <c r="T103" s="2">
        <v>-7.0242055845586293E-3</v>
      </c>
      <c r="U103" s="2">
        <v>0.38916489675398935</v>
      </c>
      <c r="V103" s="2">
        <v>4.5466232989685977</v>
      </c>
    </row>
    <row r="104" spans="1:22" ht="15">
      <c r="A104" s="2">
        <v>103</v>
      </c>
      <c r="B104" s="2" t="s">
        <v>78</v>
      </c>
      <c r="C104" s="2" t="s">
        <v>13</v>
      </c>
      <c r="D104" s="2">
        <v>1388.6294099735096</v>
      </c>
      <c r="E104" s="2">
        <v>834.20085870893672</v>
      </c>
      <c r="F104" s="2">
        <v>588.63795399665833</v>
      </c>
      <c r="G104" s="2">
        <v>164.25217302283272</v>
      </c>
      <c r="H104" s="2">
        <v>21.843968498520553</v>
      </c>
      <c r="I104" s="2">
        <v>0.79273157603805888</v>
      </c>
      <c r="J104" s="2">
        <v>9</v>
      </c>
      <c r="K104" s="2">
        <v>194.63354473004586</v>
      </c>
      <c r="L104" s="2">
        <v>45</v>
      </c>
      <c r="M104" s="2">
        <v>25</v>
      </c>
      <c r="N104" s="2">
        <v>1.1806635016107581</v>
      </c>
      <c r="O104" s="2">
        <v>52.222467161949702</v>
      </c>
      <c r="P104" s="2">
        <v>1388.6294099735096</v>
      </c>
      <c r="Q104" s="2">
        <v>1.1696490545951252</v>
      </c>
      <c r="R104" s="2">
        <v>52.851127833818907</v>
      </c>
      <c r="S104" s="2">
        <v>1382.2315813571549</v>
      </c>
      <c r="T104" s="2">
        <v>-1.1014447015632811E-2</v>
      </c>
      <c r="U104" s="2">
        <v>0.6286606718692056</v>
      </c>
      <c r="V104" s="2">
        <v>-6.3978286163546727</v>
      </c>
    </row>
    <row r="105" spans="1:22" ht="15">
      <c r="A105" s="2">
        <v>104</v>
      </c>
      <c r="B105" s="2" t="s">
        <v>78</v>
      </c>
      <c r="C105" s="2" t="s">
        <v>13</v>
      </c>
      <c r="D105" s="2">
        <v>1398.9494779030792</v>
      </c>
      <c r="E105" s="2">
        <v>882.17288190498948</v>
      </c>
      <c r="F105" s="2">
        <v>639.04435997828841</v>
      </c>
      <c r="G105" s="2">
        <v>116.07503103557974</v>
      </c>
      <c r="H105" s="2">
        <v>16.804531258996576</v>
      </c>
      <c r="I105" s="2">
        <v>0.79505074397660791</v>
      </c>
      <c r="J105" s="2">
        <v>9</v>
      </c>
      <c r="K105" s="2">
        <v>195.50806292018672</v>
      </c>
      <c r="L105" s="2">
        <v>45</v>
      </c>
      <c r="M105" s="2">
        <v>25</v>
      </c>
      <c r="N105" s="2">
        <v>1.1908527529761175</v>
      </c>
      <c r="O105" s="2">
        <v>52.230294797654871</v>
      </c>
      <c r="P105" s="2">
        <v>1398.9494779030792</v>
      </c>
      <c r="Q105" s="2">
        <v>1.1942244574592062</v>
      </c>
      <c r="R105" s="2">
        <v>51.724602668926266</v>
      </c>
      <c r="S105" s="2">
        <v>1401.1103592064276</v>
      </c>
      <c r="T105" s="2">
        <v>3.3717044830887666E-3</v>
      </c>
      <c r="U105" s="2">
        <v>-0.50569212872860447</v>
      </c>
      <c r="V105" s="2">
        <v>2.1608813033483329</v>
      </c>
    </row>
    <row r="106" spans="1:22" ht="15">
      <c r="A106" s="2">
        <v>105</v>
      </c>
      <c r="B106" s="2" t="s">
        <v>78</v>
      </c>
      <c r="C106" s="2" t="s">
        <v>13</v>
      </c>
      <c r="D106" s="2">
        <v>1384.7956677898765</v>
      </c>
      <c r="E106" s="2">
        <v>1225.4652735195123</v>
      </c>
      <c r="F106" s="2">
        <v>557.90722984820604</v>
      </c>
      <c r="G106" s="2">
        <v>127.61892143869773</v>
      </c>
      <c r="H106" s="2">
        <v>25.091777255758643</v>
      </c>
      <c r="I106" s="2">
        <v>0.85914134518476204</v>
      </c>
      <c r="J106" s="2">
        <v>9</v>
      </c>
      <c r="K106" s="2">
        <v>179.09298181534575</v>
      </c>
      <c r="L106" s="2">
        <v>35</v>
      </c>
      <c r="M106" s="2">
        <v>25</v>
      </c>
      <c r="N106" s="2">
        <v>1.1596993171128702</v>
      </c>
      <c r="O106" s="2">
        <v>52.272971337912942</v>
      </c>
      <c r="P106" s="2">
        <v>1384.7956677898765</v>
      </c>
      <c r="Q106" s="2">
        <v>1.1581467383860347</v>
      </c>
      <c r="R106" s="2">
        <v>53.119147502850367</v>
      </c>
      <c r="S106" s="2">
        <v>1373.8176658317795</v>
      </c>
      <c r="T106" s="2">
        <v>-1.5525787268355629E-3</v>
      </c>
      <c r="U106" s="2">
        <v>0.84617616493742531</v>
      </c>
      <c r="V106" s="2">
        <v>-10.978001958096911</v>
      </c>
    </row>
    <row r="107" spans="1:22" ht="15">
      <c r="A107" s="2">
        <v>106</v>
      </c>
      <c r="B107" s="2" t="s">
        <v>78</v>
      </c>
      <c r="C107" s="2" t="s">
        <v>13</v>
      </c>
      <c r="D107" s="2">
        <v>1478.6868204013444</v>
      </c>
      <c r="E107" s="2">
        <v>882.26788977626711</v>
      </c>
      <c r="F107" s="2">
        <v>357.79939899221063</v>
      </c>
      <c r="G107" s="2">
        <v>323.14668658189476</v>
      </c>
      <c r="H107" s="2">
        <v>12.179975498933345</v>
      </c>
      <c r="I107" s="2">
        <v>0.79926181909162552</v>
      </c>
      <c r="J107" s="2">
        <v>10</v>
      </c>
      <c r="K107" s="2">
        <v>185.00656294102686</v>
      </c>
      <c r="L107" s="2">
        <v>45</v>
      </c>
      <c r="M107" s="2">
        <v>25</v>
      </c>
      <c r="N107" s="2">
        <v>1.2299597630352634</v>
      </c>
      <c r="O107" s="2">
        <v>52.24582682122945</v>
      </c>
      <c r="P107" s="2">
        <v>1478.6868204013444</v>
      </c>
      <c r="Q107" s="2">
        <v>1.2311603825409041</v>
      </c>
      <c r="R107" s="2">
        <v>52.692379498804186</v>
      </c>
      <c r="S107" s="2">
        <v>1497.1154789397942</v>
      </c>
      <c r="T107" s="2">
        <v>1.2006195056406543E-3</v>
      </c>
      <c r="U107" s="2">
        <v>0.44655267757473638</v>
      </c>
      <c r="V107" s="2">
        <v>18.428658538449781</v>
      </c>
    </row>
    <row r="108" spans="1:22" ht="15">
      <c r="A108" s="2">
        <v>107</v>
      </c>
      <c r="B108" s="2" t="s">
        <v>78</v>
      </c>
      <c r="C108" s="2" t="s">
        <v>13</v>
      </c>
      <c r="D108" s="2">
        <v>1485.9021848766133</v>
      </c>
      <c r="E108" s="2">
        <v>685.33174308249727</v>
      </c>
      <c r="F108" s="2">
        <v>518.0606622248888</v>
      </c>
      <c r="G108" s="2">
        <v>122.63567010639235</v>
      </c>
      <c r="H108" s="2">
        <v>25.406473563052714</v>
      </c>
      <c r="I108" s="2">
        <v>0.85873056820360949</v>
      </c>
      <c r="J108" s="2">
        <v>9</v>
      </c>
      <c r="K108" s="2">
        <v>192.26081949015003</v>
      </c>
      <c r="L108" s="2">
        <v>55</v>
      </c>
      <c r="M108" s="2">
        <v>25</v>
      </c>
      <c r="N108" s="2">
        <v>1.1985249965987335</v>
      </c>
      <c r="O108" s="2">
        <v>52.181760927658893</v>
      </c>
      <c r="P108" s="2">
        <v>1485.9021848766133</v>
      </c>
      <c r="Q108" s="2">
        <v>1.1866927959660742</v>
      </c>
      <c r="R108" s="2">
        <v>52.685613611620653</v>
      </c>
      <c r="S108" s="2">
        <v>1480.0307782823654</v>
      </c>
      <c r="T108" s="2">
        <v>-1.1832200632659218E-2</v>
      </c>
      <c r="U108" s="2">
        <v>0.50385268396176031</v>
      </c>
      <c r="V108" s="2">
        <v>-5.871406594247901</v>
      </c>
    </row>
    <row r="109" spans="1:22" ht="15">
      <c r="A109" s="2">
        <v>108</v>
      </c>
      <c r="B109" s="2" t="s">
        <v>78</v>
      </c>
      <c r="C109" s="2" t="s">
        <v>13</v>
      </c>
      <c r="D109" s="2">
        <v>1455.4486072040163</v>
      </c>
      <c r="E109" s="2">
        <v>1156.0379983391613</v>
      </c>
      <c r="F109" s="2">
        <v>597.772107552737</v>
      </c>
      <c r="G109" s="2">
        <v>181.09463043045253</v>
      </c>
      <c r="H109" s="2">
        <v>16.688613313715905</v>
      </c>
      <c r="I109" s="2">
        <v>0.83858479935675867</v>
      </c>
      <c r="J109" s="2">
        <v>9</v>
      </c>
      <c r="K109" s="2">
        <v>192.84455434394107</v>
      </c>
      <c r="L109" s="2">
        <v>40</v>
      </c>
      <c r="M109" s="2">
        <v>25</v>
      </c>
      <c r="N109" s="2">
        <v>1.2563140104927919</v>
      </c>
      <c r="O109" s="2">
        <v>52.276700021011067</v>
      </c>
      <c r="P109" s="2">
        <v>1455.4486072040163</v>
      </c>
      <c r="Q109" s="2">
        <v>1.2716790898533383</v>
      </c>
      <c r="R109" s="2">
        <v>52.54076992351537</v>
      </c>
      <c r="S109" s="2">
        <v>1454.0649087089184</v>
      </c>
      <c r="T109" s="2">
        <v>1.536507936054643E-2</v>
      </c>
      <c r="U109" s="2">
        <v>0.2640699025043034</v>
      </c>
      <c r="V109" s="2">
        <v>-1.3836984950978604</v>
      </c>
    </row>
    <row r="110" spans="1:22" ht="15">
      <c r="A110" s="2">
        <v>109</v>
      </c>
      <c r="B110" s="2" t="s">
        <v>78</v>
      </c>
      <c r="C110" s="2" t="s">
        <v>13</v>
      </c>
      <c r="D110" s="2">
        <v>1377.9735838528723</v>
      </c>
      <c r="E110" s="2">
        <v>881.98255848838016</v>
      </c>
      <c r="F110" s="2">
        <v>486.37664820998907</v>
      </c>
      <c r="G110" s="2">
        <v>101.74307574750856</v>
      </c>
      <c r="H110" s="2">
        <v>25.79145411029458</v>
      </c>
      <c r="I110" s="2">
        <v>0.83882956110173845</v>
      </c>
      <c r="J110" s="2">
        <v>9</v>
      </c>
      <c r="K110" s="2">
        <v>182.52596604077306</v>
      </c>
      <c r="L110" s="2">
        <v>50</v>
      </c>
      <c r="M110" s="2">
        <v>25</v>
      </c>
      <c r="N110" s="2">
        <v>1.2185660948805592</v>
      </c>
      <c r="O110" s="2">
        <v>52.204225698390367</v>
      </c>
      <c r="P110" s="2">
        <v>1377.9735838528723</v>
      </c>
      <c r="Q110" s="2">
        <v>1.2193121333980588</v>
      </c>
      <c r="R110" s="2">
        <v>51.782418976753419</v>
      </c>
      <c r="S110" s="2">
        <v>1364.9912046708639</v>
      </c>
      <c r="T110" s="2">
        <v>7.4603851749954764E-4</v>
      </c>
      <c r="U110" s="2">
        <v>-0.42180672163694766</v>
      </c>
      <c r="V110" s="2">
        <v>-12.982379182008344</v>
      </c>
    </row>
    <row r="111" spans="1:22" ht="15">
      <c r="A111" s="2">
        <v>110</v>
      </c>
      <c r="B111" s="2" t="s">
        <v>78</v>
      </c>
      <c r="C111" s="2" t="s">
        <v>13</v>
      </c>
      <c r="D111" s="2">
        <v>1401.7369372886606</v>
      </c>
      <c r="E111" s="2">
        <v>864.11928243469447</v>
      </c>
      <c r="F111" s="2">
        <v>720.48541055992246</v>
      </c>
      <c r="G111" s="2">
        <v>281.52465254068375</v>
      </c>
      <c r="H111" s="2">
        <v>19.553280184511095</v>
      </c>
      <c r="I111" s="2">
        <v>0.7928401505155489</v>
      </c>
      <c r="J111" s="2">
        <v>9</v>
      </c>
      <c r="K111" s="2">
        <v>196.44382097242749</v>
      </c>
      <c r="L111" s="2">
        <v>40</v>
      </c>
      <c r="M111" s="2">
        <v>25</v>
      </c>
      <c r="N111" s="2">
        <v>1.2300844491907537</v>
      </c>
      <c r="O111" s="2">
        <v>52.265976218202582</v>
      </c>
      <c r="P111" s="2">
        <v>1401.7369372886606</v>
      </c>
      <c r="Q111" s="2">
        <v>1.2477216928469206</v>
      </c>
      <c r="R111" s="2">
        <v>51.945608786936631</v>
      </c>
      <c r="S111" s="2">
        <v>1396.5672321968582</v>
      </c>
      <c r="T111" s="2">
        <v>1.7637243656166923E-2</v>
      </c>
      <c r="U111" s="2">
        <v>-0.32036743126595013</v>
      </c>
      <c r="V111" s="2">
        <v>-5.1697050918023706</v>
      </c>
    </row>
    <row r="112" spans="1:22" ht="15">
      <c r="A112" s="2">
        <v>111</v>
      </c>
      <c r="B112" s="2" t="s">
        <v>78</v>
      </c>
      <c r="C112" s="2" t="s">
        <v>13</v>
      </c>
      <c r="D112" s="2">
        <v>1470.7862111041322</v>
      </c>
      <c r="E112" s="2">
        <v>1048.2759737526067</v>
      </c>
      <c r="F112" s="2">
        <v>669.17214766144753</v>
      </c>
      <c r="G112" s="2">
        <v>150.94585004961118</v>
      </c>
      <c r="H112" s="2">
        <v>25.606232359074056</v>
      </c>
      <c r="I112" s="2">
        <v>0.84444403728237383</v>
      </c>
      <c r="J112" s="2">
        <v>9</v>
      </c>
      <c r="K112" s="2">
        <v>193.52459477197431</v>
      </c>
      <c r="L112" s="2">
        <v>35</v>
      </c>
      <c r="M112" s="2">
        <v>25</v>
      </c>
      <c r="N112" s="2">
        <v>1.1400003778786929</v>
      </c>
      <c r="O112" s="2">
        <v>52.266329330000467</v>
      </c>
      <c r="P112" s="2">
        <v>1470.7862111041322</v>
      </c>
      <c r="Q112" s="2">
        <v>1.1314096689632873</v>
      </c>
      <c r="R112" s="2">
        <v>53.22298301647632</v>
      </c>
      <c r="S112" s="2">
        <v>1460.9383695142831</v>
      </c>
      <c r="T112" s="2">
        <v>-8.5907089154055871E-3</v>
      </c>
      <c r="U112" s="2">
        <v>0.95665368647585325</v>
      </c>
      <c r="V112" s="2">
        <v>-9.8478415898491676</v>
      </c>
    </row>
    <row r="113" spans="1:22" ht="15">
      <c r="A113" s="2">
        <v>112</v>
      </c>
      <c r="B113" s="2" t="s">
        <v>78</v>
      </c>
      <c r="C113" s="2" t="s">
        <v>13</v>
      </c>
      <c r="D113" s="2">
        <v>1371.4684542152099</v>
      </c>
      <c r="E113" s="2">
        <v>661.37199569493532</v>
      </c>
      <c r="F113" s="2">
        <v>395.89433511719108</v>
      </c>
      <c r="G113" s="2">
        <v>306.61758225876838</v>
      </c>
      <c r="H113" s="2">
        <v>24.731111729051918</v>
      </c>
      <c r="I113" s="2">
        <v>0.85664094037376348</v>
      </c>
      <c r="J113" s="2">
        <v>9</v>
      </c>
      <c r="K113" s="2">
        <v>177.88711304785676</v>
      </c>
      <c r="L113" s="2">
        <v>55</v>
      </c>
      <c r="M113" s="2">
        <v>25</v>
      </c>
      <c r="N113" s="2">
        <v>1.2273265654840972</v>
      </c>
      <c r="O113" s="2">
        <v>52.187663599145573</v>
      </c>
      <c r="P113" s="2">
        <v>1371.4684542152099</v>
      </c>
      <c r="Q113" s="2">
        <v>1.2139201211825981</v>
      </c>
      <c r="R113" s="2">
        <v>52.409209399982579</v>
      </c>
      <c r="S113" s="2">
        <v>1374.468634003945</v>
      </c>
      <c r="T113" s="2">
        <v>-1.3406444301499176E-2</v>
      </c>
      <c r="U113" s="2">
        <v>0.22154580083700637</v>
      </c>
      <c r="V113" s="2">
        <v>3.0001797887350676</v>
      </c>
    </row>
    <row r="114" spans="1:22" ht="15">
      <c r="A114" s="2">
        <v>113</v>
      </c>
      <c r="B114" s="2" t="s">
        <v>78</v>
      </c>
      <c r="C114" s="2" t="s">
        <v>13</v>
      </c>
      <c r="D114" s="2">
        <v>1433.6769861169159</v>
      </c>
      <c r="E114" s="2">
        <v>1123.1479735462926</v>
      </c>
      <c r="F114" s="2">
        <v>586.37620005756617</v>
      </c>
      <c r="G114" s="2">
        <v>198.01750591257587</v>
      </c>
      <c r="H114" s="2">
        <v>21.028058873489499</v>
      </c>
      <c r="I114" s="2">
        <v>0.79919510617153722</v>
      </c>
      <c r="J114" s="2">
        <v>9</v>
      </c>
      <c r="K114" s="2">
        <v>199.32234528434205</v>
      </c>
      <c r="L114" s="2">
        <v>40</v>
      </c>
      <c r="M114" s="2">
        <v>25</v>
      </c>
      <c r="N114" s="2">
        <v>1.2628747637789821</v>
      </c>
      <c r="O114" s="2">
        <v>52.272433436378599</v>
      </c>
      <c r="P114" s="2">
        <v>1433.6769861169159</v>
      </c>
      <c r="Q114" s="2">
        <v>1.2559028314765095</v>
      </c>
      <c r="R114" s="2">
        <v>52.959051818280258</v>
      </c>
      <c r="S114" s="2">
        <v>1419.152623387497</v>
      </c>
      <c r="T114" s="2">
        <v>-6.9719323024726165E-3</v>
      </c>
      <c r="U114" s="2">
        <v>0.6866183819016598</v>
      </c>
      <c r="V114" s="2">
        <v>-14.524362729418954</v>
      </c>
    </row>
    <row r="115" spans="1:22" ht="15">
      <c r="A115" s="2">
        <v>114</v>
      </c>
      <c r="B115" s="2" t="s">
        <v>78</v>
      </c>
      <c r="C115" s="2" t="s">
        <v>13</v>
      </c>
      <c r="D115" s="2">
        <v>1416.7070388444699</v>
      </c>
      <c r="E115" s="2">
        <v>683.38541139382869</v>
      </c>
      <c r="F115" s="2">
        <v>445.59661233797669</v>
      </c>
      <c r="G115" s="2">
        <v>233.48691237159073</v>
      </c>
      <c r="H115" s="2">
        <v>17.841243744362146</v>
      </c>
      <c r="I115" s="2">
        <v>0.85820889028254899</v>
      </c>
      <c r="J115" s="2">
        <v>9</v>
      </c>
      <c r="K115" s="2">
        <v>183.4190894400036</v>
      </c>
      <c r="L115" s="2">
        <v>55</v>
      </c>
      <c r="M115" s="2">
        <v>25</v>
      </c>
      <c r="N115" s="2">
        <v>1.1991664652748915</v>
      </c>
      <c r="O115" s="2">
        <v>52.187442968861923</v>
      </c>
      <c r="P115" s="2">
        <v>1416.7070388444699</v>
      </c>
      <c r="Q115" s="2">
        <v>1.1959370403920992</v>
      </c>
      <c r="R115" s="2">
        <v>51.624066097378503</v>
      </c>
      <c r="S115" s="2">
        <v>1421.4208019317907</v>
      </c>
      <c r="T115" s="2">
        <v>-3.229424882792209E-3</v>
      </c>
      <c r="U115" s="2">
        <v>-0.56337687148342042</v>
      </c>
      <c r="V115" s="2">
        <v>4.7137630873207854</v>
      </c>
    </row>
    <row r="116" spans="1:22" ht="15">
      <c r="A116" s="2">
        <v>115</v>
      </c>
      <c r="B116" s="2" t="s">
        <v>79</v>
      </c>
      <c r="C116" s="2" t="s">
        <v>13</v>
      </c>
      <c r="D116" s="2">
        <v>1380.7533433428034</v>
      </c>
      <c r="E116" s="2">
        <v>1225.0307950773276</v>
      </c>
      <c r="F116" s="2">
        <v>711.61247454583645</v>
      </c>
      <c r="G116" s="2">
        <v>266.63787347031757</v>
      </c>
      <c r="H116" s="2">
        <v>26.951255274005234</v>
      </c>
      <c r="I116" s="2">
        <v>0.82620418761624026</v>
      </c>
      <c r="J116" s="2">
        <v>9</v>
      </c>
      <c r="K116" s="2">
        <v>185.68901059656739</v>
      </c>
      <c r="L116" s="2">
        <v>30</v>
      </c>
      <c r="M116" s="2">
        <v>25</v>
      </c>
      <c r="N116" s="2">
        <v>1.1836309530469677</v>
      </c>
      <c r="O116" s="2">
        <v>52.318546612236851</v>
      </c>
      <c r="P116" s="2">
        <v>1380.7533433428034</v>
      </c>
      <c r="Q116" s="2">
        <v>1.1785103595735</v>
      </c>
      <c r="R116" s="2">
        <v>53.870809720896467</v>
      </c>
      <c r="S116" s="2">
        <v>1349.4120437439146</v>
      </c>
      <c r="T116" s="2">
        <v>-5.1205934734677161E-3</v>
      </c>
      <c r="U116" s="2">
        <v>1.5522631086596164</v>
      </c>
      <c r="V116" s="2">
        <v>-31.341299598888781</v>
      </c>
    </row>
    <row r="117" spans="1:22" ht="15">
      <c r="A117" s="2">
        <v>116</v>
      </c>
      <c r="B117" s="2" t="s">
        <v>79</v>
      </c>
      <c r="C117" s="2" t="s">
        <v>13</v>
      </c>
      <c r="D117" s="2">
        <v>1421.2933221249841</v>
      </c>
      <c r="E117" s="2">
        <v>827.15456881560385</v>
      </c>
      <c r="F117" s="2">
        <v>511.29352329298854</v>
      </c>
      <c r="G117" s="2">
        <v>327.67903180327266</v>
      </c>
      <c r="H117" s="2">
        <v>29.949781536590308</v>
      </c>
      <c r="I117" s="2">
        <v>0.83869991758838303</v>
      </c>
      <c r="J117" s="2">
        <v>9</v>
      </c>
      <c r="K117" s="2">
        <v>188.29318678151344</v>
      </c>
      <c r="L117" s="2">
        <v>40</v>
      </c>
      <c r="M117" s="2">
        <v>25</v>
      </c>
      <c r="N117" s="2">
        <v>1.1624415409610691</v>
      </c>
      <c r="O117" s="2">
        <v>52.234790871795958</v>
      </c>
      <c r="P117" s="2">
        <v>1421.2933221249841</v>
      </c>
      <c r="Q117" s="2">
        <v>1.148315238203035</v>
      </c>
      <c r="R117" s="2">
        <v>52.438636896399089</v>
      </c>
      <c r="S117" s="2">
        <v>1405.3036719057111</v>
      </c>
      <c r="T117" s="2">
        <v>-1.4126302758034059E-2</v>
      </c>
      <c r="U117" s="2">
        <v>0.20384602460313062</v>
      </c>
      <c r="V117" s="2">
        <v>-15.989650219273017</v>
      </c>
    </row>
    <row r="118" spans="1:22" ht="15">
      <c r="A118" s="2">
        <v>117</v>
      </c>
      <c r="B118" s="2" t="s">
        <v>79</v>
      </c>
      <c r="C118" s="2" t="s">
        <v>13</v>
      </c>
      <c r="D118" s="2">
        <v>1477.1046083886176</v>
      </c>
      <c r="E118" s="2">
        <v>1179.3157920124941</v>
      </c>
      <c r="F118" s="2">
        <v>579.01155631989241</v>
      </c>
      <c r="G118" s="2">
        <v>302.00659877853468</v>
      </c>
      <c r="H118" s="2">
        <v>16.17069736123085</v>
      </c>
      <c r="I118" s="2">
        <v>0.79387767603853721</v>
      </c>
      <c r="J118" s="2">
        <v>10</v>
      </c>
      <c r="K118" s="2">
        <v>186.06199077915809</v>
      </c>
      <c r="L118" s="2">
        <v>30</v>
      </c>
      <c r="M118" s="2">
        <v>25</v>
      </c>
      <c r="N118" s="2">
        <v>1.1392049524284842</v>
      </c>
      <c r="O118" s="2">
        <v>52.331952856336969</v>
      </c>
      <c r="P118" s="2">
        <v>1477.1046083886176</v>
      </c>
      <c r="Q118" s="2">
        <v>1.1451179713786499</v>
      </c>
      <c r="R118" s="2">
        <v>54.139127334545314</v>
      </c>
      <c r="S118" s="2">
        <v>1472.0145314051733</v>
      </c>
      <c r="T118" s="2">
        <v>5.913018950165716E-3</v>
      </c>
      <c r="U118" s="2">
        <v>1.8071744782083456</v>
      </c>
      <c r="V118" s="2">
        <v>-5.0900769834443054</v>
      </c>
    </row>
    <row r="119" spans="1:22" ht="15">
      <c r="A119" s="2">
        <v>118</v>
      </c>
      <c r="B119" s="2" t="s">
        <v>80</v>
      </c>
      <c r="C119" s="2" t="s">
        <v>13</v>
      </c>
      <c r="D119" s="2">
        <v>1496.0426488076337</v>
      </c>
      <c r="E119" s="2">
        <v>710.13913021888584</v>
      </c>
      <c r="F119" s="2">
        <v>497.18262972310185</v>
      </c>
      <c r="G119" s="2">
        <v>118.22939703240991</v>
      </c>
      <c r="H119" s="2">
        <v>16.457888147328049</v>
      </c>
      <c r="I119" s="2">
        <v>0.85828794834669686</v>
      </c>
      <c r="J119" s="2">
        <v>9</v>
      </c>
      <c r="K119" s="2">
        <v>193.67271939309609</v>
      </c>
      <c r="L119" s="2">
        <v>55</v>
      </c>
      <c r="M119" s="2">
        <v>25</v>
      </c>
      <c r="N119" s="2">
        <v>1.163103624395982</v>
      </c>
      <c r="O119" s="2">
        <v>52.181686564151228</v>
      </c>
      <c r="P119" s="2">
        <v>1496.0426488076337</v>
      </c>
      <c r="Q119" s="2">
        <v>1.1582682172636198</v>
      </c>
      <c r="R119" s="2">
        <v>52.522101615953552</v>
      </c>
      <c r="S119" s="2">
        <v>1518.4867328745413</v>
      </c>
      <c r="T119" s="2">
        <v>-4.8354071323621906E-3</v>
      </c>
      <c r="U119" s="2">
        <v>0.34041505180232434</v>
      </c>
      <c r="V119" s="2">
        <v>22.444084066907635</v>
      </c>
    </row>
    <row r="120" spans="1:22" ht="15">
      <c r="A120" s="2">
        <v>119</v>
      </c>
      <c r="B120" s="2" t="s">
        <v>80</v>
      </c>
      <c r="C120" s="2" t="s">
        <v>13</v>
      </c>
      <c r="D120" s="2">
        <v>1495.7694472046569</v>
      </c>
      <c r="E120" s="2">
        <v>922.91361895622686</v>
      </c>
      <c r="F120" s="2">
        <v>716.17679744958878</v>
      </c>
      <c r="G120" s="2">
        <v>160.1262286840938</v>
      </c>
      <c r="H120" s="2">
        <v>22.943929831497371</v>
      </c>
      <c r="I120" s="2">
        <v>0.81544267270481219</v>
      </c>
      <c r="J120" s="2">
        <v>10</v>
      </c>
      <c r="K120" s="2">
        <v>183.43036209316961</v>
      </c>
      <c r="L120" s="2">
        <v>35</v>
      </c>
      <c r="M120" s="2">
        <v>25</v>
      </c>
      <c r="N120" s="2">
        <v>1.1805817719505949</v>
      </c>
      <c r="O120" s="2">
        <v>52.286714283761825</v>
      </c>
      <c r="P120" s="2">
        <v>1495.7694472046569</v>
      </c>
      <c r="Q120" s="2">
        <v>1.1876111447608493</v>
      </c>
      <c r="R120" s="2">
        <v>53.435895851039817</v>
      </c>
      <c r="S120" s="2">
        <v>1491.44074510225</v>
      </c>
      <c r="T120" s="2">
        <v>7.0293728102543973E-3</v>
      </c>
      <c r="U120" s="2">
        <v>1.1491815672779921</v>
      </c>
      <c r="V120" s="2">
        <v>-4.3287021024068508</v>
      </c>
    </row>
    <row r="121" spans="1:22" ht="15">
      <c r="A121" s="2">
        <v>120</v>
      </c>
      <c r="B121" s="2" t="s">
        <v>80</v>
      </c>
      <c r="C121" s="2" t="s">
        <v>13</v>
      </c>
      <c r="D121" s="2">
        <v>1403.3764823223464</v>
      </c>
      <c r="E121" s="2">
        <v>706.80713159963489</v>
      </c>
      <c r="F121" s="2">
        <v>654.10465514287353</v>
      </c>
      <c r="G121" s="2">
        <v>264.70555043313652</v>
      </c>
      <c r="H121" s="2">
        <v>13.750950460787863</v>
      </c>
      <c r="I121" s="2">
        <v>0.82184757647104567</v>
      </c>
      <c r="J121" s="2">
        <v>9</v>
      </c>
      <c r="K121" s="2">
        <v>189.73192197949135</v>
      </c>
      <c r="L121" s="2">
        <v>45</v>
      </c>
      <c r="M121" s="2">
        <v>25</v>
      </c>
      <c r="N121" s="2">
        <v>1.1682149887370392</v>
      </c>
      <c r="O121" s="2">
        <v>52.228474383299108</v>
      </c>
      <c r="P121" s="2">
        <v>1403.3764823223464</v>
      </c>
      <c r="Q121" s="2">
        <v>1.1729338401752483</v>
      </c>
      <c r="R121" s="2">
        <v>51.564905225049991</v>
      </c>
      <c r="S121" s="2">
        <v>1414.0805003345479</v>
      </c>
      <c r="T121" s="2">
        <v>4.7188514382090485E-3</v>
      </c>
      <c r="U121" s="2">
        <v>-0.66356915824911766</v>
      </c>
      <c r="V121" s="2">
        <v>10.704018012201459</v>
      </c>
    </row>
    <row r="122" spans="1:22" ht="15">
      <c r="A122" s="2">
        <v>121</v>
      </c>
      <c r="B122" s="2" t="s">
        <v>78</v>
      </c>
      <c r="C122" s="2" t="s">
        <v>13</v>
      </c>
      <c r="D122" s="2">
        <v>1380.1651988178492</v>
      </c>
      <c r="E122" s="2">
        <v>872.88073062663898</v>
      </c>
      <c r="F122" s="2">
        <v>474.05568528920412</v>
      </c>
      <c r="G122" s="2">
        <v>257.48950101668015</v>
      </c>
      <c r="H122" s="2">
        <v>9.8213168811053038</v>
      </c>
      <c r="I122" s="2">
        <v>0.82396596384467558</v>
      </c>
      <c r="J122" s="2">
        <v>9</v>
      </c>
      <c r="K122" s="2">
        <v>186.1141060268927</v>
      </c>
      <c r="L122" s="2">
        <v>50</v>
      </c>
      <c r="M122" s="2">
        <v>25</v>
      </c>
      <c r="N122" s="2">
        <v>1.2504563672571112</v>
      </c>
      <c r="O122" s="2">
        <v>52.225170111097704</v>
      </c>
      <c r="P122" s="2">
        <v>1380.1651988178492</v>
      </c>
      <c r="Q122" s="2">
        <v>1.2556618321745479</v>
      </c>
      <c r="R122" s="2">
        <v>52.133929749463952</v>
      </c>
      <c r="S122" s="2">
        <v>1389.5173755758358</v>
      </c>
      <c r="T122" s="2">
        <v>5.2054649174366752E-3</v>
      </c>
      <c r="U122" s="2">
        <v>-9.1240361633751377E-2</v>
      </c>
      <c r="V122" s="2">
        <v>9.3521767579866264</v>
      </c>
    </row>
    <row r="123" spans="1:22" ht="15">
      <c r="A123" s="2">
        <v>122</v>
      </c>
      <c r="B123" s="2" t="s">
        <v>78</v>
      </c>
      <c r="C123" s="2" t="s">
        <v>13</v>
      </c>
      <c r="D123" s="2">
        <v>1358.3049754262902</v>
      </c>
      <c r="E123" s="2">
        <v>706.73711358103901</v>
      </c>
      <c r="F123" s="2">
        <v>533.0324069596827</v>
      </c>
      <c r="G123" s="2">
        <v>149.76359686814249</v>
      </c>
      <c r="H123" s="2">
        <v>13.288266551215202</v>
      </c>
      <c r="I123" s="2">
        <v>0.83796481736470019</v>
      </c>
      <c r="J123" s="2">
        <v>9</v>
      </c>
      <c r="K123" s="2">
        <v>180.10633849998592</v>
      </c>
      <c r="L123" s="2">
        <v>55</v>
      </c>
      <c r="M123" s="2">
        <v>25</v>
      </c>
      <c r="N123" s="2">
        <v>1.2033923658782542</v>
      </c>
      <c r="O123" s="2">
        <v>52.191662951331978</v>
      </c>
      <c r="P123" s="2">
        <v>1358.3049754262902</v>
      </c>
      <c r="Q123" s="2">
        <v>1.1954893845482732</v>
      </c>
      <c r="R123" s="2">
        <v>50.596222129231784</v>
      </c>
      <c r="S123" s="2">
        <v>1375.9649699592169</v>
      </c>
      <c r="T123" s="2">
        <v>-7.9029813299809071E-3</v>
      </c>
      <c r="U123" s="2">
        <v>-1.5954408221001941</v>
      </c>
      <c r="V123" s="2">
        <v>17.659994532926703</v>
      </c>
    </row>
    <row r="124" spans="1:22" ht="15">
      <c r="A124" s="2">
        <v>123</v>
      </c>
      <c r="B124" s="2" t="s">
        <v>78</v>
      </c>
      <c r="C124" s="2" t="s">
        <v>13</v>
      </c>
      <c r="D124" s="2">
        <v>1405.3079490317032</v>
      </c>
      <c r="E124" s="2">
        <v>813.51283049443737</v>
      </c>
      <c r="F124" s="2">
        <v>563.92180658876896</v>
      </c>
      <c r="G124" s="2">
        <v>260.96209986833856</v>
      </c>
      <c r="H124" s="2">
        <v>29.850429871119559</v>
      </c>
      <c r="I124" s="2">
        <v>0.8408286567288451</v>
      </c>
      <c r="J124" s="2">
        <v>9</v>
      </c>
      <c r="K124" s="2">
        <v>185.70409847549217</v>
      </c>
      <c r="L124" s="2">
        <v>45</v>
      </c>
      <c r="M124" s="2">
        <v>25</v>
      </c>
      <c r="N124" s="2">
        <v>1.2525741682215099</v>
      </c>
      <c r="O124" s="2">
        <v>52.230467011209171</v>
      </c>
      <c r="P124" s="2">
        <v>1405.3079490317032</v>
      </c>
      <c r="Q124" s="2">
        <v>1.2411114638549261</v>
      </c>
      <c r="R124" s="2">
        <v>51.421899375660544</v>
      </c>
      <c r="S124" s="2">
        <v>1395.6008617662719</v>
      </c>
      <c r="T124" s="2">
        <v>-1.1462704366583809E-2</v>
      </c>
      <c r="U124" s="2">
        <v>-0.80856763554862709</v>
      </c>
      <c r="V124" s="2">
        <v>-9.7070872654312552</v>
      </c>
    </row>
    <row r="125" spans="1:22" ht="15">
      <c r="A125" s="2">
        <v>124</v>
      </c>
      <c r="B125" s="2" t="s">
        <v>78</v>
      </c>
      <c r="C125" s="2" t="s">
        <v>13</v>
      </c>
      <c r="D125" s="2">
        <v>1446.9655406079255</v>
      </c>
      <c r="E125" s="2">
        <v>1041.5259468834847</v>
      </c>
      <c r="F125" s="2">
        <v>460.88025523349643</v>
      </c>
      <c r="G125" s="2">
        <v>237.04357798676938</v>
      </c>
      <c r="H125" s="2">
        <v>9.8185570049099624</v>
      </c>
      <c r="I125" s="2">
        <v>0.83706575095653535</v>
      </c>
      <c r="J125" s="2">
        <v>9</v>
      </c>
      <c r="K125" s="2">
        <v>192.06848299875594</v>
      </c>
      <c r="L125" s="2">
        <v>45</v>
      </c>
      <c r="M125" s="2">
        <v>25</v>
      </c>
      <c r="N125" s="2">
        <v>1.2260408100391007</v>
      </c>
      <c r="O125" s="2">
        <v>52.246223706962674</v>
      </c>
      <c r="P125" s="2">
        <v>1446.9655406079255</v>
      </c>
      <c r="Q125" s="2">
        <v>1.232222650993831</v>
      </c>
      <c r="R125" s="2">
        <v>52.325518693807815</v>
      </c>
      <c r="S125" s="2">
        <v>1445.9648246290105</v>
      </c>
      <c r="T125" s="2">
        <v>6.1818409547302888E-3</v>
      </c>
      <c r="U125" s="2">
        <v>7.929498684514158E-2</v>
      </c>
      <c r="V125" s="2">
        <v>-1.0007159789149682</v>
      </c>
    </row>
    <row r="126" spans="1:22" ht="15">
      <c r="A126" s="2">
        <v>125</v>
      </c>
      <c r="B126" s="2" t="s">
        <v>78</v>
      </c>
      <c r="C126" s="2" t="s">
        <v>13</v>
      </c>
      <c r="D126" s="2">
        <v>1455.3221243899316</v>
      </c>
      <c r="E126" s="2">
        <v>792.87816927535459</v>
      </c>
      <c r="F126" s="2">
        <v>404.25061043351889</v>
      </c>
      <c r="G126" s="2">
        <v>324.8494013515301</v>
      </c>
      <c r="H126" s="2">
        <v>8.7745450995862484</v>
      </c>
      <c r="I126" s="2">
        <v>0.82460349519038578</v>
      </c>
      <c r="J126" s="2">
        <v>9</v>
      </c>
      <c r="K126" s="2">
        <v>196.09722637449386</v>
      </c>
      <c r="L126" s="2">
        <v>50</v>
      </c>
      <c r="M126" s="2">
        <v>25</v>
      </c>
      <c r="N126" s="2">
        <v>1.1837711407347724</v>
      </c>
      <c r="O126" s="2">
        <v>52.212314447881838</v>
      </c>
      <c r="P126" s="2">
        <v>1455.3221243899316</v>
      </c>
      <c r="Q126" s="2">
        <v>1.1821509815664653</v>
      </c>
      <c r="R126" s="2">
        <v>52.790190821158035</v>
      </c>
      <c r="S126" s="2">
        <v>1472.4462738891054</v>
      </c>
      <c r="T126" s="2">
        <v>-1.6201591683071559E-3</v>
      </c>
      <c r="U126" s="2">
        <v>0.57787637327619734</v>
      </c>
      <c r="V126" s="2">
        <v>17.124149499173882</v>
      </c>
    </row>
    <row r="127" spans="1:22" ht="15">
      <c r="A127" s="2">
        <v>126</v>
      </c>
      <c r="B127" s="2" t="s">
        <v>78</v>
      </c>
      <c r="C127" s="2" t="s">
        <v>13</v>
      </c>
      <c r="D127" s="2">
        <v>1497.8187386062928</v>
      </c>
      <c r="E127" s="2">
        <v>692.25161995273083</v>
      </c>
      <c r="F127" s="2">
        <v>707.62830870226026</v>
      </c>
      <c r="G127" s="2">
        <v>176.85613680630922</v>
      </c>
      <c r="H127" s="2">
        <v>9.7718373262323439</v>
      </c>
      <c r="I127" s="2">
        <v>0.84956027093809106</v>
      </c>
      <c r="J127" s="2">
        <v>9</v>
      </c>
      <c r="K127" s="2">
        <v>195.89464100742504</v>
      </c>
      <c r="L127" s="2">
        <v>50</v>
      </c>
      <c r="M127" s="2">
        <v>25</v>
      </c>
      <c r="N127" s="2">
        <v>1.2294121998617991</v>
      </c>
      <c r="O127" s="2">
        <v>52.22085257100705</v>
      </c>
      <c r="P127" s="2">
        <v>1497.8187386062928</v>
      </c>
      <c r="Q127" s="2">
        <v>1.2389141641129957</v>
      </c>
      <c r="R127" s="2">
        <v>51.154157700698292</v>
      </c>
      <c r="S127" s="2">
        <v>1501.0646839903236</v>
      </c>
      <c r="T127" s="2">
        <v>9.5019642511966484E-3</v>
      </c>
      <c r="U127" s="2">
        <v>-1.0666948703087584</v>
      </c>
      <c r="V127" s="2">
        <v>3.245945384030847</v>
      </c>
    </row>
    <row r="128" spans="1:22" ht="15">
      <c r="A128" s="2">
        <v>127</v>
      </c>
      <c r="B128" s="2" t="s">
        <v>78</v>
      </c>
      <c r="C128" s="2" t="s">
        <v>13</v>
      </c>
      <c r="D128" s="2">
        <v>1491.3301825756207</v>
      </c>
      <c r="E128" s="2">
        <v>1066.1014842917211</v>
      </c>
      <c r="F128" s="2">
        <v>550.9752981364727</v>
      </c>
      <c r="G128" s="2">
        <v>144.09862585132942</v>
      </c>
      <c r="H128" s="2">
        <v>14.530671603046358</v>
      </c>
      <c r="I128" s="2">
        <v>0.81336586044868453</v>
      </c>
      <c r="J128" s="2">
        <v>10</v>
      </c>
      <c r="K128" s="2">
        <v>183.35293563378042</v>
      </c>
      <c r="L128" s="2">
        <v>40</v>
      </c>
      <c r="M128" s="2">
        <v>25</v>
      </c>
      <c r="N128" s="2">
        <v>1.2499990324569814</v>
      </c>
      <c r="O128" s="2">
        <v>52.28012363948443</v>
      </c>
      <c r="P128" s="2">
        <v>1491.3301825756207</v>
      </c>
      <c r="Q128" s="2">
        <v>1.254594472069583</v>
      </c>
      <c r="R128" s="2">
        <v>51.992289964600133</v>
      </c>
      <c r="S128" s="2">
        <v>1500.4779578883549</v>
      </c>
      <c r="T128" s="2">
        <v>4.5954396126015595E-3</v>
      </c>
      <c r="U128" s="2">
        <v>-0.2878336748842969</v>
      </c>
      <c r="V128" s="2">
        <v>9.1477753127342112</v>
      </c>
    </row>
    <row r="129" spans="1:22" ht="15">
      <c r="A129" s="2">
        <v>128</v>
      </c>
      <c r="B129" s="2" t="s">
        <v>78</v>
      </c>
      <c r="C129" s="2" t="s">
        <v>13</v>
      </c>
      <c r="D129" s="2">
        <v>1493.4836627799086</v>
      </c>
      <c r="E129" s="2">
        <v>943.19533444941044</v>
      </c>
      <c r="F129" s="2">
        <v>545.39605369791389</v>
      </c>
      <c r="G129" s="2">
        <v>149.19294327963144</v>
      </c>
      <c r="H129" s="2">
        <v>24.977797911968082</v>
      </c>
      <c r="I129" s="2">
        <v>0.80992745387367904</v>
      </c>
      <c r="J129" s="2">
        <v>10</v>
      </c>
      <c r="K129" s="2">
        <v>184.39721429826247</v>
      </c>
      <c r="L129" s="2">
        <v>40</v>
      </c>
      <c r="M129" s="2">
        <v>25</v>
      </c>
      <c r="N129" s="2">
        <v>1.2174341437660647</v>
      </c>
      <c r="O129" s="2">
        <v>52.25874613541972</v>
      </c>
      <c r="P129" s="2">
        <v>1493.4836627799086</v>
      </c>
      <c r="Q129" s="2">
        <v>1.2192463570742573</v>
      </c>
      <c r="R129" s="2">
        <v>52.739876755529913</v>
      </c>
      <c r="S129" s="2">
        <v>1484.0611700536317</v>
      </c>
      <c r="T129" s="2">
        <v>1.8122133081925895E-3</v>
      </c>
      <c r="U129" s="2">
        <v>0.48113062011019281</v>
      </c>
      <c r="V129" s="2">
        <v>-9.4224927262769143</v>
      </c>
    </row>
    <row r="130" spans="1:22" ht="15">
      <c r="A130" s="2">
        <v>129</v>
      </c>
      <c r="B130" s="2" t="s">
        <v>78</v>
      </c>
      <c r="C130" s="2" t="s">
        <v>13</v>
      </c>
      <c r="D130" s="2">
        <v>1494.7016472928226</v>
      </c>
      <c r="E130" s="2">
        <v>794.43788634380326</v>
      </c>
      <c r="F130" s="2">
        <v>458.43729320913553</v>
      </c>
      <c r="G130" s="2">
        <v>254.94132841238752</v>
      </c>
      <c r="H130" s="2">
        <v>10.084950784221292</v>
      </c>
      <c r="I130" s="2">
        <v>0.79603782247053467</v>
      </c>
      <c r="J130" s="2">
        <v>10</v>
      </c>
      <c r="K130" s="2">
        <v>187.7676669500398</v>
      </c>
      <c r="L130" s="2">
        <v>45</v>
      </c>
      <c r="M130" s="2">
        <v>25</v>
      </c>
      <c r="N130" s="2">
        <v>1.1789792416905738</v>
      </c>
      <c r="O130" s="2">
        <v>52.236229210004993</v>
      </c>
      <c r="P130" s="2">
        <v>1494.7016472928226</v>
      </c>
      <c r="Q130" s="2">
        <v>1.1747191798188878</v>
      </c>
      <c r="R130" s="2">
        <v>52.988028183591155</v>
      </c>
      <c r="S130" s="2">
        <v>1514.4912585687423</v>
      </c>
      <c r="T130" s="2">
        <v>-4.2600618716859273E-3</v>
      </c>
      <c r="U130" s="2">
        <v>0.75179897358616188</v>
      </c>
      <c r="V130" s="2">
        <v>19.789611275919697</v>
      </c>
    </row>
    <row r="131" spans="1:22" ht="15">
      <c r="A131" s="2">
        <v>130</v>
      </c>
      <c r="B131" s="2" t="s">
        <v>78</v>
      </c>
      <c r="C131" s="2" t="s">
        <v>13</v>
      </c>
      <c r="D131" s="2">
        <v>1357.435231434647</v>
      </c>
      <c r="E131" s="2">
        <v>1094.060457427986</v>
      </c>
      <c r="F131" s="2">
        <v>372.36584657803178</v>
      </c>
      <c r="G131" s="2">
        <v>208.2515546772629</v>
      </c>
      <c r="H131" s="2">
        <v>28.06982245342806</v>
      </c>
      <c r="I131" s="2">
        <v>0.82949523373041312</v>
      </c>
      <c r="J131" s="2">
        <v>9</v>
      </c>
      <c r="K131" s="2">
        <v>181.82881672240029</v>
      </c>
      <c r="L131" s="2">
        <v>40</v>
      </c>
      <c r="M131" s="2">
        <v>25</v>
      </c>
      <c r="N131" s="2">
        <v>1.1582012006682862</v>
      </c>
      <c r="O131" s="2">
        <v>52.236124145115184</v>
      </c>
      <c r="P131" s="2">
        <v>1357.435231434647</v>
      </c>
      <c r="Q131" s="2">
        <v>1.1560641050071059</v>
      </c>
      <c r="R131" s="2">
        <v>53.626302005509956</v>
      </c>
      <c r="S131" s="2">
        <v>1348.547654151344</v>
      </c>
      <c r="T131" s="2">
        <v>-2.137095661180366E-3</v>
      </c>
      <c r="U131" s="2">
        <v>1.3901778603947719</v>
      </c>
      <c r="V131" s="2">
        <v>-8.8875772833030169</v>
      </c>
    </row>
    <row r="132" spans="1:22" ht="15">
      <c r="A132" s="2">
        <v>131</v>
      </c>
      <c r="B132" s="2" t="s">
        <v>78</v>
      </c>
      <c r="C132" s="2" t="s">
        <v>13</v>
      </c>
      <c r="D132" s="2">
        <v>1382.7012825524434</v>
      </c>
      <c r="E132" s="2">
        <v>1196.9201413565315</v>
      </c>
      <c r="F132" s="2">
        <v>720.29886953532696</v>
      </c>
      <c r="G132" s="2">
        <v>217.65029952628538</v>
      </c>
      <c r="H132" s="2">
        <v>23.297566537745297</v>
      </c>
      <c r="I132" s="2">
        <v>0.83179234147770331</v>
      </c>
      <c r="J132" s="2">
        <v>9</v>
      </c>
      <c r="K132" s="2">
        <v>184.7017196217821</v>
      </c>
      <c r="L132" s="2">
        <v>35</v>
      </c>
      <c r="M132" s="2">
        <v>25</v>
      </c>
      <c r="N132" s="2">
        <v>1.2680762680851214</v>
      </c>
      <c r="O132" s="2">
        <v>52.307879497226949</v>
      </c>
      <c r="P132" s="2">
        <v>1382.7012825524434</v>
      </c>
      <c r="Q132" s="2">
        <v>1.271579834829452</v>
      </c>
      <c r="R132" s="2">
        <v>52.275038117561031</v>
      </c>
      <c r="S132" s="2">
        <v>1371.1748902249901</v>
      </c>
      <c r="T132" s="2">
        <v>3.5035667443306107E-3</v>
      </c>
      <c r="U132" s="2">
        <v>-3.2841379665917714E-2</v>
      </c>
      <c r="V132" s="2">
        <v>-11.526392327453323</v>
      </c>
    </row>
    <row r="133" spans="1:22" ht="15">
      <c r="A133" s="2">
        <v>132</v>
      </c>
      <c r="B133" s="2" t="s">
        <v>78</v>
      </c>
      <c r="C133" s="2" t="s">
        <v>13</v>
      </c>
      <c r="D133" s="2">
        <v>1498.7604095949791</v>
      </c>
      <c r="E133" s="2">
        <v>1060.1622071582824</v>
      </c>
      <c r="F133" s="2">
        <v>412.34727529808879</v>
      </c>
      <c r="G133" s="2">
        <v>263.02671273704618</v>
      </c>
      <c r="H133" s="2">
        <v>16.62713500065729</v>
      </c>
      <c r="I133" s="2">
        <v>0.80616511425003412</v>
      </c>
      <c r="J133" s="2">
        <v>10</v>
      </c>
      <c r="K133" s="2">
        <v>185.91233769638595</v>
      </c>
      <c r="L133" s="2">
        <v>40</v>
      </c>
      <c r="M133" s="2">
        <v>25</v>
      </c>
      <c r="N133" s="2">
        <v>1.2430861565403488</v>
      </c>
      <c r="O133" s="2">
        <v>52.275681645817258</v>
      </c>
      <c r="P133" s="2">
        <v>1498.7604095949791</v>
      </c>
      <c r="Q133" s="2">
        <v>1.2445296252569598</v>
      </c>
      <c r="R133" s="2">
        <v>52.840671622375801</v>
      </c>
      <c r="S133" s="2">
        <v>1502.1626984952147</v>
      </c>
      <c r="T133" s="2">
        <v>1.4434687166109406E-3</v>
      </c>
      <c r="U133" s="2">
        <v>0.56498997655854311</v>
      </c>
      <c r="V133" s="2">
        <v>3.4022889002355896</v>
      </c>
    </row>
    <row r="134" spans="1:22" ht="15">
      <c r="A134" s="2">
        <v>133</v>
      </c>
      <c r="B134" s="2" t="s">
        <v>78</v>
      </c>
      <c r="C134" s="2" t="s">
        <v>13</v>
      </c>
      <c r="D134" s="2">
        <v>1478.6836231593043</v>
      </c>
      <c r="E134" s="2">
        <v>1220.747559692245</v>
      </c>
      <c r="F134" s="2">
        <v>494.76364087313414</v>
      </c>
      <c r="G134" s="2">
        <v>326.09471420990303</v>
      </c>
      <c r="H134" s="2">
        <v>17.960476420819759</v>
      </c>
      <c r="I134" s="2">
        <v>0.80020682858536019</v>
      </c>
      <c r="J134" s="2">
        <v>10</v>
      </c>
      <c r="K134" s="2">
        <v>184.78767867719705</v>
      </c>
      <c r="L134" s="2">
        <v>30</v>
      </c>
      <c r="M134" s="2">
        <v>25</v>
      </c>
      <c r="N134" s="2">
        <v>1.1409956012029692</v>
      </c>
      <c r="O134" s="2">
        <v>52.328708224734818</v>
      </c>
      <c r="P134" s="2">
        <v>1478.6836231593043</v>
      </c>
      <c r="Q134" s="2">
        <v>1.1565355955504635</v>
      </c>
      <c r="R134" s="2">
        <v>53.293346639735695</v>
      </c>
      <c r="S134" s="2">
        <v>1477.3202716425885</v>
      </c>
      <c r="T134" s="2">
        <v>1.5539994347494313E-2</v>
      </c>
      <c r="U134" s="2">
        <v>0.9646384150008771</v>
      </c>
      <c r="V134" s="2">
        <v>-1.3633515167157384</v>
      </c>
    </row>
    <row r="135" spans="1:22" ht="15">
      <c r="A135" s="2">
        <v>134</v>
      </c>
      <c r="B135" s="2" t="s">
        <v>78</v>
      </c>
      <c r="C135" s="2" t="s">
        <v>13</v>
      </c>
      <c r="D135" s="2">
        <v>1434.2543660779484</v>
      </c>
      <c r="E135" s="2">
        <v>1181.1264026677236</v>
      </c>
      <c r="F135" s="2">
        <v>429.28903074935079</v>
      </c>
      <c r="G135" s="2">
        <v>247.70953265950084</v>
      </c>
      <c r="H135" s="2">
        <v>9.6603002981282771</v>
      </c>
      <c r="I135" s="2">
        <v>0.85537757345940924</v>
      </c>
      <c r="J135" s="2">
        <v>9</v>
      </c>
      <c r="K135" s="2">
        <v>186.30555812490616</v>
      </c>
      <c r="L135" s="2">
        <v>40</v>
      </c>
      <c r="M135" s="2">
        <v>25</v>
      </c>
      <c r="N135" s="2">
        <v>1.1717829062157117</v>
      </c>
      <c r="O135" s="2">
        <v>52.264728135335488</v>
      </c>
      <c r="P135" s="2">
        <v>1434.2543660779484</v>
      </c>
      <c r="Q135" s="2">
        <v>1.1937687597818079</v>
      </c>
      <c r="R135" s="2">
        <v>52.685871115867855</v>
      </c>
      <c r="S135" s="2">
        <v>1432.1551129748188</v>
      </c>
      <c r="T135" s="2">
        <v>2.198585356609617E-2</v>
      </c>
      <c r="U135" s="2">
        <v>0.4211429805323661</v>
      </c>
      <c r="V135" s="2">
        <v>-2.099253103129513</v>
      </c>
    </row>
    <row r="136" spans="1:22" ht="15">
      <c r="A136" s="2">
        <v>135</v>
      </c>
      <c r="B136" s="2" t="s">
        <v>79</v>
      </c>
      <c r="C136" s="2" t="s">
        <v>13</v>
      </c>
      <c r="D136" s="2">
        <v>1374.0103750722483</v>
      </c>
      <c r="E136" s="2">
        <v>838.23509664507583</v>
      </c>
      <c r="F136" s="2">
        <v>551.65373980998993</v>
      </c>
      <c r="G136" s="2">
        <v>196.05275789042935</v>
      </c>
      <c r="H136" s="2">
        <v>10.274321290664375</v>
      </c>
      <c r="I136" s="2">
        <v>0.85312675893073908</v>
      </c>
      <c r="J136" s="2">
        <v>9</v>
      </c>
      <c r="K136" s="2">
        <v>178.95092124858124</v>
      </c>
      <c r="L136" s="2">
        <v>50</v>
      </c>
      <c r="M136" s="2">
        <v>25</v>
      </c>
      <c r="N136" s="2">
        <v>1.2385798592746766</v>
      </c>
      <c r="O136" s="2">
        <v>52.222287943098316</v>
      </c>
      <c r="P136" s="2">
        <v>1374.0103750722483</v>
      </c>
      <c r="Q136" s="2">
        <v>1.254849057930719</v>
      </c>
      <c r="R136" s="2">
        <v>52.953911322211148</v>
      </c>
      <c r="S136" s="2">
        <v>1377.791736704917</v>
      </c>
      <c r="T136" s="2">
        <v>1.6269198656042372E-2</v>
      </c>
      <c r="U136" s="2">
        <v>0.73162337911283259</v>
      </c>
      <c r="V136" s="2">
        <v>3.781361632668677</v>
      </c>
    </row>
    <row r="137" spans="1:22" ht="15">
      <c r="A137" s="2">
        <v>136</v>
      </c>
      <c r="B137" s="2" t="s">
        <v>79</v>
      </c>
      <c r="C137" s="2" t="s">
        <v>13</v>
      </c>
      <c r="D137" s="2">
        <v>1439.705931104254</v>
      </c>
      <c r="E137" s="2">
        <v>601.65318520739675</v>
      </c>
      <c r="F137" s="2">
        <v>640.18555348739028</v>
      </c>
      <c r="G137" s="2">
        <v>81.778617152012885</v>
      </c>
      <c r="H137" s="2">
        <v>17.832411376293749</v>
      </c>
      <c r="I137" s="2">
        <v>0.84008061149157587</v>
      </c>
      <c r="J137" s="2">
        <v>9</v>
      </c>
      <c r="K137" s="2">
        <v>190.41901871086637</v>
      </c>
      <c r="L137" s="2">
        <v>55</v>
      </c>
      <c r="M137" s="2">
        <v>25</v>
      </c>
      <c r="N137" s="2">
        <v>1.1669499877125915</v>
      </c>
      <c r="O137" s="2">
        <v>52.181385036210408</v>
      </c>
      <c r="P137" s="2">
        <v>1439.705931104254</v>
      </c>
      <c r="Q137" s="2">
        <v>1.1616914220042844</v>
      </c>
      <c r="R137" s="2">
        <v>52.359722230901234</v>
      </c>
      <c r="S137" s="2">
        <v>1453.6348047796353</v>
      </c>
      <c r="T137" s="2">
        <v>-5.2585657083070725E-3</v>
      </c>
      <c r="U137" s="2">
        <v>0.1783371946908261</v>
      </c>
      <c r="V137" s="2">
        <v>13.928873675381283</v>
      </c>
    </row>
    <row r="138" spans="1:22" ht="15">
      <c r="A138" s="2">
        <v>137</v>
      </c>
      <c r="B138" s="2" t="s">
        <v>79</v>
      </c>
      <c r="C138" s="2" t="s">
        <v>13</v>
      </c>
      <c r="D138" s="2">
        <v>1415.6933711841702</v>
      </c>
      <c r="E138" s="2">
        <v>1007.6822832575999</v>
      </c>
      <c r="F138" s="2">
        <v>415.22063929587603</v>
      </c>
      <c r="G138" s="2">
        <v>254.40697323763743</v>
      </c>
      <c r="H138" s="2">
        <v>14.700792705640197</v>
      </c>
      <c r="I138" s="2">
        <v>0.84145589002640919</v>
      </c>
      <c r="J138" s="2">
        <v>9</v>
      </c>
      <c r="K138" s="2">
        <v>186.93702822612715</v>
      </c>
      <c r="L138" s="2">
        <v>45</v>
      </c>
      <c r="M138" s="2">
        <v>25</v>
      </c>
      <c r="N138" s="2">
        <v>1.207846741160848</v>
      </c>
      <c r="O138" s="2">
        <v>52.236534545501229</v>
      </c>
      <c r="P138" s="2">
        <v>1415.6933711841702</v>
      </c>
      <c r="Q138" s="2">
        <v>1.2053922749681352</v>
      </c>
      <c r="R138" s="2">
        <v>51.672336420303054</v>
      </c>
      <c r="S138" s="2">
        <v>1418.3449156255076</v>
      </c>
      <c r="T138" s="2">
        <v>-2.4544661927128342E-3</v>
      </c>
      <c r="U138" s="2">
        <v>-0.56419812519817469</v>
      </c>
      <c r="V138" s="2">
        <v>2.6515444413373643</v>
      </c>
    </row>
    <row r="139" spans="1:22" ht="15">
      <c r="A139" s="2">
        <v>138</v>
      </c>
      <c r="B139" s="2" t="s">
        <v>80</v>
      </c>
      <c r="C139" s="2" t="s">
        <v>13</v>
      </c>
      <c r="D139" s="2">
        <v>1445.6494540558197</v>
      </c>
      <c r="E139" s="2">
        <v>785.99732297006994</v>
      </c>
      <c r="F139" s="2">
        <v>594.59134647622705</v>
      </c>
      <c r="G139" s="2">
        <v>145.88783184997737</v>
      </c>
      <c r="H139" s="2">
        <v>8.2047827583737671</v>
      </c>
      <c r="I139" s="2">
        <v>0.80022756476420909</v>
      </c>
      <c r="J139" s="2">
        <v>10</v>
      </c>
      <c r="K139" s="2">
        <v>180.65479342514118</v>
      </c>
      <c r="L139" s="2">
        <v>45</v>
      </c>
      <c r="M139" s="2">
        <v>25</v>
      </c>
      <c r="N139" s="2">
        <v>1.1845968731956795</v>
      </c>
      <c r="O139" s="2">
        <v>52.239462053849579</v>
      </c>
      <c r="P139" s="2">
        <v>1445.6494540558197</v>
      </c>
      <c r="Q139" s="2">
        <v>1.1952909792150421</v>
      </c>
      <c r="R139" s="2">
        <v>51.377590973678679</v>
      </c>
      <c r="S139" s="2">
        <v>1452.5589298722489</v>
      </c>
      <c r="T139" s="2">
        <v>1.0694106019362604E-2</v>
      </c>
      <c r="U139" s="2">
        <v>-0.86187108017089997</v>
      </c>
      <c r="V139" s="2">
        <v>6.9094758164292216</v>
      </c>
    </row>
    <row r="140" spans="1:22" ht="15">
      <c r="A140" s="2">
        <v>139</v>
      </c>
      <c r="B140" s="2" t="s">
        <v>80</v>
      </c>
      <c r="C140" s="2" t="s">
        <v>13</v>
      </c>
      <c r="D140" s="2">
        <v>1439.2638149438426</v>
      </c>
      <c r="E140" s="2">
        <v>1193.5782472253777</v>
      </c>
      <c r="F140" s="2">
        <v>741.01969487965107</v>
      </c>
      <c r="G140" s="2">
        <v>175.02921270905063</v>
      </c>
      <c r="H140" s="2">
        <v>13.218534261919558</v>
      </c>
      <c r="I140" s="2">
        <v>0.84070487244753167</v>
      </c>
      <c r="J140" s="2">
        <v>9</v>
      </c>
      <c r="K140" s="2">
        <v>190.21919213440438</v>
      </c>
      <c r="L140" s="2">
        <v>35</v>
      </c>
      <c r="M140" s="2">
        <v>25</v>
      </c>
      <c r="N140" s="2">
        <v>1.1941597268976902</v>
      </c>
      <c r="O140" s="2">
        <v>52.303943614114388</v>
      </c>
      <c r="P140" s="2">
        <v>1439.2638149438426</v>
      </c>
      <c r="Q140" s="2">
        <v>1.2170988580501358</v>
      </c>
      <c r="R140" s="2">
        <v>53.858414235676349</v>
      </c>
      <c r="S140" s="2">
        <v>1441.014209774406</v>
      </c>
      <c r="T140" s="2">
        <v>2.2939131152445613E-2</v>
      </c>
      <c r="U140" s="2">
        <v>1.5544706215619613</v>
      </c>
      <c r="V140" s="2">
        <v>1.7503948305634367</v>
      </c>
    </row>
    <row r="141" spans="1:22" ht="15">
      <c r="A141" s="2">
        <v>140</v>
      </c>
      <c r="B141" s="2" t="s">
        <v>80</v>
      </c>
      <c r="C141" s="2" t="s">
        <v>13</v>
      </c>
      <c r="D141" s="2">
        <v>1446.5222703642212</v>
      </c>
      <c r="E141" s="2">
        <v>1109.1155385132879</v>
      </c>
      <c r="F141" s="2">
        <v>439.34646947309375</v>
      </c>
      <c r="G141" s="2">
        <v>284.07930656801909</v>
      </c>
      <c r="H141" s="2">
        <v>22.676827016752213</v>
      </c>
      <c r="I141" s="2">
        <v>0.81126585643738514</v>
      </c>
      <c r="J141" s="2">
        <v>9</v>
      </c>
      <c r="K141" s="2">
        <v>198.11593872931675</v>
      </c>
      <c r="L141" s="2">
        <v>40</v>
      </c>
      <c r="M141" s="2">
        <v>25</v>
      </c>
      <c r="N141" s="2">
        <v>1.2261875009425796</v>
      </c>
      <c r="O141" s="2">
        <v>52.260739004471894</v>
      </c>
      <c r="P141" s="2">
        <v>1446.5222703642212</v>
      </c>
      <c r="Q141" s="2">
        <v>1.2288160780339852</v>
      </c>
      <c r="R141" s="2">
        <v>53.234998267386707</v>
      </c>
      <c r="S141" s="2">
        <v>1431.1639317805284</v>
      </c>
      <c r="T141" s="2">
        <v>2.6285770914056261E-3</v>
      </c>
      <c r="U141" s="2">
        <v>0.97425926291481346</v>
      </c>
      <c r="V141" s="2">
        <v>-15.358338583692785</v>
      </c>
    </row>
    <row r="142" spans="1:22" ht="15">
      <c r="A142" s="2">
        <v>141</v>
      </c>
      <c r="B142" s="2" t="s">
        <v>78</v>
      </c>
      <c r="C142" s="2" t="s">
        <v>13</v>
      </c>
      <c r="D142" s="2">
        <v>1412.4134661164135</v>
      </c>
      <c r="E142" s="2">
        <v>643.75634928001091</v>
      </c>
      <c r="F142" s="2">
        <v>682.75661077350378</v>
      </c>
      <c r="G142" s="2">
        <v>199.98434719862416</v>
      </c>
      <c r="H142" s="2">
        <v>8.3993249125778675</v>
      </c>
      <c r="I142" s="2">
        <v>0.80747964933747429</v>
      </c>
      <c r="J142" s="2">
        <v>9</v>
      </c>
      <c r="K142" s="2">
        <v>194.35143622164745</v>
      </c>
      <c r="L142" s="2">
        <v>50</v>
      </c>
      <c r="M142" s="2">
        <v>25</v>
      </c>
      <c r="N142" s="2">
        <v>1.1854861243171628</v>
      </c>
      <c r="O142" s="2">
        <v>52.213019092633289</v>
      </c>
      <c r="P142" s="2">
        <v>1412.4134661164135</v>
      </c>
      <c r="Q142" s="2">
        <v>1.1912434894867607</v>
      </c>
      <c r="R142" s="2">
        <v>51.250765030957147</v>
      </c>
      <c r="S142" s="2">
        <v>1426.6786743854182</v>
      </c>
      <c r="T142" s="2">
        <v>5.7573651695979056E-3</v>
      </c>
      <c r="U142" s="2">
        <v>-0.96225406167614125</v>
      </c>
      <c r="V142" s="2">
        <v>14.265208269004688</v>
      </c>
    </row>
    <row r="143" spans="1:22" ht="15">
      <c r="A143" s="2">
        <v>142</v>
      </c>
      <c r="B143" s="2" t="s">
        <v>78</v>
      </c>
      <c r="C143" s="2" t="s">
        <v>13</v>
      </c>
      <c r="D143" s="2">
        <v>1420.4384708893485</v>
      </c>
      <c r="E143" s="2">
        <v>735.05825146567076</v>
      </c>
      <c r="F143" s="2">
        <v>528.13235567882657</v>
      </c>
      <c r="G143" s="2">
        <v>238.60217995941639</v>
      </c>
      <c r="H143" s="2">
        <v>17.030026788357645</v>
      </c>
      <c r="I143" s="2">
        <v>0.7980607749475167</v>
      </c>
      <c r="J143" s="2">
        <v>9</v>
      </c>
      <c r="K143" s="2">
        <v>197.76250345828913</v>
      </c>
      <c r="L143" s="2">
        <v>50</v>
      </c>
      <c r="M143" s="2">
        <v>25</v>
      </c>
      <c r="N143" s="2">
        <v>1.2050108285706718</v>
      </c>
      <c r="O143" s="2">
        <v>52.209167040329184</v>
      </c>
      <c r="P143" s="2">
        <v>1420.4384708893485</v>
      </c>
      <c r="Q143" s="2">
        <v>1.2124880914726526</v>
      </c>
      <c r="R143" s="2">
        <v>52.796602690877862</v>
      </c>
      <c r="S143" s="2">
        <v>1435.5604498658918</v>
      </c>
      <c r="T143" s="2">
        <v>7.4772629019808079E-3</v>
      </c>
      <c r="U143" s="2">
        <v>0.5874356505486773</v>
      </c>
      <c r="V143" s="2">
        <v>15.121978976543232</v>
      </c>
    </row>
    <row r="144" spans="1:22" ht="15">
      <c r="A144" s="2">
        <v>143</v>
      </c>
      <c r="B144" s="2" t="s">
        <v>78</v>
      </c>
      <c r="C144" s="2" t="s">
        <v>13</v>
      </c>
      <c r="D144" s="2">
        <v>1358.4202198544517</v>
      </c>
      <c r="E144" s="2">
        <v>608.07485106633976</v>
      </c>
      <c r="F144" s="2">
        <v>500.71715787053108</v>
      </c>
      <c r="G144" s="2">
        <v>187.26977180456743</v>
      </c>
      <c r="H144" s="2">
        <v>10.281839190982282</v>
      </c>
      <c r="I144" s="2">
        <v>0.8395500255911611</v>
      </c>
      <c r="J144" s="2">
        <v>9</v>
      </c>
      <c r="K144" s="2">
        <v>179.78152031803955</v>
      </c>
      <c r="L144" s="2">
        <v>60</v>
      </c>
      <c r="M144" s="2">
        <v>25</v>
      </c>
      <c r="N144" s="2">
        <v>1.2078816532039511</v>
      </c>
      <c r="O144" s="2">
        <v>52.177088433162105</v>
      </c>
      <c r="P144" s="2">
        <v>1358.4202198544517</v>
      </c>
      <c r="Q144" s="2">
        <v>1.2128445429452459</v>
      </c>
      <c r="R144" s="2">
        <v>50.397728029340215</v>
      </c>
      <c r="S144" s="2">
        <v>1378.6383321025157</v>
      </c>
      <c r="T144" s="2">
        <v>4.9628897412947737E-3</v>
      </c>
      <c r="U144" s="2">
        <v>-1.7793604038218902</v>
      </c>
      <c r="V144" s="2">
        <v>20.218112248064017</v>
      </c>
    </row>
    <row r="145" spans="1:22" ht="15">
      <c r="A145" s="2">
        <v>144</v>
      </c>
      <c r="B145" s="2" t="s">
        <v>78</v>
      </c>
      <c r="C145" s="2" t="s">
        <v>13</v>
      </c>
      <c r="D145" s="2">
        <v>1369.0455265226774</v>
      </c>
      <c r="E145" s="2">
        <v>775.26320721954107</v>
      </c>
      <c r="F145" s="2">
        <v>592.11771627888083</v>
      </c>
      <c r="G145" s="2">
        <v>258.82268328685313</v>
      </c>
      <c r="H145" s="2">
        <v>19.960523733403534</v>
      </c>
      <c r="I145" s="2">
        <v>0.80260266928933566</v>
      </c>
      <c r="J145" s="2">
        <v>9</v>
      </c>
      <c r="K145" s="2">
        <v>189.5286116458123</v>
      </c>
      <c r="L145" s="2">
        <v>45</v>
      </c>
      <c r="M145" s="2">
        <v>25</v>
      </c>
      <c r="N145" s="2">
        <v>1.1983574436668052</v>
      </c>
      <c r="O145" s="2">
        <v>52.228565797387986</v>
      </c>
      <c r="P145" s="2">
        <v>1369.0455265226774</v>
      </c>
      <c r="Q145" s="2">
        <v>1.1906490161778296</v>
      </c>
      <c r="R145" s="2">
        <v>51.941646470650866</v>
      </c>
      <c r="S145" s="2">
        <v>1362.1447926729445</v>
      </c>
      <c r="T145" s="2">
        <v>-7.7084274889755999E-3</v>
      </c>
      <c r="U145" s="2">
        <v>-0.28691932673712017</v>
      </c>
      <c r="V145" s="2">
        <v>-6.9007338497328874</v>
      </c>
    </row>
    <row r="146" spans="1:22" ht="15">
      <c r="A146" s="2">
        <v>145</v>
      </c>
      <c r="B146" s="2" t="s">
        <v>78</v>
      </c>
      <c r="C146" s="2" t="s">
        <v>13</v>
      </c>
      <c r="D146" s="2">
        <v>1461.1342021264136</v>
      </c>
      <c r="E146" s="2">
        <v>1220.5535461544059</v>
      </c>
      <c r="F146" s="2">
        <v>562.21959684044123</v>
      </c>
      <c r="G146" s="2">
        <v>154.28626535693184</v>
      </c>
      <c r="H146" s="2">
        <v>21.627701135352254</v>
      </c>
      <c r="I146" s="2">
        <v>0.80408214695053182</v>
      </c>
      <c r="J146" s="2">
        <v>10</v>
      </c>
      <c r="K146" s="2">
        <v>181.7145434291435</v>
      </c>
      <c r="L146" s="2">
        <v>35</v>
      </c>
      <c r="M146" s="2">
        <v>25</v>
      </c>
      <c r="N146" s="2">
        <v>1.2545910439183268</v>
      </c>
      <c r="O146" s="2">
        <v>52.310595542496941</v>
      </c>
      <c r="P146" s="2">
        <v>1461.1342021264136</v>
      </c>
      <c r="Q146" s="2">
        <v>1.2625287215140568</v>
      </c>
      <c r="R146" s="2">
        <v>52.404323475068558</v>
      </c>
      <c r="S146" s="2">
        <v>1449.318768198016</v>
      </c>
      <c r="T146" s="2">
        <v>7.9376775957300527E-3</v>
      </c>
      <c r="U146" s="2">
        <v>9.37279325716176E-2</v>
      </c>
      <c r="V146" s="2">
        <v>-11.815433928397624</v>
      </c>
    </row>
    <row r="147" spans="1:22" ht="15">
      <c r="A147" s="2">
        <v>146</v>
      </c>
      <c r="B147" s="2" t="s">
        <v>78</v>
      </c>
      <c r="C147" s="2" t="s">
        <v>13</v>
      </c>
      <c r="D147" s="2">
        <v>1367.545555124525</v>
      </c>
      <c r="E147" s="2">
        <v>819.06666543800384</v>
      </c>
      <c r="F147" s="2">
        <v>685.21992349997163</v>
      </c>
      <c r="G147" s="2">
        <v>103.49436213262379</v>
      </c>
      <c r="H147" s="2">
        <v>9.0688302968628705</v>
      </c>
      <c r="I147" s="2">
        <v>0.8025471215927974</v>
      </c>
      <c r="J147" s="2">
        <v>9</v>
      </c>
      <c r="K147" s="2">
        <v>189.33406156061767</v>
      </c>
      <c r="L147" s="2">
        <v>50</v>
      </c>
      <c r="M147" s="2">
        <v>25</v>
      </c>
      <c r="N147" s="2">
        <v>1.2496087294368114</v>
      </c>
      <c r="O147" s="2">
        <v>52.225693244795679</v>
      </c>
      <c r="P147" s="2">
        <v>1367.545555124525</v>
      </c>
      <c r="Q147" s="2">
        <v>1.251903250909896</v>
      </c>
      <c r="R147" s="2">
        <v>53.006905974303329</v>
      </c>
      <c r="S147" s="2">
        <v>1371.9317145198888</v>
      </c>
      <c r="T147" s="2">
        <v>2.2945214730845098E-3</v>
      </c>
      <c r="U147" s="2">
        <v>0.78121272950765075</v>
      </c>
      <c r="V147" s="2">
        <v>4.3861593953638476</v>
      </c>
    </row>
    <row r="148" spans="1:22" ht="15">
      <c r="A148" s="2">
        <v>147</v>
      </c>
      <c r="B148" s="2" t="s">
        <v>78</v>
      </c>
      <c r="C148" s="2" t="s">
        <v>13</v>
      </c>
      <c r="D148" s="2">
        <v>1462.2360514244065</v>
      </c>
      <c r="E148" s="2">
        <v>1245.265426451806</v>
      </c>
      <c r="F148" s="2">
        <v>711.48238442838192</v>
      </c>
      <c r="G148" s="2">
        <v>180.22990097058937</v>
      </c>
      <c r="H148" s="2">
        <v>28.673845586366951</v>
      </c>
      <c r="I148" s="2">
        <v>0.79642136362148452</v>
      </c>
      <c r="J148" s="2">
        <v>10</v>
      </c>
      <c r="K148" s="2">
        <v>183.60080708725991</v>
      </c>
      <c r="L148" s="2">
        <v>30</v>
      </c>
      <c r="M148" s="2">
        <v>25</v>
      </c>
      <c r="N148" s="2">
        <v>1.2543790761493967</v>
      </c>
      <c r="O148" s="2">
        <v>52.345231388578142</v>
      </c>
      <c r="P148" s="2">
        <v>1462.2360514244065</v>
      </c>
      <c r="Q148" s="2">
        <v>1.2570806681036149</v>
      </c>
      <c r="R148" s="2">
        <v>53.064056052413548</v>
      </c>
      <c r="S148" s="2">
        <v>1437.6420698757493</v>
      </c>
      <c r="T148" s="2">
        <v>2.7015919542181521E-3</v>
      </c>
      <c r="U148" s="2">
        <v>0.71882466383540589</v>
      </c>
      <c r="V148" s="2">
        <v>-24.593981548657212</v>
      </c>
    </row>
    <row r="149" spans="1:22" ht="15">
      <c r="A149" s="2">
        <v>148</v>
      </c>
      <c r="B149" s="2" t="s">
        <v>78</v>
      </c>
      <c r="C149" s="2" t="s">
        <v>13</v>
      </c>
      <c r="D149" s="2">
        <v>1373.3126272796653</v>
      </c>
      <c r="E149" s="2">
        <v>974.10915032960474</v>
      </c>
      <c r="F149" s="2">
        <v>680.39788780733943</v>
      </c>
      <c r="G149" s="2">
        <v>104.14356300141662</v>
      </c>
      <c r="H149" s="2">
        <v>18.843529507052153</v>
      </c>
      <c r="I149" s="2">
        <v>0.80001070441678168</v>
      </c>
      <c r="J149" s="2">
        <v>9</v>
      </c>
      <c r="K149" s="2">
        <v>190.73531276210005</v>
      </c>
      <c r="L149" s="2">
        <v>40</v>
      </c>
      <c r="M149" s="2">
        <v>25</v>
      </c>
      <c r="N149" s="2">
        <v>1.1614385635368478</v>
      </c>
      <c r="O149" s="2">
        <v>52.24921759498249</v>
      </c>
      <c r="P149" s="2">
        <v>1373.3126272796653</v>
      </c>
      <c r="Q149" s="2">
        <v>1.1544893380195085</v>
      </c>
      <c r="R149" s="2">
        <v>52.171967333433571</v>
      </c>
      <c r="S149" s="2">
        <v>1369.7400069437726</v>
      </c>
      <c r="T149" s="2">
        <v>-6.9492255173393414E-3</v>
      </c>
      <c r="U149" s="2">
        <v>-7.7250261548918786E-2</v>
      </c>
      <c r="V149" s="2">
        <v>-3.5726203358926796</v>
      </c>
    </row>
    <row r="150" spans="1:22" ht="15">
      <c r="A150" s="2">
        <v>149</v>
      </c>
      <c r="B150" s="2" t="s">
        <v>78</v>
      </c>
      <c r="C150" s="2" t="s">
        <v>13</v>
      </c>
      <c r="D150" s="2">
        <v>1368.4614785481244</v>
      </c>
      <c r="E150" s="2">
        <v>721.29222190706059</v>
      </c>
      <c r="F150" s="2">
        <v>466.37786608189344</v>
      </c>
      <c r="G150" s="2">
        <v>306.2294705142267</v>
      </c>
      <c r="H150" s="2">
        <v>22.821372404694557</v>
      </c>
      <c r="I150" s="2">
        <v>0.83484906239667911</v>
      </c>
      <c r="J150" s="2">
        <v>9</v>
      </c>
      <c r="K150" s="2">
        <v>182.13025832205915</v>
      </c>
      <c r="L150" s="2">
        <v>50</v>
      </c>
      <c r="M150" s="2">
        <v>25</v>
      </c>
      <c r="N150" s="2">
        <v>1.2239614604426905</v>
      </c>
      <c r="O150" s="2">
        <v>52.20793628865961</v>
      </c>
      <c r="P150" s="2">
        <v>1368.4614785481244</v>
      </c>
      <c r="Q150" s="2">
        <v>1.2272481913111846</v>
      </c>
      <c r="R150" s="2">
        <v>51.787557867670053</v>
      </c>
      <c r="S150" s="2">
        <v>1369.3037490063837</v>
      </c>
      <c r="T150" s="2">
        <v>3.2867308684940699E-3</v>
      </c>
      <c r="U150" s="2">
        <v>-0.42037842098955736</v>
      </c>
      <c r="V150" s="2">
        <v>0.84227045825923597</v>
      </c>
    </row>
    <row r="151" spans="1:22" ht="15">
      <c r="A151" s="2">
        <v>150</v>
      </c>
      <c r="B151" s="2" t="s">
        <v>78</v>
      </c>
      <c r="C151" s="2" t="s">
        <v>13</v>
      </c>
      <c r="D151" s="2">
        <v>1361.9964917306788</v>
      </c>
      <c r="E151" s="2">
        <v>798.50221776869148</v>
      </c>
      <c r="F151" s="2">
        <v>446.90806986764073</v>
      </c>
      <c r="G151" s="2">
        <v>329.63976489380002</v>
      </c>
      <c r="H151" s="2">
        <v>24.603562420699745</v>
      </c>
      <c r="I151" s="2">
        <v>0.82796485205646608</v>
      </c>
      <c r="J151" s="2">
        <v>9</v>
      </c>
      <c r="K151" s="2">
        <v>182.77701420507918</v>
      </c>
      <c r="L151" s="2">
        <v>45</v>
      </c>
      <c r="M151" s="2">
        <v>25</v>
      </c>
      <c r="N151" s="2">
        <v>1.1853353462601577</v>
      </c>
      <c r="O151" s="2">
        <v>52.220589679440749</v>
      </c>
      <c r="P151" s="2">
        <v>1361.9964917306788</v>
      </c>
      <c r="Q151" s="2">
        <v>1.1858159264637607</v>
      </c>
      <c r="R151" s="2">
        <v>51.013275744692038</v>
      </c>
      <c r="S151" s="2">
        <v>1353.111278424193</v>
      </c>
      <c r="T151" s="2">
        <v>4.8058020360297604E-4</v>
      </c>
      <c r="U151" s="2">
        <v>-1.2073139347487114</v>
      </c>
      <c r="V151" s="2">
        <v>-8.8852133064858663</v>
      </c>
    </row>
    <row r="152" spans="1:22" ht="15">
      <c r="A152" s="2">
        <v>151</v>
      </c>
      <c r="B152" s="2" t="s">
        <v>78</v>
      </c>
      <c r="C152" s="2" t="s">
        <v>13</v>
      </c>
      <c r="D152" s="2">
        <v>1438.3904931368306</v>
      </c>
      <c r="E152" s="2">
        <v>1124.3280420196243</v>
      </c>
      <c r="F152" s="2">
        <v>557.74578303098679</v>
      </c>
      <c r="G152" s="2">
        <v>169.95427651097998</v>
      </c>
      <c r="H152" s="2">
        <v>25.699126030318439</v>
      </c>
      <c r="I152" s="2">
        <v>0.79938353564357389</v>
      </c>
      <c r="J152" s="2">
        <v>9</v>
      </c>
      <c r="K152" s="2">
        <v>199.93051992923802</v>
      </c>
      <c r="L152" s="2">
        <v>40</v>
      </c>
      <c r="M152" s="2">
        <v>25</v>
      </c>
      <c r="N152" s="2">
        <v>1.2536326466799126</v>
      </c>
      <c r="O152" s="2">
        <v>52.263777481735993</v>
      </c>
      <c r="P152" s="2">
        <v>1438.3904931368306</v>
      </c>
      <c r="Q152" s="2">
        <v>1.2583884445531908</v>
      </c>
      <c r="R152" s="2">
        <v>53.073634546289618</v>
      </c>
      <c r="S152" s="2">
        <v>1423.5340380547154</v>
      </c>
      <c r="T152" s="2">
        <v>4.755797873278178E-3</v>
      </c>
      <c r="U152" s="2">
        <v>0.80985706455362561</v>
      </c>
      <c r="V152" s="2">
        <v>-14.85645508211519</v>
      </c>
    </row>
    <row r="153" spans="1:22" ht="15">
      <c r="A153" s="2">
        <v>152</v>
      </c>
      <c r="B153" s="2" t="s">
        <v>78</v>
      </c>
      <c r="C153" s="2" t="s">
        <v>13</v>
      </c>
      <c r="D153" s="2">
        <v>1451.9464607234113</v>
      </c>
      <c r="E153" s="2">
        <v>677.76527246460319</v>
      </c>
      <c r="F153" s="2">
        <v>407.59589290246367</v>
      </c>
      <c r="G153" s="2">
        <v>266.28791405353695</v>
      </c>
      <c r="H153" s="2">
        <v>25.525812198873609</v>
      </c>
      <c r="I153" s="2">
        <v>0.80191217203624554</v>
      </c>
      <c r="J153" s="2">
        <v>10</v>
      </c>
      <c r="K153" s="2">
        <v>181.06053397800088</v>
      </c>
      <c r="L153" s="2">
        <v>50</v>
      </c>
      <c r="M153" s="2">
        <v>25</v>
      </c>
      <c r="N153" s="2">
        <v>1.230591328599743</v>
      </c>
      <c r="O153" s="2">
        <v>52.20917320300962</v>
      </c>
      <c r="P153" s="2">
        <v>1451.9464607234113</v>
      </c>
      <c r="Q153" s="2">
        <v>1.2296800849643332</v>
      </c>
      <c r="R153" s="2">
        <v>52.585636453498829</v>
      </c>
      <c r="S153" s="2">
        <v>1454.2151709302921</v>
      </c>
      <c r="T153" s="2">
        <v>-9.1124363540973086E-4</v>
      </c>
      <c r="U153" s="2">
        <v>0.37646325048920914</v>
      </c>
      <c r="V153" s="2">
        <v>2.268710206880769</v>
      </c>
    </row>
    <row r="154" spans="1:22" ht="15">
      <c r="A154" s="2">
        <v>153</v>
      </c>
      <c r="B154" s="2" t="s">
        <v>78</v>
      </c>
      <c r="C154" s="2" t="s">
        <v>13</v>
      </c>
      <c r="D154" s="2">
        <v>1437.1008574962616</v>
      </c>
      <c r="E154" s="2">
        <v>1207.6813632971607</v>
      </c>
      <c r="F154" s="2">
        <v>488.26854694634676</v>
      </c>
      <c r="G154" s="2">
        <v>297.20816061133519</v>
      </c>
      <c r="H154" s="2">
        <v>27.585154680535197</v>
      </c>
      <c r="I154" s="2">
        <v>0.82432581489207224</v>
      </c>
      <c r="J154" s="2">
        <v>9</v>
      </c>
      <c r="K154" s="2">
        <v>193.7072334390578</v>
      </c>
      <c r="L154" s="2">
        <v>35</v>
      </c>
      <c r="M154" s="2">
        <v>25</v>
      </c>
      <c r="N154" s="2">
        <v>1.2176613697559833</v>
      </c>
      <c r="O154" s="2">
        <v>52.285783172198038</v>
      </c>
      <c r="P154" s="2">
        <v>1437.1008574962616</v>
      </c>
      <c r="Q154" s="2">
        <v>1.2167801428490168</v>
      </c>
      <c r="R154" s="2">
        <v>53.86648080721784</v>
      </c>
      <c r="S154" s="2">
        <v>1411.3920871098294</v>
      </c>
      <c r="T154" s="2">
        <v>-8.8122690696645911E-4</v>
      </c>
      <c r="U154" s="2">
        <v>1.5806976350198028</v>
      </c>
      <c r="V154" s="2">
        <v>-25.708770386432207</v>
      </c>
    </row>
    <row r="155" spans="1:22" ht="15">
      <c r="A155" s="2">
        <v>154</v>
      </c>
      <c r="B155" s="2" t="s">
        <v>78</v>
      </c>
      <c r="C155" s="2" t="s">
        <v>13</v>
      </c>
      <c r="D155" s="2">
        <v>1375.5919298739173</v>
      </c>
      <c r="E155" s="2">
        <v>1000.762171507813</v>
      </c>
      <c r="F155" s="2">
        <v>385.06044605746865</v>
      </c>
      <c r="G155" s="2">
        <v>257.12562321685255</v>
      </c>
      <c r="H155" s="2">
        <v>15.656178173143417</v>
      </c>
      <c r="I155" s="2">
        <v>0.8191681948350743</v>
      </c>
      <c r="J155" s="2">
        <v>9</v>
      </c>
      <c r="K155" s="2">
        <v>186.58384044627252</v>
      </c>
      <c r="L155" s="2">
        <v>45</v>
      </c>
      <c r="M155" s="2">
        <v>25</v>
      </c>
      <c r="N155" s="2">
        <v>1.1891701111308801</v>
      </c>
      <c r="O155" s="2">
        <v>52.231176704443953</v>
      </c>
      <c r="P155" s="2">
        <v>1375.5919298739173</v>
      </c>
      <c r="Q155" s="2">
        <v>1.1972580635641843</v>
      </c>
      <c r="R155" s="2">
        <v>52.251275030340096</v>
      </c>
      <c r="S155" s="2">
        <v>1378.7598563609406</v>
      </c>
      <c r="T155" s="2">
        <v>8.0879524333041797E-3</v>
      </c>
      <c r="U155" s="2">
        <v>2.009832589614291E-2</v>
      </c>
      <c r="V155" s="2">
        <v>3.167926487023351</v>
      </c>
    </row>
    <row r="156" spans="1:22" ht="15">
      <c r="A156" s="2">
        <v>155</v>
      </c>
      <c r="B156" s="2" t="s">
        <v>79</v>
      </c>
      <c r="C156" s="2" t="s">
        <v>13</v>
      </c>
      <c r="D156" s="2">
        <v>1429.3583751423284</v>
      </c>
      <c r="E156" s="2">
        <v>1184.1072474257089</v>
      </c>
      <c r="F156" s="2">
        <v>577.36336030066013</v>
      </c>
      <c r="G156" s="2">
        <v>137.33227840391919</v>
      </c>
      <c r="H156" s="2">
        <v>14.136000358499587</v>
      </c>
      <c r="I156" s="2">
        <v>0.81924163113115356</v>
      </c>
      <c r="J156" s="2">
        <v>9</v>
      </c>
      <c r="K156" s="2">
        <v>193.85928546960179</v>
      </c>
      <c r="L156" s="2">
        <v>40</v>
      </c>
      <c r="M156" s="2">
        <v>25</v>
      </c>
      <c r="N156" s="2">
        <v>1.2207806536699277</v>
      </c>
      <c r="O156" s="2">
        <v>52.27107084001986</v>
      </c>
      <c r="P156" s="2">
        <v>1429.3583751423284</v>
      </c>
      <c r="Q156" s="2">
        <v>1.2421238205762453</v>
      </c>
      <c r="R156" s="2">
        <v>51.98445602383034</v>
      </c>
      <c r="S156" s="2">
        <v>1432.2501482679156</v>
      </c>
      <c r="T156" s="2">
        <v>2.1343166906317546E-2</v>
      </c>
      <c r="U156" s="2">
        <v>-0.28661481618951967</v>
      </c>
      <c r="V156" s="2">
        <v>2.8917731255871786</v>
      </c>
    </row>
    <row r="157" spans="1:22" ht="15">
      <c r="A157" s="2">
        <v>156</v>
      </c>
      <c r="B157" s="2" t="s">
        <v>79</v>
      </c>
      <c r="C157" s="2" t="s">
        <v>13</v>
      </c>
      <c r="D157" s="2">
        <v>1369.4531165412627</v>
      </c>
      <c r="E157" s="2">
        <v>748.29117874614894</v>
      </c>
      <c r="F157" s="2">
        <v>520.92099441215396</v>
      </c>
      <c r="G157" s="2">
        <v>306.65692481677979</v>
      </c>
      <c r="H157" s="2">
        <v>23.558192636352032</v>
      </c>
      <c r="I157" s="2">
        <v>0.83388210676610475</v>
      </c>
      <c r="J157" s="2">
        <v>9</v>
      </c>
      <c r="K157" s="2">
        <v>182.4735848854871</v>
      </c>
      <c r="L157" s="2">
        <v>45</v>
      </c>
      <c r="M157" s="2">
        <v>25</v>
      </c>
      <c r="N157" s="2">
        <v>1.1810398372923356</v>
      </c>
      <c r="O157" s="2">
        <v>52.220717389101765</v>
      </c>
      <c r="P157" s="2">
        <v>1369.4531165412627</v>
      </c>
      <c r="Q157" s="2">
        <v>1.1816401619309023</v>
      </c>
      <c r="R157" s="2">
        <v>51.247492715670489</v>
      </c>
      <c r="S157" s="2">
        <v>1360.2117283893156</v>
      </c>
      <c r="T157" s="2">
        <v>6.0032463856662943E-4</v>
      </c>
      <c r="U157" s="2">
        <v>-0.97322467343127528</v>
      </c>
      <c r="V157" s="2">
        <v>-9.2413881519471488</v>
      </c>
    </row>
    <row r="158" spans="1:22" ht="15">
      <c r="A158" s="2">
        <v>157</v>
      </c>
      <c r="B158" s="2" t="s">
        <v>79</v>
      </c>
      <c r="C158" s="2" t="s">
        <v>13</v>
      </c>
      <c r="D158" s="2">
        <v>1399.9365433584899</v>
      </c>
      <c r="E158" s="2">
        <v>1077.7239405433647</v>
      </c>
      <c r="F158" s="2">
        <v>501.12438555806875</v>
      </c>
      <c r="G158" s="2">
        <v>87.686395954806358</v>
      </c>
      <c r="H158" s="2">
        <v>8.6374427191913128</v>
      </c>
      <c r="I158" s="2">
        <v>0.81079527329886336</v>
      </c>
      <c r="J158" s="2">
        <v>9</v>
      </c>
      <c r="K158" s="2">
        <v>191.8468322894058</v>
      </c>
      <c r="L158" s="2">
        <v>45</v>
      </c>
      <c r="M158" s="2">
        <v>25</v>
      </c>
      <c r="N158" s="2">
        <v>1.1708347938675183</v>
      </c>
      <c r="O158" s="2">
        <v>52.234854426536614</v>
      </c>
      <c r="P158" s="2">
        <v>1399.9365433584899</v>
      </c>
      <c r="Q158" s="2">
        <v>1.1798505934674914</v>
      </c>
      <c r="R158" s="2">
        <v>51.736116625859474</v>
      </c>
      <c r="S158" s="2">
        <v>1410.3704785249595</v>
      </c>
      <c r="T158" s="2">
        <v>9.0157995999731178E-3</v>
      </c>
      <c r="U158" s="2">
        <v>-0.4987378006771408</v>
      </c>
      <c r="V158" s="2">
        <v>10.43393516646961</v>
      </c>
    </row>
    <row r="159" spans="1:22" ht="15">
      <c r="A159" s="2">
        <v>158</v>
      </c>
      <c r="B159" s="2" t="s">
        <v>80</v>
      </c>
      <c r="C159" s="2" t="s">
        <v>13</v>
      </c>
      <c r="D159" s="2">
        <v>1417.1020850655623</v>
      </c>
      <c r="E159" s="2">
        <v>1178.7337875692174</v>
      </c>
      <c r="F159" s="2">
        <v>418.4294362552464</v>
      </c>
      <c r="G159" s="2">
        <v>206.13122072070837</v>
      </c>
      <c r="H159" s="2">
        <v>19.368467467371374</v>
      </c>
      <c r="I159" s="2">
        <v>0.79478743280749775</v>
      </c>
      <c r="J159" s="2">
        <v>9</v>
      </c>
      <c r="K159" s="2">
        <v>198.1105648252539</v>
      </c>
      <c r="L159" s="2">
        <v>40</v>
      </c>
      <c r="M159" s="2">
        <v>25</v>
      </c>
      <c r="N159" s="2">
        <v>1.1911679171790421</v>
      </c>
      <c r="O159" s="2">
        <v>52.256178686265706</v>
      </c>
      <c r="P159" s="2">
        <v>1417.1020850655623</v>
      </c>
      <c r="Q159" s="2">
        <v>1.1897059961689489</v>
      </c>
      <c r="R159" s="2">
        <v>52.996892152982298</v>
      </c>
      <c r="S159" s="2">
        <v>1410.7598472307557</v>
      </c>
      <c r="T159" s="2">
        <v>-1.4619210100932367E-3</v>
      </c>
      <c r="U159" s="2">
        <v>0.740713466716592</v>
      </c>
      <c r="V159" s="2">
        <v>-6.3422378348066104</v>
      </c>
    </row>
    <row r="160" spans="1:22" ht="15">
      <c r="A160" s="2">
        <v>159</v>
      </c>
      <c r="B160" s="2" t="s">
        <v>80</v>
      </c>
      <c r="C160" s="2" t="s">
        <v>13</v>
      </c>
      <c r="D160" s="2">
        <v>1439.9998959386721</v>
      </c>
      <c r="E160" s="2">
        <v>652.85589463310316</v>
      </c>
      <c r="F160" s="2">
        <v>357.05129131674767</v>
      </c>
      <c r="G160" s="2">
        <v>295.69137409096584</v>
      </c>
      <c r="H160" s="2">
        <v>29.425866714678705</v>
      </c>
      <c r="I160" s="2">
        <v>0.80268510082503786</v>
      </c>
      <c r="J160" s="2">
        <v>9</v>
      </c>
      <c r="K160" s="2">
        <v>199.33095590434488</v>
      </c>
      <c r="L160" s="2">
        <v>55</v>
      </c>
      <c r="M160" s="2">
        <v>25</v>
      </c>
      <c r="N160" s="2">
        <v>1.1969514570133528</v>
      </c>
      <c r="O160" s="2">
        <v>52.178575455474359</v>
      </c>
      <c r="P160" s="2">
        <v>1439.9998959386721</v>
      </c>
      <c r="Q160" s="2">
        <v>1.179970876325293</v>
      </c>
      <c r="R160" s="2">
        <v>50.934642861780851</v>
      </c>
      <c r="S160" s="2">
        <v>1432.1532207619553</v>
      </c>
      <c r="T160" s="2">
        <v>-1.6980580688059854E-2</v>
      </c>
      <c r="U160" s="2">
        <v>-1.2439325936935077</v>
      </c>
      <c r="V160" s="2">
        <v>-7.8466751767168716</v>
      </c>
    </row>
    <row r="161" spans="1:22" ht="15">
      <c r="A161" s="2">
        <v>160</v>
      </c>
      <c r="B161" s="2" t="s">
        <v>80</v>
      </c>
      <c r="C161" s="2" t="s">
        <v>13</v>
      </c>
      <c r="D161" s="2">
        <v>1401.0249866056256</v>
      </c>
      <c r="E161" s="2">
        <v>605.37300780415535</v>
      </c>
      <c r="F161" s="2">
        <v>540.31347325071692</v>
      </c>
      <c r="G161" s="2">
        <v>97.806149204261601</v>
      </c>
      <c r="H161" s="2">
        <v>15.877867074217647</v>
      </c>
      <c r="I161" s="2">
        <v>0.82145293305628009</v>
      </c>
      <c r="J161" s="2">
        <v>9</v>
      </c>
      <c r="K161" s="2">
        <v>189.5050059374677</v>
      </c>
      <c r="L161" s="2">
        <v>60</v>
      </c>
      <c r="M161" s="2">
        <v>25</v>
      </c>
      <c r="N161" s="2">
        <v>1.1811676394127109</v>
      </c>
      <c r="O161" s="2">
        <v>52.168891588373157</v>
      </c>
      <c r="P161" s="2">
        <v>1401.0249866056256</v>
      </c>
      <c r="Q161" s="2">
        <v>1.1701845545282099</v>
      </c>
      <c r="R161" s="2">
        <v>51.950114394002952</v>
      </c>
      <c r="S161" s="2">
        <v>1411.8780311311727</v>
      </c>
      <c r="T161" s="2">
        <v>-1.0983084884500949E-2</v>
      </c>
      <c r="U161" s="2">
        <v>-0.2187771943702046</v>
      </c>
      <c r="V161" s="2">
        <v>10.853044525547148</v>
      </c>
    </row>
    <row r="162" spans="1:22" ht="15">
      <c r="A162" s="2">
        <v>161</v>
      </c>
      <c r="B162" s="2" t="s">
        <v>78</v>
      </c>
      <c r="C162" s="2" t="s">
        <v>13</v>
      </c>
      <c r="D162" s="2">
        <v>1443.1240341626108</v>
      </c>
      <c r="E162" s="2">
        <v>679.62376767536625</v>
      </c>
      <c r="F162" s="2">
        <v>507.12862852960825</v>
      </c>
      <c r="G162" s="2">
        <v>220.51902206847444</v>
      </c>
      <c r="H162" s="2">
        <v>28.611845815554261</v>
      </c>
      <c r="I162" s="2">
        <v>0.80224882546113807</v>
      </c>
      <c r="J162" s="2">
        <v>9</v>
      </c>
      <c r="K162" s="2">
        <v>199.87204694851144</v>
      </c>
      <c r="L162" s="2">
        <v>50</v>
      </c>
      <c r="M162" s="2">
        <v>25</v>
      </c>
      <c r="N162" s="2">
        <v>1.18286841883949</v>
      </c>
      <c r="O162" s="2">
        <v>52.194428795894289</v>
      </c>
      <c r="P162" s="2">
        <v>1443.1240341626108</v>
      </c>
      <c r="Q162" s="2">
        <v>1.1640883803523268</v>
      </c>
      <c r="R162" s="2">
        <v>50.545621948608868</v>
      </c>
      <c r="S162" s="2">
        <v>1432.3449998909027</v>
      </c>
      <c r="T162" s="2">
        <v>-1.8780038487163253E-2</v>
      </c>
      <c r="U162" s="2">
        <v>-1.6488068472854209</v>
      </c>
      <c r="V162" s="2">
        <v>-10.779034271708042</v>
      </c>
    </row>
    <row r="163" spans="1:22" ht="15">
      <c r="A163" s="2">
        <v>162</v>
      </c>
      <c r="B163" s="2" t="s">
        <v>78</v>
      </c>
      <c r="C163" s="2" t="s">
        <v>13</v>
      </c>
      <c r="D163" s="2">
        <v>1384.3266756855883</v>
      </c>
      <c r="E163" s="2">
        <v>1012.7749155508354</v>
      </c>
      <c r="F163" s="2">
        <v>516.00088411942124</v>
      </c>
      <c r="G163" s="2">
        <v>277.54129298962653</v>
      </c>
      <c r="H163" s="2">
        <v>28.216288514900953</v>
      </c>
      <c r="I163" s="2">
        <v>0.80538014835212379</v>
      </c>
      <c r="J163" s="2">
        <v>9</v>
      </c>
      <c r="K163" s="2">
        <v>190.98319643325345</v>
      </c>
      <c r="L163" s="2">
        <v>40</v>
      </c>
      <c r="M163" s="2">
        <v>25</v>
      </c>
      <c r="N163" s="2">
        <v>1.2388151684356041</v>
      </c>
      <c r="O163" s="2">
        <v>52.25664999267299</v>
      </c>
      <c r="P163" s="2">
        <v>1384.3266756855883</v>
      </c>
      <c r="Q163" s="2">
        <v>1.2426010549629625</v>
      </c>
      <c r="R163" s="2">
        <v>52.280945146343868</v>
      </c>
      <c r="S163" s="2">
        <v>1374.5275677520406</v>
      </c>
      <c r="T163" s="2">
        <v>3.7858865273583397E-3</v>
      </c>
      <c r="U163" s="2">
        <v>2.4295153670877312E-2</v>
      </c>
      <c r="V163" s="2">
        <v>-9.7991079335477025</v>
      </c>
    </row>
    <row r="164" spans="1:22" ht="15">
      <c r="A164" s="2">
        <v>163</v>
      </c>
      <c r="B164" s="2" t="s">
        <v>78</v>
      </c>
      <c r="C164" s="2" t="s">
        <v>13</v>
      </c>
      <c r="D164" s="2">
        <v>1410.3358909254894</v>
      </c>
      <c r="E164" s="2">
        <v>965.09609982604161</v>
      </c>
      <c r="F164" s="2">
        <v>404.77361492812634</v>
      </c>
      <c r="G164" s="2">
        <v>171.13464289112017</v>
      </c>
      <c r="H164" s="2">
        <v>25.641829480417073</v>
      </c>
      <c r="I164" s="2">
        <v>0.79448441200656816</v>
      </c>
      <c r="J164" s="2">
        <v>9</v>
      </c>
      <c r="K164" s="2">
        <v>197.23985205050747</v>
      </c>
      <c r="L164" s="2">
        <v>45</v>
      </c>
      <c r="M164" s="2">
        <v>25</v>
      </c>
      <c r="N164" s="2">
        <v>1.1669640254968512</v>
      </c>
      <c r="O164" s="2">
        <v>52.215281104465845</v>
      </c>
      <c r="P164" s="2">
        <v>1410.3358909254894</v>
      </c>
      <c r="Q164" s="2">
        <v>1.1662403032906459</v>
      </c>
      <c r="R164" s="2">
        <v>52.302144191606807</v>
      </c>
      <c r="S164" s="2">
        <v>1399.4113903642212</v>
      </c>
      <c r="T164" s="2">
        <v>-7.237222062053128E-4</v>
      </c>
      <c r="U164" s="2">
        <v>8.6863087140962136E-2</v>
      </c>
      <c r="V164" s="2">
        <v>-10.924500561268133</v>
      </c>
    </row>
    <row r="165" spans="1:22" ht="15">
      <c r="A165" s="2">
        <v>164</v>
      </c>
      <c r="B165" s="2" t="s">
        <v>78</v>
      </c>
      <c r="C165" s="2" t="s">
        <v>13</v>
      </c>
      <c r="D165" s="2">
        <v>1410.943474934902</v>
      </c>
      <c r="E165" s="2">
        <v>1133.113592909649</v>
      </c>
      <c r="F165" s="2">
        <v>600.26591746136546</v>
      </c>
      <c r="G165" s="2">
        <v>311.68098030146211</v>
      </c>
      <c r="H165" s="2">
        <v>16.162289030384272</v>
      </c>
      <c r="I165" s="2">
        <v>0.85154207749292254</v>
      </c>
      <c r="J165" s="2">
        <v>9</v>
      </c>
      <c r="K165" s="2">
        <v>184.10305416327719</v>
      </c>
      <c r="L165" s="2">
        <v>35</v>
      </c>
      <c r="M165" s="2">
        <v>25</v>
      </c>
      <c r="N165" s="2">
        <v>1.1780522882065965</v>
      </c>
      <c r="O165" s="2">
        <v>52.293876057008106</v>
      </c>
      <c r="P165" s="2">
        <v>1410.943474934902</v>
      </c>
      <c r="Q165" s="2">
        <v>1.2007899508487012</v>
      </c>
      <c r="R165" s="2">
        <v>53.170369619709071</v>
      </c>
      <c r="S165" s="2">
        <v>1402.7442219898633</v>
      </c>
      <c r="T165" s="2">
        <v>2.273766264210475E-2</v>
      </c>
      <c r="U165" s="2">
        <v>0.8764935627009649</v>
      </c>
      <c r="V165" s="2">
        <v>-8.1992529450387792</v>
      </c>
    </row>
    <row r="166" spans="1:22" ht="15">
      <c r="A166" s="2">
        <v>165</v>
      </c>
      <c r="B166" s="2" t="s">
        <v>78</v>
      </c>
      <c r="C166" s="2" t="s">
        <v>13</v>
      </c>
      <c r="D166" s="2">
        <v>1392.41519481875</v>
      </c>
      <c r="E166" s="2">
        <v>979.45212851045653</v>
      </c>
      <c r="F166" s="2">
        <v>416.24803077429533</v>
      </c>
      <c r="G166" s="2">
        <v>328.65735817002133</v>
      </c>
      <c r="H166" s="2">
        <v>25.434995420277119</v>
      </c>
      <c r="I166" s="2">
        <v>0.85664455691585317</v>
      </c>
      <c r="J166" s="2">
        <v>9</v>
      </c>
      <c r="K166" s="2">
        <v>180.6032597479082</v>
      </c>
      <c r="L166" s="2">
        <v>40</v>
      </c>
      <c r="M166" s="2">
        <v>25</v>
      </c>
      <c r="N166" s="2">
        <v>1.1749507507496957</v>
      </c>
      <c r="O166" s="2">
        <v>52.243870445909131</v>
      </c>
      <c r="P166" s="2">
        <v>1392.41519481875</v>
      </c>
      <c r="Q166" s="2">
        <v>1.1701407834397801</v>
      </c>
      <c r="R166" s="2">
        <v>53.472218241247198</v>
      </c>
      <c r="S166" s="2">
        <v>1384.7271071334978</v>
      </c>
      <c r="T166" s="2">
        <v>-4.8099673099155638E-3</v>
      </c>
      <c r="U166" s="2">
        <v>1.2283477953380668</v>
      </c>
      <c r="V166" s="2">
        <v>-7.6880876852521851</v>
      </c>
    </row>
    <row r="167" spans="1:22" ht="15">
      <c r="A167" s="2">
        <v>166</v>
      </c>
      <c r="B167" s="2" t="s">
        <v>78</v>
      </c>
      <c r="C167" s="2" t="s">
        <v>13</v>
      </c>
      <c r="D167" s="2">
        <v>1417.8638438810594</v>
      </c>
      <c r="E167" s="2">
        <v>600.63403767999262</v>
      </c>
      <c r="F167" s="2">
        <v>703.8544443435967</v>
      </c>
      <c r="G167" s="2">
        <v>119.62388401851058</v>
      </c>
      <c r="H167" s="2">
        <v>8.401535599026829</v>
      </c>
      <c r="I167" s="2">
        <v>0.82575239033903935</v>
      </c>
      <c r="J167" s="2">
        <v>9</v>
      </c>
      <c r="K167" s="2">
        <v>190.78410058639028</v>
      </c>
      <c r="L167" s="2">
        <v>55</v>
      </c>
      <c r="M167" s="2">
        <v>25</v>
      </c>
      <c r="N167" s="2">
        <v>1.2121555048826504</v>
      </c>
      <c r="O167" s="2">
        <v>52.197054720675119</v>
      </c>
      <c r="P167" s="2">
        <v>1417.8638438810594</v>
      </c>
      <c r="Q167" s="2">
        <v>1.2204434246121878</v>
      </c>
      <c r="R167" s="2">
        <v>52.135491355835441</v>
      </c>
      <c r="S167" s="2">
        <v>1429.2211018710159</v>
      </c>
      <c r="T167" s="2">
        <v>8.2879197295373519E-3</v>
      </c>
      <c r="U167" s="2">
        <v>-6.1563364839678059E-2</v>
      </c>
      <c r="V167" s="2">
        <v>11.357257989956452</v>
      </c>
    </row>
    <row r="168" spans="1:22" ht="15">
      <c r="A168" s="2">
        <v>167</v>
      </c>
      <c r="B168" s="2" t="s">
        <v>78</v>
      </c>
      <c r="C168" s="2" t="s">
        <v>13</v>
      </c>
      <c r="D168" s="2">
        <v>1496.4773978339508</v>
      </c>
      <c r="E168" s="2">
        <v>929.50559594901279</v>
      </c>
      <c r="F168" s="2">
        <v>630.33305406570435</v>
      </c>
      <c r="G168" s="2">
        <v>249.52869103988633</v>
      </c>
      <c r="H168" s="2">
        <v>12.705374079756439</v>
      </c>
      <c r="I168" s="2">
        <v>0.85358418814605108</v>
      </c>
      <c r="J168" s="2">
        <v>9</v>
      </c>
      <c r="K168" s="2">
        <v>194.79656340300471</v>
      </c>
      <c r="L168" s="2">
        <v>40</v>
      </c>
      <c r="M168" s="2">
        <v>25</v>
      </c>
      <c r="N168" s="2">
        <v>1.1591262011474899</v>
      </c>
      <c r="O168" s="2">
        <v>52.257125602653943</v>
      </c>
      <c r="P168" s="2">
        <v>1496.4773978339508</v>
      </c>
      <c r="Q168" s="2">
        <v>1.1595868288752624</v>
      </c>
      <c r="R168" s="2">
        <v>51.812314185721164</v>
      </c>
      <c r="S168" s="2">
        <v>1501.0439967797638</v>
      </c>
      <c r="T168" s="2">
        <v>4.6062772777255567E-4</v>
      </c>
      <c r="U168" s="2">
        <v>-0.44481141693277948</v>
      </c>
      <c r="V168" s="2">
        <v>4.5665989458129843</v>
      </c>
    </row>
    <row r="169" spans="1:22" ht="15">
      <c r="A169" s="2">
        <v>168</v>
      </c>
      <c r="B169" s="2" t="s">
        <v>78</v>
      </c>
      <c r="C169" s="2" t="s">
        <v>13</v>
      </c>
      <c r="D169" s="2">
        <v>1404.1750670294277</v>
      </c>
      <c r="E169" s="2">
        <v>1201.7152012325823</v>
      </c>
      <c r="F169" s="2">
        <v>410.78513627871871</v>
      </c>
      <c r="G169" s="2">
        <v>125.86970212403685</v>
      </c>
      <c r="H169" s="2">
        <v>14.59516049688682</v>
      </c>
      <c r="I169" s="2">
        <v>0.83047137797810144</v>
      </c>
      <c r="J169" s="2">
        <v>9</v>
      </c>
      <c r="K169" s="2">
        <v>187.86854794684169</v>
      </c>
      <c r="L169" s="2">
        <v>45</v>
      </c>
      <c r="M169" s="2">
        <v>25</v>
      </c>
      <c r="N169" s="2">
        <v>1.2487107241685853</v>
      </c>
      <c r="O169" s="2">
        <v>52.24605534843014</v>
      </c>
      <c r="P169" s="2">
        <v>1404.1750670294277</v>
      </c>
      <c r="Q169" s="2">
        <v>1.2496848449746085</v>
      </c>
      <c r="R169" s="2">
        <v>52.824459985148437</v>
      </c>
      <c r="S169" s="2">
        <v>1399.2397129067608</v>
      </c>
      <c r="T169" s="2">
        <v>9.7412080602321538E-4</v>
      </c>
      <c r="U169" s="2">
        <v>0.57840463671829667</v>
      </c>
      <c r="V169" s="2">
        <v>-4.9353541226669222</v>
      </c>
    </row>
    <row r="170" spans="1:22" ht="15">
      <c r="A170" s="2">
        <v>169</v>
      </c>
      <c r="B170" s="2" t="s">
        <v>78</v>
      </c>
      <c r="C170" s="2" t="s">
        <v>13</v>
      </c>
      <c r="D170" s="2">
        <v>1374.4345022365451</v>
      </c>
      <c r="E170" s="2">
        <v>1142.730418255087</v>
      </c>
      <c r="F170" s="2">
        <v>536.39398831874132</v>
      </c>
      <c r="G170" s="2">
        <v>297.39590127253905</v>
      </c>
      <c r="H170" s="2">
        <v>27.49927463196218</v>
      </c>
      <c r="I170" s="2">
        <v>0.8450462889787741</v>
      </c>
      <c r="J170" s="2">
        <v>9</v>
      </c>
      <c r="K170" s="2">
        <v>180.71784550110644</v>
      </c>
      <c r="L170" s="2">
        <v>35</v>
      </c>
      <c r="M170" s="2">
        <v>25</v>
      </c>
      <c r="N170" s="2">
        <v>1.2083206490092053</v>
      </c>
      <c r="O170" s="2">
        <v>52.283188929000943</v>
      </c>
      <c r="P170" s="2">
        <v>1374.4345022365451</v>
      </c>
      <c r="Q170" s="2">
        <v>1.1989610021694883</v>
      </c>
      <c r="R170" s="2">
        <v>53.960780867785537</v>
      </c>
      <c r="S170" s="2">
        <v>1360.3520916327882</v>
      </c>
      <c r="T170" s="2">
        <v>-9.3596468397170174E-3</v>
      </c>
      <c r="U170" s="2">
        <v>1.6775919387845946</v>
      </c>
      <c r="V170" s="2">
        <v>-14.082410603756898</v>
      </c>
    </row>
    <row r="171" spans="1:22" ht="15">
      <c r="A171" s="2">
        <v>170</v>
      </c>
      <c r="B171" s="2" t="s">
        <v>78</v>
      </c>
      <c r="C171" s="2" t="s">
        <v>13</v>
      </c>
      <c r="D171" s="2">
        <v>1483.9318108395673</v>
      </c>
      <c r="E171" s="2">
        <v>742.34101588372141</v>
      </c>
      <c r="F171" s="2">
        <v>431.78955921903253</v>
      </c>
      <c r="G171" s="2">
        <v>117.80390578322113</v>
      </c>
      <c r="H171" s="2">
        <v>17.265591223258525</v>
      </c>
      <c r="I171" s="2">
        <v>0.85816851299721753</v>
      </c>
      <c r="J171" s="2">
        <v>9</v>
      </c>
      <c r="K171" s="2">
        <v>192.13162661916738</v>
      </c>
      <c r="L171" s="2">
        <v>60</v>
      </c>
      <c r="M171" s="2">
        <v>25</v>
      </c>
      <c r="N171" s="2">
        <v>1.2300012522935992</v>
      </c>
      <c r="O171" s="2">
        <v>52.176444883932142</v>
      </c>
      <c r="P171" s="2">
        <v>1483.9318108395673</v>
      </c>
      <c r="Q171" s="2">
        <v>1.222556118755163</v>
      </c>
      <c r="R171" s="2">
        <v>51.846950617081092</v>
      </c>
      <c r="S171" s="2">
        <v>1505.6281190415066</v>
      </c>
      <c r="T171" s="2">
        <v>-7.4451335384362327E-3</v>
      </c>
      <c r="U171" s="2">
        <v>-0.3294942668510501</v>
      </c>
      <c r="V171" s="2">
        <v>21.696308201939246</v>
      </c>
    </row>
    <row r="172" spans="1:22" ht="15">
      <c r="A172" s="2">
        <v>171</v>
      </c>
      <c r="B172" s="2" t="s">
        <v>78</v>
      </c>
      <c r="C172" s="2" t="s">
        <v>13</v>
      </c>
      <c r="D172" s="2">
        <v>1390.1782690314576</v>
      </c>
      <c r="E172" s="2">
        <v>1114.2357258708216</v>
      </c>
      <c r="F172" s="2">
        <v>365.41496105492115</v>
      </c>
      <c r="G172" s="2">
        <v>256.54820735333487</v>
      </c>
      <c r="H172" s="2">
        <v>26.819838658906519</v>
      </c>
      <c r="I172" s="2">
        <v>0.82543658292619515</v>
      </c>
      <c r="J172" s="2">
        <v>9</v>
      </c>
      <c r="K172" s="2">
        <v>187.13036871594232</v>
      </c>
      <c r="L172" s="2">
        <v>40</v>
      </c>
      <c r="M172" s="2">
        <v>25</v>
      </c>
      <c r="N172" s="2">
        <v>1.1891947217489538</v>
      </c>
      <c r="O172" s="2">
        <v>52.245716812590459</v>
      </c>
      <c r="P172" s="2">
        <v>1390.1782690314576</v>
      </c>
      <c r="Q172" s="2">
        <v>1.1795860142004895</v>
      </c>
      <c r="R172" s="2">
        <v>53.165437317820398</v>
      </c>
      <c r="S172" s="2">
        <v>1375.5011762088245</v>
      </c>
      <c r="T172" s="2">
        <v>-9.6087075484643236E-3</v>
      </c>
      <c r="U172" s="2">
        <v>0.91972050522993953</v>
      </c>
      <c r="V172" s="2">
        <v>-14.677092822633085</v>
      </c>
    </row>
    <row r="173" spans="1:22" ht="15">
      <c r="A173" s="2">
        <v>172</v>
      </c>
      <c r="B173" s="2" t="s">
        <v>78</v>
      </c>
      <c r="C173" s="2" t="s">
        <v>13</v>
      </c>
      <c r="D173" s="2">
        <v>1472.2545085824095</v>
      </c>
      <c r="E173" s="2">
        <v>692.33610122464597</v>
      </c>
      <c r="F173" s="2">
        <v>443.74469919130206</v>
      </c>
      <c r="G173" s="2">
        <v>136.1553695006296</v>
      </c>
      <c r="H173" s="2">
        <v>14.638282525818795</v>
      </c>
      <c r="I173" s="2">
        <v>0.8040470397844911</v>
      </c>
      <c r="J173" s="2">
        <v>10</v>
      </c>
      <c r="K173" s="2">
        <v>183.10551942048292</v>
      </c>
      <c r="L173" s="2">
        <v>55</v>
      </c>
      <c r="M173" s="2">
        <v>25</v>
      </c>
      <c r="N173" s="2">
        <v>1.222846373302495</v>
      </c>
      <c r="O173" s="2">
        <v>52.195414916438047</v>
      </c>
      <c r="P173" s="2">
        <v>1472.2545085824095</v>
      </c>
      <c r="Q173" s="2">
        <v>1.2261519956799016</v>
      </c>
      <c r="R173" s="2">
        <v>52.571342829138814</v>
      </c>
      <c r="S173" s="2">
        <v>1490.2052819044518</v>
      </c>
      <c r="T173" s="2">
        <v>3.305622377406614E-3</v>
      </c>
      <c r="U173" s="2">
        <v>0.37592791270076731</v>
      </c>
      <c r="V173" s="2">
        <v>17.950773322042323</v>
      </c>
    </row>
    <row r="174" spans="1:22" ht="15">
      <c r="A174" s="2">
        <v>173</v>
      </c>
      <c r="B174" s="2" t="s">
        <v>78</v>
      </c>
      <c r="C174" s="2" t="s">
        <v>13</v>
      </c>
      <c r="D174" s="2">
        <v>1452.1252123173326</v>
      </c>
      <c r="E174" s="2">
        <v>1052.5850507314317</v>
      </c>
      <c r="F174" s="2">
        <v>556.1617961153388</v>
      </c>
      <c r="G174" s="2">
        <v>303.81629591109231</v>
      </c>
      <c r="H174" s="2">
        <v>19.349219564348459</v>
      </c>
      <c r="I174" s="2">
        <v>0.84373722620541236</v>
      </c>
      <c r="J174" s="2">
        <v>9</v>
      </c>
      <c r="K174" s="2">
        <v>191.2292604875017</v>
      </c>
      <c r="L174" s="2">
        <v>40</v>
      </c>
      <c r="M174" s="2">
        <v>25</v>
      </c>
      <c r="N174" s="2">
        <v>1.257034261734767</v>
      </c>
      <c r="O174" s="2">
        <v>52.273216408034514</v>
      </c>
      <c r="P174" s="2">
        <v>1452.1252123173326</v>
      </c>
      <c r="Q174" s="2">
        <v>1.2740686029795945</v>
      </c>
      <c r="R174" s="2">
        <v>51.897566917078969</v>
      </c>
      <c r="S174" s="2">
        <v>1444.1639448192702</v>
      </c>
      <c r="T174" s="2">
        <v>1.70343412448275E-2</v>
      </c>
      <c r="U174" s="2">
        <v>-0.37564949095554567</v>
      </c>
      <c r="V174" s="2">
        <v>-7.9612674980623979</v>
      </c>
    </row>
    <row r="175" spans="1:22" ht="15">
      <c r="A175" s="2">
        <v>174</v>
      </c>
      <c r="B175" s="2" t="s">
        <v>78</v>
      </c>
      <c r="C175" s="2" t="s">
        <v>13</v>
      </c>
      <c r="D175" s="2">
        <v>1351.0870164376684</v>
      </c>
      <c r="E175" s="2">
        <v>1039.5997919840738</v>
      </c>
      <c r="F175" s="2">
        <v>655.96706019714475</v>
      </c>
      <c r="G175" s="2">
        <v>277.06365093588829</v>
      </c>
      <c r="H175" s="2">
        <v>24.068012634757906</v>
      </c>
      <c r="I175" s="2">
        <v>0.8406684366567061</v>
      </c>
      <c r="J175" s="2">
        <v>9</v>
      </c>
      <c r="K175" s="2">
        <v>178.57311284483069</v>
      </c>
      <c r="L175" s="2">
        <v>35</v>
      </c>
      <c r="M175" s="2">
        <v>25</v>
      </c>
      <c r="N175" s="2">
        <v>1.1865283772865116</v>
      </c>
      <c r="O175" s="2">
        <v>52.282582411198533</v>
      </c>
      <c r="P175" s="2">
        <v>1351.0870164376684</v>
      </c>
      <c r="Q175" s="2">
        <v>1.1875161152033178</v>
      </c>
      <c r="R175" s="2">
        <v>52.527332858048524</v>
      </c>
      <c r="S175" s="2">
        <v>1334.9721576460772</v>
      </c>
      <c r="T175" s="2">
        <v>9.8773791680617506E-4</v>
      </c>
      <c r="U175" s="2">
        <v>0.24475044684999148</v>
      </c>
      <c r="V175" s="2">
        <v>-16.114858791591132</v>
      </c>
    </row>
    <row r="176" spans="1:22" ht="15">
      <c r="A176" s="2">
        <v>175</v>
      </c>
      <c r="B176" s="2" t="s">
        <v>79</v>
      </c>
      <c r="C176" s="2" t="s">
        <v>13</v>
      </c>
      <c r="D176" s="2">
        <v>1444.9795807013288</v>
      </c>
      <c r="E176" s="2">
        <v>1128.567326173652</v>
      </c>
      <c r="F176" s="2">
        <v>554.33438792824745</v>
      </c>
      <c r="G176" s="2">
        <v>199.68340951716527</v>
      </c>
      <c r="H176" s="2">
        <v>15.5894326409325</v>
      </c>
      <c r="I176" s="2">
        <v>0.82041863864054909</v>
      </c>
      <c r="J176" s="2">
        <v>9</v>
      </c>
      <c r="K176" s="2">
        <v>195.69678110998581</v>
      </c>
      <c r="L176" s="2">
        <v>40</v>
      </c>
      <c r="M176" s="2">
        <v>25</v>
      </c>
      <c r="N176" s="2">
        <v>1.2188596695299101</v>
      </c>
      <c r="O176" s="2">
        <v>52.268542085400306</v>
      </c>
      <c r="P176" s="2">
        <v>1444.9795807013288</v>
      </c>
      <c r="Q176" s="2">
        <v>1.2381461497631561</v>
      </c>
      <c r="R176" s="2">
        <v>52.119385596622323</v>
      </c>
      <c r="S176" s="2">
        <v>1443.6900716943971</v>
      </c>
      <c r="T176" s="2">
        <v>1.9286480233245973E-2</v>
      </c>
      <c r="U176" s="2">
        <v>-0.14915648877798304</v>
      </c>
      <c r="V176" s="2">
        <v>-1.2895090069316666</v>
      </c>
    </row>
    <row r="177" spans="1:22" ht="15">
      <c r="A177" s="2">
        <v>176</v>
      </c>
      <c r="B177" s="2" t="s">
        <v>79</v>
      </c>
      <c r="C177" s="2" t="s">
        <v>13</v>
      </c>
      <c r="D177" s="2">
        <v>1492.0488435658626</v>
      </c>
      <c r="E177" s="2">
        <v>975.90220812708139</v>
      </c>
      <c r="F177" s="2">
        <v>550.87810000404716</v>
      </c>
      <c r="G177" s="2">
        <v>276.14776608068496</v>
      </c>
      <c r="H177" s="2">
        <v>22.903015190269798</v>
      </c>
      <c r="I177" s="2">
        <v>0.84266888848505916</v>
      </c>
      <c r="J177" s="2">
        <v>9</v>
      </c>
      <c r="K177" s="2">
        <v>196.73587942554116</v>
      </c>
      <c r="L177" s="2">
        <v>40</v>
      </c>
      <c r="M177" s="2">
        <v>25</v>
      </c>
      <c r="N177" s="2">
        <v>1.209456448111365</v>
      </c>
      <c r="O177" s="2">
        <v>52.256121559971469</v>
      </c>
      <c r="P177" s="2">
        <v>1492.0488435658626</v>
      </c>
      <c r="Q177" s="2">
        <v>1.2226133567136672</v>
      </c>
      <c r="R177" s="2">
        <v>53.545095199250397</v>
      </c>
      <c r="S177" s="2">
        <v>1475.780939395524</v>
      </c>
      <c r="T177" s="2">
        <v>1.3156908602302231E-2</v>
      </c>
      <c r="U177" s="2">
        <v>1.2889736392789288</v>
      </c>
      <c r="V177" s="2">
        <v>-16.267904170338625</v>
      </c>
    </row>
    <row r="178" spans="1:22" ht="15">
      <c r="A178" s="2">
        <v>177</v>
      </c>
      <c r="B178" s="2" t="s">
        <v>79</v>
      </c>
      <c r="C178" s="2" t="s">
        <v>13</v>
      </c>
      <c r="D178" s="2">
        <v>1371.084198821336</v>
      </c>
      <c r="E178" s="2">
        <v>649.63088122894987</v>
      </c>
      <c r="F178" s="2">
        <v>501.3980308547616</v>
      </c>
      <c r="G178" s="2">
        <v>268.58481949428096</v>
      </c>
      <c r="H178" s="2">
        <v>26.100342588499188</v>
      </c>
      <c r="I178" s="2">
        <v>0.80890196322696284</v>
      </c>
      <c r="J178" s="2">
        <v>9</v>
      </c>
      <c r="K178" s="2">
        <v>188.33269751279082</v>
      </c>
      <c r="L178" s="2">
        <v>50</v>
      </c>
      <c r="M178" s="2">
        <v>25</v>
      </c>
      <c r="N178" s="2">
        <v>1.1817299249686721</v>
      </c>
      <c r="O178" s="2">
        <v>52.196353271096299</v>
      </c>
      <c r="P178" s="2">
        <v>1371.084198821336</v>
      </c>
      <c r="Q178" s="2">
        <v>1.1758185460304489</v>
      </c>
      <c r="R178" s="2">
        <v>51.63495634981787</v>
      </c>
      <c r="S178" s="2">
        <v>1371.9007861651585</v>
      </c>
      <c r="T178" s="2">
        <v>-5.911378938223244E-3</v>
      </c>
      <c r="U178" s="2">
        <v>-0.56139692127842977</v>
      </c>
      <c r="V178" s="2">
        <v>0.81658734382244802</v>
      </c>
    </row>
    <row r="179" spans="1:22" ht="15">
      <c r="A179" s="2">
        <v>178</v>
      </c>
      <c r="B179" s="2" t="s">
        <v>80</v>
      </c>
      <c r="C179" s="2" t="s">
        <v>13</v>
      </c>
      <c r="D179" s="2">
        <v>1413.1824932643212</v>
      </c>
      <c r="E179" s="2">
        <v>1141.7142910184339</v>
      </c>
      <c r="F179" s="2">
        <v>493.81639445200562</v>
      </c>
      <c r="G179" s="2">
        <v>129.00150862522423</v>
      </c>
      <c r="H179" s="2">
        <v>11.974202722776681</v>
      </c>
      <c r="I179" s="2">
        <v>0.81221108036581435</v>
      </c>
      <c r="J179" s="2">
        <v>9</v>
      </c>
      <c r="K179" s="2">
        <v>193.32447047958047</v>
      </c>
      <c r="L179" s="2">
        <v>45</v>
      </c>
      <c r="M179" s="2">
        <v>25</v>
      </c>
      <c r="N179" s="2">
        <v>1.2536418914603054</v>
      </c>
      <c r="O179" s="2">
        <v>52.250134682364362</v>
      </c>
      <c r="P179" s="2">
        <v>1413.1824932643212</v>
      </c>
      <c r="Q179" s="2">
        <v>1.2740024832475398</v>
      </c>
      <c r="R179" s="2">
        <v>53.832295858868726</v>
      </c>
      <c r="S179" s="2">
        <v>1423.4145113351351</v>
      </c>
      <c r="T179" s="2">
        <v>2.0360591787234483E-2</v>
      </c>
      <c r="U179" s="2">
        <v>1.5821611765043642</v>
      </c>
      <c r="V179" s="2">
        <v>10.232018070813865</v>
      </c>
    </row>
    <row r="180" spans="1:22" ht="15">
      <c r="A180" s="2">
        <v>179</v>
      </c>
      <c r="B180" s="2" t="s">
        <v>80</v>
      </c>
      <c r="C180" s="2" t="s">
        <v>13</v>
      </c>
      <c r="D180" s="2">
        <v>1364.414588897489</v>
      </c>
      <c r="E180" s="2">
        <v>942.31075156712905</v>
      </c>
      <c r="F180" s="2">
        <v>446.7362817376852</v>
      </c>
      <c r="G180" s="2">
        <v>113.61663100076839</v>
      </c>
      <c r="H180" s="2">
        <v>10.792552155442536</v>
      </c>
      <c r="I180" s="2">
        <v>0.8156773789669387</v>
      </c>
      <c r="J180" s="2">
        <v>9</v>
      </c>
      <c r="K180" s="2">
        <v>185.85978341168962</v>
      </c>
      <c r="L180" s="2">
        <v>50</v>
      </c>
      <c r="M180" s="2">
        <v>25</v>
      </c>
      <c r="N180" s="2">
        <v>1.1782540026488399</v>
      </c>
      <c r="O180" s="2">
        <v>52.209302831856846</v>
      </c>
      <c r="P180" s="2">
        <v>1364.414588897489</v>
      </c>
      <c r="Q180" s="2">
        <v>1.1890224574940276</v>
      </c>
      <c r="R180" s="2">
        <v>52.133362943808379</v>
      </c>
      <c r="S180" s="2">
        <v>1367.6306096967141</v>
      </c>
      <c r="T180" s="2">
        <v>1.0768454845187625E-2</v>
      </c>
      <c r="U180" s="2">
        <v>-7.5939888048466742E-2</v>
      </c>
      <c r="V180" s="2">
        <v>3.2160207992251344</v>
      </c>
    </row>
    <row r="181" spans="1:22" ht="15">
      <c r="A181" s="2">
        <v>180</v>
      </c>
      <c r="B181" s="2" t="s">
        <v>80</v>
      </c>
      <c r="C181" s="2" t="s">
        <v>13</v>
      </c>
      <c r="D181" s="2">
        <v>1423.4960616915487</v>
      </c>
      <c r="E181" s="2">
        <v>1109.1550576034933</v>
      </c>
      <c r="F181" s="2">
        <v>519.66254590079188</v>
      </c>
      <c r="G181" s="2">
        <v>107.27669046726078</v>
      </c>
      <c r="H181" s="2">
        <v>11.715096920263022</v>
      </c>
      <c r="I181" s="2">
        <v>0.81193766975775361</v>
      </c>
      <c r="J181" s="2">
        <v>9</v>
      </c>
      <c r="K181" s="2">
        <v>194.80094959016813</v>
      </c>
      <c r="L181" s="2">
        <v>45</v>
      </c>
      <c r="M181" s="2">
        <v>25</v>
      </c>
      <c r="N181" s="2">
        <v>1.233113197519164</v>
      </c>
      <c r="O181" s="2">
        <v>52.245700502787507</v>
      </c>
      <c r="P181" s="2">
        <v>1423.4960616915487</v>
      </c>
      <c r="Q181" s="2">
        <v>1.24259400966151</v>
      </c>
      <c r="R181" s="2">
        <v>53.755314310136455</v>
      </c>
      <c r="S181" s="2">
        <v>1420.7867112619481</v>
      </c>
      <c r="T181" s="2">
        <v>9.4808121423459735E-3</v>
      </c>
      <c r="U181" s="2">
        <v>1.5096138073489485</v>
      </c>
      <c r="V181" s="2">
        <v>-2.7093504296005904</v>
      </c>
    </row>
    <row r="182" spans="1:22" ht="15">
      <c r="A182" s="2">
        <v>181</v>
      </c>
      <c r="B182" s="2" t="s">
        <v>78</v>
      </c>
      <c r="C182" s="2" t="s">
        <v>13</v>
      </c>
      <c r="D182" s="2">
        <v>1441.0042141098529</v>
      </c>
      <c r="E182" s="2">
        <v>1141.2393949809484</v>
      </c>
      <c r="F182" s="2">
        <v>446.84605877846479</v>
      </c>
      <c r="G182" s="2">
        <v>317.75963328080252</v>
      </c>
      <c r="H182" s="2">
        <v>22.309127449989319</v>
      </c>
      <c r="I182" s="2">
        <v>0.79497060096124195</v>
      </c>
      <c r="J182" s="2">
        <v>10</v>
      </c>
      <c r="K182" s="2">
        <v>181.26509488117634</v>
      </c>
      <c r="L182" s="2">
        <v>35</v>
      </c>
      <c r="M182" s="2">
        <v>25</v>
      </c>
      <c r="N182" s="2">
        <v>1.2399054716229909</v>
      </c>
      <c r="O182" s="2">
        <v>52.305187661329711</v>
      </c>
      <c r="P182" s="2">
        <v>1441.0042141098529</v>
      </c>
      <c r="Q182" s="2">
        <v>1.2515661057105274</v>
      </c>
      <c r="R182" s="2">
        <v>53.707211615426218</v>
      </c>
      <c r="S182" s="2">
        <v>1424.6055649371651</v>
      </c>
      <c r="T182" s="2">
        <v>1.1660634087536481E-2</v>
      </c>
      <c r="U182" s="2">
        <v>1.4020239540965065</v>
      </c>
      <c r="V182" s="2">
        <v>-16.398649172687783</v>
      </c>
    </row>
    <row r="183" spans="1:22" ht="15">
      <c r="A183" s="2">
        <v>182</v>
      </c>
      <c r="B183" s="2" t="s">
        <v>78</v>
      </c>
      <c r="C183" s="2" t="s">
        <v>13</v>
      </c>
      <c r="D183" s="2">
        <v>1398.4102250193246</v>
      </c>
      <c r="E183" s="2">
        <v>882.57877768483013</v>
      </c>
      <c r="F183" s="2">
        <v>407.45847644284368</v>
      </c>
      <c r="G183" s="2">
        <v>308.08013344183564</v>
      </c>
      <c r="H183" s="2">
        <v>20.595815292093903</v>
      </c>
      <c r="I183" s="2">
        <v>0.82386271638330077</v>
      </c>
      <c r="J183" s="2">
        <v>9</v>
      </c>
      <c r="K183" s="2">
        <v>188.59806470322934</v>
      </c>
      <c r="L183" s="2">
        <v>45</v>
      </c>
      <c r="M183" s="2">
        <v>25</v>
      </c>
      <c r="N183" s="2">
        <v>1.1822877750745506</v>
      </c>
      <c r="O183" s="2">
        <v>52.224186453656777</v>
      </c>
      <c r="P183" s="2">
        <v>1398.4102250193246</v>
      </c>
      <c r="Q183" s="2">
        <v>1.1767721803567897</v>
      </c>
      <c r="R183" s="2">
        <v>51.749280873000359</v>
      </c>
      <c r="S183" s="2">
        <v>1402.399073804527</v>
      </c>
      <c r="T183" s="2">
        <v>-5.5155947177609743E-3</v>
      </c>
      <c r="U183" s="2">
        <v>-0.47490558065641864</v>
      </c>
      <c r="V183" s="2">
        <v>3.9888487852024355</v>
      </c>
    </row>
    <row r="184" spans="1:22" ht="15">
      <c r="A184" s="2">
        <v>183</v>
      </c>
      <c r="B184" s="2" t="s">
        <v>78</v>
      </c>
      <c r="C184" s="2" t="s">
        <v>13</v>
      </c>
      <c r="D184" s="2">
        <v>1395.2429824741557</v>
      </c>
      <c r="E184" s="2">
        <v>646.85628992738202</v>
      </c>
      <c r="F184" s="2">
        <v>423.49880486726761</v>
      </c>
      <c r="G184" s="2">
        <v>262.87429859628901</v>
      </c>
      <c r="H184" s="2">
        <v>21.278142343275249</v>
      </c>
      <c r="I184" s="2">
        <v>0.82524638611590495</v>
      </c>
      <c r="J184" s="2">
        <v>9</v>
      </c>
      <c r="K184" s="2">
        <v>187.85540980352818</v>
      </c>
      <c r="L184" s="2">
        <v>55</v>
      </c>
      <c r="M184" s="2">
        <v>25</v>
      </c>
      <c r="N184" s="2">
        <v>1.1884648605645778</v>
      </c>
      <c r="O184" s="2">
        <v>52.182883793164486</v>
      </c>
      <c r="P184" s="2">
        <v>1395.2429824741557</v>
      </c>
      <c r="Q184" s="2">
        <v>1.1804040877046575</v>
      </c>
      <c r="R184" s="2">
        <v>52.345809739237254</v>
      </c>
      <c r="S184" s="2">
        <v>1405.7442523021891</v>
      </c>
      <c r="T184" s="2">
        <v>-8.06077285992024E-3</v>
      </c>
      <c r="U184" s="2">
        <v>0.16292594607276811</v>
      </c>
      <c r="V184" s="2">
        <v>10.501269828033401</v>
      </c>
    </row>
    <row r="185" spans="1:22" ht="15">
      <c r="A185" s="2">
        <v>184</v>
      </c>
      <c r="B185" s="2" t="s">
        <v>78</v>
      </c>
      <c r="C185" s="2" t="s">
        <v>13</v>
      </c>
      <c r="D185" s="2">
        <v>1439.9121052469127</v>
      </c>
      <c r="E185" s="2">
        <v>1173.7173574976623</v>
      </c>
      <c r="F185" s="2">
        <v>373.34337150678039</v>
      </c>
      <c r="G185" s="2">
        <v>154.9278204748407</v>
      </c>
      <c r="H185" s="2">
        <v>11.466573213692755</v>
      </c>
      <c r="I185" s="2">
        <v>0.85672914606519046</v>
      </c>
      <c r="J185" s="2">
        <v>9</v>
      </c>
      <c r="K185" s="2">
        <v>186.74540798702978</v>
      </c>
      <c r="L185" s="2">
        <v>45</v>
      </c>
      <c r="M185" s="2">
        <v>25</v>
      </c>
      <c r="N185" s="2">
        <v>1.2087983549164765</v>
      </c>
      <c r="O185" s="2">
        <v>52.240382564577558</v>
      </c>
      <c r="P185" s="2">
        <v>1439.9121052469127</v>
      </c>
      <c r="Q185" s="2">
        <v>1.2254080597413308</v>
      </c>
      <c r="R185" s="2">
        <v>52.687547585972617</v>
      </c>
      <c r="S185" s="2">
        <v>1442.0840164994415</v>
      </c>
      <c r="T185" s="2">
        <v>1.6609704824854354E-2</v>
      </c>
      <c r="U185" s="2">
        <v>0.4471650213950582</v>
      </c>
      <c r="V185" s="2">
        <v>2.1719112525288438</v>
      </c>
    </row>
    <row r="186" spans="1:22" ht="15">
      <c r="A186" s="2">
        <v>185</v>
      </c>
      <c r="B186" s="2" t="s">
        <v>78</v>
      </c>
      <c r="C186" s="2" t="s">
        <v>13</v>
      </c>
      <c r="D186" s="2">
        <v>1413.9423217624426</v>
      </c>
      <c r="E186" s="2">
        <v>940.34791126614437</v>
      </c>
      <c r="F186" s="2">
        <v>664.11966849118471</v>
      </c>
      <c r="G186" s="2">
        <v>164.76404898101464</v>
      </c>
      <c r="H186" s="2">
        <v>24.51294626109302</v>
      </c>
      <c r="I186" s="2">
        <v>0.82521872219862424</v>
      </c>
      <c r="J186" s="2">
        <v>9</v>
      </c>
      <c r="K186" s="2">
        <v>190.37946933568867</v>
      </c>
      <c r="L186" s="2">
        <v>40</v>
      </c>
      <c r="M186" s="2">
        <v>25</v>
      </c>
      <c r="N186" s="2">
        <v>1.1973959389325877</v>
      </c>
      <c r="O186" s="2">
        <v>52.250867441711023</v>
      </c>
      <c r="P186" s="2">
        <v>1413.9423217624426</v>
      </c>
      <c r="Q186" s="2">
        <v>1.2021958080441593</v>
      </c>
      <c r="R186" s="2">
        <v>52.108857453008667</v>
      </c>
      <c r="S186" s="2">
        <v>1396.774821275458</v>
      </c>
      <c r="T186" s="2">
        <v>4.7998691115715975E-3</v>
      </c>
      <c r="U186" s="2">
        <v>-0.14200998870235537</v>
      </c>
      <c r="V186" s="2">
        <v>-17.167500486984636</v>
      </c>
    </row>
    <row r="187" spans="1:22" ht="15">
      <c r="A187" s="2">
        <v>186</v>
      </c>
      <c r="B187" s="2" t="s">
        <v>78</v>
      </c>
      <c r="C187" s="2" t="s">
        <v>13</v>
      </c>
      <c r="D187" s="2">
        <v>1391.7712392867543</v>
      </c>
      <c r="E187" s="2">
        <v>1065.7639159122482</v>
      </c>
      <c r="F187" s="2">
        <v>371.89416447654366</v>
      </c>
      <c r="G187" s="2">
        <v>254.09531748853624</v>
      </c>
      <c r="H187" s="2">
        <v>13.927644711453468</v>
      </c>
      <c r="I187" s="2">
        <v>0.80274899654556064</v>
      </c>
      <c r="J187" s="2">
        <v>9</v>
      </c>
      <c r="K187" s="2">
        <v>192.63960400461562</v>
      </c>
      <c r="L187" s="2">
        <v>45</v>
      </c>
      <c r="M187" s="2">
        <v>25</v>
      </c>
      <c r="N187" s="2">
        <v>1.2138841029140115</v>
      </c>
      <c r="O187" s="2">
        <v>52.238786648564023</v>
      </c>
      <c r="P187" s="2">
        <v>1391.7712392867543</v>
      </c>
      <c r="Q187" s="2">
        <v>1.2259752909555266</v>
      </c>
      <c r="R187" s="2">
        <v>53.560343754910392</v>
      </c>
      <c r="S187" s="2">
        <v>1395.0165951263887</v>
      </c>
      <c r="T187" s="2">
        <v>1.20911880415151E-2</v>
      </c>
      <c r="U187" s="2">
        <v>1.3215571063463685</v>
      </c>
      <c r="V187" s="2">
        <v>3.2453558396343851</v>
      </c>
    </row>
    <row r="188" spans="1:22" ht="15">
      <c r="A188" s="2">
        <v>187</v>
      </c>
      <c r="B188" s="2" t="s">
        <v>78</v>
      </c>
      <c r="C188" s="2" t="s">
        <v>13</v>
      </c>
      <c r="D188" s="2">
        <v>1406.183182890527</v>
      </c>
      <c r="E188" s="2">
        <v>1024.2812179611064</v>
      </c>
      <c r="F188" s="2">
        <v>687.08978034555912</v>
      </c>
      <c r="G188" s="2">
        <v>118.1605505826883</v>
      </c>
      <c r="H188" s="2">
        <v>29.953856536187232</v>
      </c>
      <c r="I188" s="2">
        <v>0.79077761235414079</v>
      </c>
      <c r="J188" s="2">
        <v>9</v>
      </c>
      <c r="K188" s="2">
        <v>197.5809297529199</v>
      </c>
      <c r="L188" s="2">
        <v>35</v>
      </c>
      <c r="M188" s="2">
        <v>25</v>
      </c>
      <c r="N188" s="2">
        <v>1.1438321355544201</v>
      </c>
      <c r="O188" s="2">
        <v>52.260269706760575</v>
      </c>
      <c r="P188" s="2">
        <v>1406.183182890527</v>
      </c>
      <c r="Q188" s="2">
        <v>1.1318824268197025</v>
      </c>
      <c r="R188" s="2">
        <v>53.541186364685615</v>
      </c>
      <c r="S188" s="2">
        <v>1388.7874085864175</v>
      </c>
      <c r="T188" s="2">
        <v>-1.1949708734717568E-2</v>
      </c>
      <c r="U188" s="2">
        <v>1.2809166579250402</v>
      </c>
      <c r="V188" s="2">
        <v>-17.395774304109409</v>
      </c>
    </row>
    <row r="189" spans="1:22" ht="15">
      <c r="A189" s="2">
        <v>188</v>
      </c>
      <c r="B189" s="2" t="s">
        <v>78</v>
      </c>
      <c r="C189" s="2" t="s">
        <v>13</v>
      </c>
      <c r="D189" s="2">
        <v>1461.9599853060208</v>
      </c>
      <c r="E189" s="2">
        <v>946.45736771635711</v>
      </c>
      <c r="F189" s="2">
        <v>721.34907795116305</v>
      </c>
      <c r="G189" s="2">
        <v>279.00240551214665</v>
      </c>
      <c r="H189" s="2">
        <v>11.348584722261876</v>
      </c>
      <c r="I189" s="2">
        <v>0.85420374020934109</v>
      </c>
      <c r="J189" s="2">
        <v>9</v>
      </c>
      <c r="K189" s="2">
        <v>190.16540284350219</v>
      </c>
      <c r="L189" s="2">
        <v>40</v>
      </c>
      <c r="M189" s="2">
        <v>25</v>
      </c>
      <c r="N189" s="2">
        <v>1.2344747972043033</v>
      </c>
      <c r="O189" s="2">
        <v>52.278556170120183</v>
      </c>
      <c r="P189" s="2">
        <v>1461.9599853060208</v>
      </c>
      <c r="Q189" s="2">
        <v>1.2456355609618015</v>
      </c>
      <c r="R189" s="2">
        <v>53.280385061812439</v>
      </c>
      <c r="S189" s="2">
        <v>1463.8210060583397</v>
      </c>
      <c r="T189" s="2">
        <v>1.1160763757498193E-2</v>
      </c>
      <c r="U189" s="2">
        <v>1.0018288916922558</v>
      </c>
      <c r="V189" s="2">
        <v>1.8610207523188365</v>
      </c>
    </row>
    <row r="190" spans="1:22" ht="15">
      <c r="A190" s="2">
        <v>189</v>
      </c>
      <c r="B190" s="2" t="s">
        <v>78</v>
      </c>
      <c r="C190" s="2" t="s">
        <v>13</v>
      </c>
      <c r="D190" s="2">
        <v>1458.6332510691136</v>
      </c>
      <c r="E190" s="2">
        <v>806.46605313522741</v>
      </c>
      <c r="F190" s="2">
        <v>387.25482877343893</v>
      </c>
      <c r="G190" s="2">
        <v>135.18206098349765</v>
      </c>
      <c r="H190" s="2">
        <v>28.158648367971182</v>
      </c>
      <c r="I190" s="2">
        <v>0.80071697656298058</v>
      </c>
      <c r="J190" s="2">
        <v>10</v>
      </c>
      <c r="K190" s="2">
        <v>182.1658955365466</v>
      </c>
      <c r="L190" s="2">
        <v>50</v>
      </c>
      <c r="M190" s="2">
        <v>25</v>
      </c>
      <c r="N190" s="2">
        <v>1.2215522444592397</v>
      </c>
      <c r="O190" s="2">
        <v>52.205232434856065</v>
      </c>
      <c r="P190" s="2">
        <v>1458.6332510691136</v>
      </c>
      <c r="Q190" s="2">
        <v>1.2078176217228771</v>
      </c>
      <c r="R190" s="2">
        <v>52.343353850238188</v>
      </c>
      <c r="S190" s="2">
        <v>1457.2926514942374</v>
      </c>
      <c r="T190" s="2">
        <v>-1.3734622736362612E-2</v>
      </c>
      <c r="U190" s="2">
        <v>0.1381214153821233</v>
      </c>
      <c r="V190" s="2">
        <v>-1.3405995748762507</v>
      </c>
    </row>
    <row r="191" spans="1:22" ht="15">
      <c r="A191" s="2">
        <v>190</v>
      </c>
      <c r="B191" s="2" t="s">
        <v>78</v>
      </c>
      <c r="C191" s="2" t="s">
        <v>13</v>
      </c>
      <c r="D191" s="2">
        <v>1385.8171846834011</v>
      </c>
      <c r="E191" s="2">
        <v>967.22978155594319</v>
      </c>
      <c r="F191" s="2">
        <v>384.20836227014661</v>
      </c>
      <c r="G191" s="2">
        <v>310.39681557565928</v>
      </c>
      <c r="H191" s="2">
        <v>14.024749937001616</v>
      </c>
      <c r="I191" s="2">
        <v>0.80298940050881362</v>
      </c>
      <c r="J191" s="2">
        <v>9</v>
      </c>
      <c r="K191" s="2">
        <v>191.7580569425642</v>
      </c>
      <c r="L191" s="2">
        <v>45</v>
      </c>
      <c r="M191" s="2">
        <v>25</v>
      </c>
      <c r="N191" s="2">
        <v>1.194084033223672</v>
      </c>
      <c r="O191" s="2">
        <v>52.23412161604471</v>
      </c>
      <c r="P191" s="2">
        <v>1385.8171846834011</v>
      </c>
      <c r="Q191" s="2">
        <v>1.194065152524874</v>
      </c>
      <c r="R191" s="2">
        <v>52.699225430167417</v>
      </c>
      <c r="S191" s="2">
        <v>1384.6158206341836</v>
      </c>
      <c r="T191" s="2">
        <v>-1.8880698797962836E-5</v>
      </c>
      <c r="U191" s="2">
        <v>0.46510381412270618</v>
      </c>
      <c r="V191" s="2">
        <v>-1.2013640492175455</v>
      </c>
    </row>
    <row r="192" spans="1:22" ht="15">
      <c r="A192" s="2">
        <v>191</v>
      </c>
      <c r="B192" s="2" t="s">
        <v>78</v>
      </c>
      <c r="C192" s="2" t="s">
        <v>13</v>
      </c>
      <c r="D192" s="2">
        <v>1370.1114408904687</v>
      </c>
      <c r="E192" s="2">
        <v>953.41974749462679</v>
      </c>
      <c r="F192" s="2">
        <v>447.62626215815544</v>
      </c>
      <c r="G192" s="2">
        <v>235.27874551480636</v>
      </c>
      <c r="H192" s="2">
        <v>22.334762311540544</v>
      </c>
      <c r="I192" s="2">
        <v>0.83273217590292914</v>
      </c>
      <c r="J192" s="2">
        <v>9</v>
      </c>
      <c r="K192" s="2">
        <v>182.81340501622608</v>
      </c>
      <c r="L192" s="2">
        <v>45</v>
      </c>
      <c r="M192" s="2">
        <v>25</v>
      </c>
      <c r="N192" s="2">
        <v>1.2164134615392981</v>
      </c>
      <c r="O192" s="2">
        <v>52.230143937449505</v>
      </c>
      <c r="P192" s="2">
        <v>1370.1114408904687</v>
      </c>
      <c r="Q192" s="2">
        <v>1.2164183279765151</v>
      </c>
      <c r="R192" s="2">
        <v>51.908098251314868</v>
      </c>
      <c r="S192" s="2">
        <v>1371.4996333545996</v>
      </c>
      <c r="T192" s="2">
        <v>4.8664372169771042E-6</v>
      </c>
      <c r="U192" s="2">
        <v>-0.32204568613463636</v>
      </c>
      <c r="V192" s="2">
        <v>1.3881924641309524</v>
      </c>
    </row>
    <row r="193" spans="1:22" ht="15">
      <c r="A193" s="2">
        <v>192</v>
      </c>
      <c r="B193" s="2" t="s">
        <v>78</v>
      </c>
      <c r="C193" s="2" t="s">
        <v>13</v>
      </c>
      <c r="D193" s="2">
        <v>1353.8747573154978</v>
      </c>
      <c r="E193" s="2">
        <v>1101.9333582371473</v>
      </c>
      <c r="F193" s="2">
        <v>366.34699692949653</v>
      </c>
      <c r="G193" s="2">
        <v>129.68203708995134</v>
      </c>
      <c r="H193" s="2">
        <v>12.558764712419361</v>
      </c>
      <c r="I193" s="2">
        <v>0.81872047576121987</v>
      </c>
      <c r="J193" s="2">
        <v>9</v>
      </c>
      <c r="K193" s="2">
        <v>183.73856895510696</v>
      </c>
      <c r="L193" s="2">
        <v>45</v>
      </c>
      <c r="M193" s="2">
        <v>25</v>
      </c>
      <c r="N193" s="2">
        <v>1.1436833366135468</v>
      </c>
      <c r="O193" s="2">
        <v>52.224162286012607</v>
      </c>
      <c r="P193" s="2">
        <v>1353.8747573154978</v>
      </c>
      <c r="Q193" s="2">
        <v>1.1457741789690998</v>
      </c>
      <c r="R193" s="2">
        <v>53.2088167902875</v>
      </c>
      <c r="S193" s="2">
        <v>1367.3696162724309</v>
      </c>
      <c r="T193" s="2">
        <v>2.0908423555530131E-3</v>
      </c>
      <c r="U193" s="2">
        <v>0.98465450427489287</v>
      </c>
      <c r="V193" s="2">
        <v>13.494858956933058</v>
      </c>
    </row>
    <row r="194" spans="1:22" ht="15">
      <c r="A194" s="2">
        <v>193</v>
      </c>
      <c r="B194" s="2" t="s">
        <v>78</v>
      </c>
      <c r="C194" s="2" t="s">
        <v>13</v>
      </c>
      <c r="D194" s="2">
        <v>1417.5664233975112</v>
      </c>
      <c r="E194" s="2">
        <v>974.03573276242241</v>
      </c>
      <c r="F194" s="2">
        <v>677.08957139402628</v>
      </c>
      <c r="G194" s="2">
        <v>119.53239420661703</v>
      </c>
      <c r="H194" s="2">
        <v>27.138571092858911</v>
      </c>
      <c r="I194" s="2">
        <v>0.8512240248476155</v>
      </c>
      <c r="J194" s="2">
        <v>9</v>
      </c>
      <c r="K194" s="2">
        <v>185.03634270155604</v>
      </c>
      <c r="L194" s="2">
        <v>40</v>
      </c>
      <c r="M194" s="2">
        <v>25</v>
      </c>
      <c r="N194" s="2">
        <v>1.2117095094432555</v>
      </c>
      <c r="O194" s="2">
        <v>52.251089801617262</v>
      </c>
      <c r="P194" s="2">
        <v>1417.5664233975112</v>
      </c>
      <c r="Q194" s="2">
        <v>1.2213644712905671</v>
      </c>
      <c r="R194" s="2">
        <v>51.617680013316495</v>
      </c>
      <c r="S194" s="2">
        <v>1394.3297313068165</v>
      </c>
      <c r="T194" s="2">
        <v>9.6549618473116272E-3</v>
      </c>
      <c r="U194" s="2">
        <v>-0.63340978830076722</v>
      </c>
      <c r="V194" s="2">
        <v>-23.23669209069476</v>
      </c>
    </row>
    <row r="195" spans="1:22" ht="15">
      <c r="A195" s="2">
        <v>194</v>
      </c>
      <c r="B195" s="2" t="s">
        <v>78</v>
      </c>
      <c r="C195" s="2" t="s">
        <v>13</v>
      </c>
      <c r="D195" s="2">
        <v>1462.0071423822083</v>
      </c>
      <c r="E195" s="2">
        <v>1137.6970782177523</v>
      </c>
      <c r="F195" s="2">
        <v>370.03974551334977</v>
      </c>
      <c r="G195" s="2">
        <v>299.89237354137003</v>
      </c>
      <c r="H195" s="2">
        <v>22.263562910724431</v>
      </c>
      <c r="I195" s="2">
        <v>0.83533285586629069</v>
      </c>
      <c r="J195" s="2">
        <v>9</v>
      </c>
      <c r="K195" s="2">
        <v>194.46767465407791</v>
      </c>
      <c r="L195" s="2">
        <v>40</v>
      </c>
      <c r="M195" s="2">
        <v>25</v>
      </c>
      <c r="N195" s="2">
        <v>1.2089712230753469</v>
      </c>
      <c r="O195" s="2">
        <v>52.256854582584708</v>
      </c>
      <c r="P195" s="2">
        <v>1462.0071423822083</v>
      </c>
      <c r="Q195" s="2">
        <v>1.2228675442171295</v>
      </c>
      <c r="R195" s="2">
        <v>52.597902267063375</v>
      </c>
      <c r="S195" s="2">
        <v>1458.9532831959566</v>
      </c>
      <c r="T195" s="2">
        <v>1.389632114178263E-2</v>
      </c>
      <c r="U195" s="2">
        <v>0.34104768447866718</v>
      </c>
      <c r="V195" s="2">
        <v>-3.0538591862516569</v>
      </c>
    </row>
    <row r="196" spans="1:22" ht="15">
      <c r="A196" s="2">
        <v>195</v>
      </c>
      <c r="B196" s="2" t="s">
        <v>79</v>
      </c>
      <c r="C196" s="2" t="s">
        <v>13</v>
      </c>
      <c r="D196" s="2">
        <v>1405.1964800572023</v>
      </c>
      <c r="E196" s="2">
        <v>844.30211238795891</v>
      </c>
      <c r="F196" s="2">
        <v>735.88723056018353</v>
      </c>
      <c r="G196" s="2">
        <v>228.04711163742468</v>
      </c>
      <c r="H196" s="2">
        <v>23.621344421990216</v>
      </c>
      <c r="I196" s="2">
        <v>0.83937389121158057</v>
      </c>
      <c r="J196" s="2">
        <v>9</v>
      </c>
      <c r="K196" s="2">
        <v>186.01119699257083</v>
      </c>
      <c r="L196" s="2">
        <v>40</v>
      </c>
      <c r="M196" s="2">
        <v>25</v>
      </c>
      <c r="N196" s="2">
        <v>1.2163952970388769</v>
      </c>
      <c r="O196" s="2">
        <v>52.256949269181256</v>
      </c>
      <c r="P196" s="2">
        <v>1405.1964800572023</v>
      </c>
      <c r="Q196" s="2">
        <v>1.2165250006090169</v>
      </c>
      <c r="R196" s="2">
        <v>52.368691486772313</v>
      </c>
      <c r="S196" s="2">
        <v>1396.8434715623507</v>
      </c>
      <c r="T196" s="2">
        <v>1.297035701399718E-4</v>
      </c>
      <c r="U196" s="2">
        <v>0.11174221759105762</v>
      </c>
      <c r="V196" s="2">
        <v>-8.353008494851565</v>
      </c>
    </row>
    <row r="197" spans="1:22" ht="15">
      <c r="A197" s="2">
        <v>196</v>
      </c>
      <c r="B197" s="2" t="s">
        <v>79</v>
      </c>
      <c r="C197" s="2" t="s">
        <v>13</v>
      </c>
      <c r="D197" s="2">
        <v>1428.0381060554646</v>
      </c>
      <c r="E197" s="2">
        <v>660.19939524121583</v>
      </c>
      <c r="F197" s="2">
        <v>474.1895797662437</v>
      </c>
      <c r="G197" s="2">
        <v>301.67974745389074</v>
      </c>
      <c r="H197" s="2">
        <v>11.576995901297778</v>
      </c>
      <c r="I197" s="2">
        <v>0.82912396436557179</v>
      </c>
      <c r="J197" s="2">
        <v>9</v>
      </c>
      <c r="K197" s="2">
        <v>191.37174595386475</v>
      </c>
      <c r="L197" s="2">
        <v>55</v>
      </c>
      <c r="M197" s="2">
        <v>25</v>
      </c>
      <c r="N197" s="2">
        <v>1.2349837307868095</v>
      </c>
      <c r="O197" s="2">
        <v>52.198919015549791</v>
      </c>
      <c r="P197" s="2">
        <v>1428.0381060554646</v>
      </c>
      <c r="Q197" s="2">
        <v>1.2287155817804658</v>
      </c>
      <c r="R197" s="2">
        <v>51.286298746990141</v>
      </c>
      <c r="S197" s="2">
        <v>1438.2026224567817</v>
      </c>
      <c r="T197" s="2">
        <v>-6.2681490063436485E-3</v>
      </c>
      <c r="U197" s="2">
        <v>-0.91262026855964962</v>
      </c>
      <c r="V197" s="2">
        <v>10.164516401317087</v>
      </c>
    </row>
    <row r="198" spans="1:22" ht="15">
      <c r="A198" s="2">
        <v>197</v>
      </c>
      <c r="B198" s="2" t="s">
        <v>79</v>
      </c>
      <c r="C198" s="2" t="s">
        <v>13</v>
      </c>
      <c r="D198" s="2">
        <v>1471.045400435105</v>
      </c>
      <c r="E198" s="2">
        <v>1165.8009024220519</v>
      </c>
      <c r="F198" s="2">
        <v>565.72199892252684</v>
      </c>
      <c r="G198" s="2">
        <v>301.67731757508591</v>
      </c>
      <c r="H198" s="2">
        <v>29.652722351253033</v>
      </c>
      <c r="I198" s="2">
        <v>0.79911659272620461</v>
      </c>
      <c r="J198" s="2">
        <v>10</v>
      </c>
      <c r="K198" s="2">
        <v>184.08395143149258</v>
      </c>
      <c r="L198" s="2">
        <v>30</v>
      </c>
      <c r="M198" s="2">
        <v>25</v>
      </c>
      <c r="N198" s="2">
        <v>1.2074643784792463</v>
      </c>
      <c r="O198" s="2">
        <v>52.327251937927834</v>
      </c>
      <c r="P198" s="2">
        <v>1471.045400435105</v>
      </c>
      <c r="Q198" s="2">
        <v>1.2001109692240304</v>
      </c>
      <c r="R198" s="2">
        <v>52.174143103943159</v>
      </c>
      <c r="S198" s="2">
        <v>1448.2516795297474</v>
      </c>
      <c r="T198" s="2">
        <v>-7.3534092552158814E-3</v>
      </c>
      <c r="U198" s="2">
        <v>-0.15310883398467467</v>
      </c>
      <c r="V198" s="2">
        <v>-22.793720905357532</v>
      </c>
    </row>
    <row r="199" spans="1:22" ht="15">
      <c r="A199" s="2">
        <v>198</v>
      </c>
      <c r="B199" s="2" t="s">
        <v>80</v>
      </c>
      <c r="C199" s="2" t="s">
        <v>13</v>
      </c>
      <c r="D199" s="2">
        <v>1442.5234220107086</v>
      </c>
      <c r="E199" s="2">
        <v>749.20780619140714</v>
      </c>
      <c r="F199" s="2">
        <v>643.56611343100667</v>
      </c>
      <c r="G199" s="2">
        <v>223.36620969697833</v>
      </c>
      <c r="H199" s="2">
        <v>25.530731333885342</v>
      </c>
      <c r="I199" s="2">
        <v>0.81471328014042232</v>
      </c>
      <c r="J199" s="2">
        <v>9</v>
      </c>
      <c r="K199" s="2">
        <v>196.73225431625033</v>
      </c>
      <c r="L199" s="2">
        <v>45</v>
      </c>
      <c r="M199" s="2">
        <v>25</v>
      </c>
      <c r="N199" s="2">
        <v>1.2175794189574363</v>
      </c>
      <c r="O199" s="2">
        <v>52.226996649664123</v>
      </c>
      <c r="P199" s="2">
        <v>1442.5234220107086</v>
      </c>
      <c r="Q199" s="2">
        <v>1.2140931222693541</v>
      </c>
      <c r="R199" s="2">
        <v>50.823558218806923</v>
      </c>
      <c r="S199" s="2">
        <v>1425.3760838308585</v>
      </c>
      <c r="T199" s="2">
        <v>-3.4862966880822022E-3</v>
      </c>
      <c r="U199" s="2">
        <v>-1.4034384308572001</v>
      </c>
      <c r="V199" s="2">
        <v>-17.147338179850067</v>
      </c>
    </row>
    <row r="200" spans="1:22" ht="15">
      <c r="A200" s="2">
        <v>199</v>
      </c>
      <c r="B200" s="2" t="s">
        <v>80</v>
      </c>
      <c r="C200" s="2" t="s">
        <v>13</v>
      </c>
      <c r="D200" s="2">
        <v>1367.9384372429922</v>
      </c>
      <c r="E200" s="2">
        <v>654.8690460738726</v>
      </c>
      <c r="F200" s="2">
        <v>474.52941238880157</v>
      </c>
      <c r="G200" s="2">
        <v>89.114786924328655</v>
      </c>
      <c r="H200" s="2">
        <v>16.775554600171745</v>
      </c>
      <c r="I200" s="2">
        <v>0.83840928360586986</v>
      </c>
      <c r="J200" s="2">
        <v>9</v>
      </c>
      <c r="K200" s="2">
        <v>181.28754376378862</v>
      </c>
      <c r="L200" s="2">
        <v>60</v>
      </c>
      <c r="M200" s="2">
        <v>25</v>
      </c>
      <c r="N200" s="2">
        <v>1.1618968339966029</v>
      </c>
      <c r="O200" s="2">
        <v>52.164996677786966</v>
      </c>
      <c r="P200" s="2">
        <v>1367.9384372429922</v>
      </c>
      <c r="Q200" s="2">
        <v>1.1458164432336122</v>
      </c>
      <c r="R200" s="2">
        <v>52.097651687857649</v>
      </c>
      <c r="S200" s="2">
        <v>1378.508334910973</v>
      </c>
      <c r="T200" s="2">
        <v>-1.6080390762990726E-2</v>
      </c>
      <c r="U200" s="2">
        <v>-6.7344989929317478E-2</v>
      </c>
      <c r="V200" s="2">
        <v>10.56989766798074</v>
      </c>
    </row>
    <row r="201" spans="1:22" ht="15">
      <c r="A201" s="2">
        <v>200</v>
      </c>
      <c r="B201" s="2" t="s">
        <v>80</v>
      </c>
      <c r="C201" s="2" t="s">
        <v>13</v>
      </c>
      <c r="D201" s="2">
        <v>1441.4962899754755</v>
      </c>
      <c r="E201" s="2">
        <v>805.75370537117124</v>
      </c>
      <c r="F201" s="2">
        <v>713.0013114772737</v>
      </c>
      <c r="G201" s="2">
        <v>112.75868634227663</v>
      </c>
      <c r="H201" s="2">
        <v>26.603276667650789</v>
      </c>
      <c r="I201" s="2">
        <v>0.81637318992055952</v>
      </c>
      <c r="J201" s="2">
        <v>9</v>
      </c>
      <c r="K201" s="2">
        <v>196.19244779131603</v>
      </c>
      <c r="L201" s="2">
        <v>45</v>
      </c>
      <c r="M201" s="2">
        <v>25</v>
      </c>
      <c r="N201" s="2">
        <v>1.2329948655576055</v>
      </c>
      <c r="O201" s="2">
        <v>52.229393774170013</v>
      </c>
      <c r="P201" s="2">
        <v>1441.4962899754755</v>
      </c>
      <c r="Q201" s="2">
        <v>1.2264206152357202</v>
      </c>
      <c r="R201" s="2">
        <v>51.395360919885633</v>
      </c>
      <c r="S201" s="2">
        <v>1432.0078395142502</v>
      </c>
      <c r="T201" s="2">
        <v>-6.5742503218852999E-3</v>
      </c>
      <c r="U201" s="2">
        <v>-0.83403285428438068</v>
      </c>
      <c r="V201" s="2">
        <v>-9.488450461225284</v>
      </c>
    </row>
    <row r="202" spans="1:22" ht="15">
      <c r="A202" s="2">
        <v>201</v>
      </c>
      <c r="B202" s="2" t="s">
        <v>78</v>
      </c>
      <c r="C202" s="2" t="s">
        <v>13</v>
      </c>
      <c r="D202" s="2">
        <v>1369.948504306376</v>
      </c>
      <c r="E202" s="2">
        <v>901.34332109009847</v>
      </c>
      <c r="F202" s="2">
        <v>562.29641754180193</v>
      </c>
      <c r="G202" s="2">
        <v>323.02247312152758</v>
      </c>
      <c r="H202" s="2">
        <v>11.615885144099593</v>
      </c>
      <c r="I202" s="2">
        <v>0.85495038383873179</v>
      </c>
      <c r="J202" s="2">
        <v>9</v>
      </c>
      <c r="K202" s="2">
        <v>178.04132655632404</v>
      </c>
      <c r="L202" s="2">
        <v>40</v>
      </c>
      <c r="M202" s="2">
        <v>25</v>
      </c>
      <c r="N202" s="2">
        <v>1.1395083615965391</v>
      </c>
      <c r="O202" s="2">
        <v>52.25358530536765</v>
      </c>
      <c r="P202" s="2">
        <v>1369.948504306376</v>
      </c>
      <c r="Q202" s="2">
        <v>1.1566533712265126</v>
      </c>
      <c r="R202" s="2">
        <v>53.080498493707736</v>
      </c>
      <c r="S202" s="2">
        <v>1369.6458611106937</v>
      </c>
      <c r="T202" s="2">
        <v>1.7145009629973451E-2</v>
      </c>
      <c r="U202" s="2">
        <v>0.82691318834008598</v>
      </c>
      <c r="V202" s="2">
        <v>-0.30264319568232168</v>
      </c>
    </row>
    <row r="203" spans="1:22" ht="15">
      <c r="A203" s="2">
        <v>202</v>
      </c>
      <c r="B203" s="2" t="s">
        <v>78</v>
      </c>
      <c r="C203" s="2" t="s">
        <v>13</v>
      </c>
      <c r="D203" s="2">
        <v>1439.8900919244625</v>
      </c>
      <c r="E203" s="2">
        <v>992.90663453284651</v>
      </c>
      <c r="F203" s="2">
        <v>577.25536534562707</v>
      </c>
      <c r="G203" s="2">
        <v>287.14319939725101</v>
      </c>
      <c r="H203" s="2">
        <v>16.183445815462619</v>
      </c>
      <c r="I203" s="2">
        <v>0.83244379465002571</v>
      </c>
      <c r="J203" s="2">
        <v>9</v>
      </c>
      <c r="K203" s="2">
        <v>192.19049864966399</v>
      </c>
      <c r="L203" s="2">
        <v>40</v>
      </c>
      <c r="M203" s="2">
        <v>25</v>
      </c>
      <c r="N203" s="2">
        <v>1.2068103378579356</v>
      </c>
      <c r="O203" s="2">
        <v>52.264600313197064</v>
      </c>
      <c r="P203" s="2">
        <v>1439.8900919244625</v>
      </c>
      <c r="Q203" s="2">
        <v>1.2081570551195031</v>
      </c>
      <c r="R203" s="2">
        <v>52.376923955580132</v>
      </c>
      <c r="S203" s="2">
        <v>1445.4399045120231</v>
      </c>
      <c r="T203" s="2">
        <v>1.3467172615675427E-3</v>
      </c>
      <c r="U203" s="2">
        <v>0.11232364238306758</v>
      </c>
      <c r="V203" s="2">
        <v>5.5498125875606092</v>
      </c>
    </row>
    <row r="204" spans="1:22" ht="15">
      <c r="A204" s="2">
        <v>203</v>
      </c>
      <c r="B204" s="2" t="s">
        <v>78</v>
      </c>
      <c r="C204" s="2" t="s">
        <v>13</v>
      </c>
      <c r="D204" s="2">
        <v>1378.5808498738334</v>
      </c>
      <c r="E204" s="2">
        <v>706.36789972195402</v>
      </c>
      <c r="F204" s="2">
        <v>738.75622637569904</v>
      </c>
      <c r="G204" s="2">
        <v>175.0844997423701</v>
      </c>
      <c r="H204" s="2">
        <v>15.563658238388598</v>
      </c>
      <c r="I204" s="2">
        <v>0.81361783831147483</v>
      </c>
      <c r="J204" s="2">
        <v>9</v>
      </c>
      <c r="K204" s="2">
        <v>188.26486192076544</v>
      </c>
      <c r="L204" s="2">
        <v>45</v>
      </c>
      <c r="M204" s="2">
        <v>25</v>
      </c>
      <c r="N204" s="2">
        <v>1.1733090354374225</v>
      </c>
      <c r="O204" s="2">
        <v>52.227631029984103</v>
      </c>
      <c r="P204" s="2">
        <v>1378.5808498738334</v>
      </c>
      <c r="Q204" s="2">
        <v>1.1676098356633866</v>
      </c>
      <c r="R204" s="2">
        <v>52.598531082311062</v>
      </c>
      <c r="S204" s="2">
        <v>1384.9368599723007</v>
      </c>
      <c r="T204" s="2">
        <v>-5.6991997740358791E-3</v>
      </c>
      <c r="U204" s="2">
        <v>0.37090005232695944</v>
      </c>
      <c r="V204" s="2">
        <v>6.3560100984673227</v>
      </c>
    </row>
    <row r="205" spans="1:22" ht="15">
      <c r="A205" s="2">
        <v>204</v>
      </c>
      <c r="B205" s="2" t="s">
        <v>78</v>
      </c>
      <c r="C205" s="2" t="s">
        <v>13</v>
      </c>
      <c r="D205" s="2">
        <v>1405.5151949054562</v>
      </c>
      <c r="E205" s="2">
        <v>665.91086811386049</v>
      </c>
      <c r="F205" s="2">
        <v>467.65624983236194</v>
      </c>
      <c r="G205" s="2">
        <v>244.79962586890906</v>
      </c>
      <c r="H205" s="2">
        <v>21.75144663779065</v>
      </c>
      <c r="I205" s="2">
        <v>0.84698083963245163</v>
      </c>
      <c r="J205" s="2">
        <v>9</v>
      </c>
      <c r="K205" s="2">
        <v>184.38239412507204</v>
      </c>
      <c r="L205" s="2">
        <v>55</v>
      </c>
      <c r="M205" s="2">
        <v>25</v>
      </c>
      <c r="N205" s="2">
        <v>1.2277344575283593</v>
      </c>
      <c r="O205" s="2">
        <v>52.189921834529372</v>
      </c>
      <c r="P205" s="2">
        <v>1405.5151949054562</v>
      </c>
      <c r="Q205" s="2">
        <v>1.2207190476170759</v>
      </c>
      <c r="R205" s="2">
        <v>52.545440848443093</v>
      </c>
      <c r="S205" s="2">
        <v>1409.5814451873871</v>
      </c>
      <c r="T205" s="2">
        <v>-7.0154099112833546E-3</v>
      </c>
      <c r="U205" s="2">
        <v>0.35551901391372098</v>
      </c>
      <c r="V205" s="2">
        <v>4.0662502819309339</v>
      </c>
    </row>
    <row r="206" spans="1:22" ht="15">
      <c r="A206" s="2">
        <v>205</v>
      </c>
      <c r="B206" s="2" t="s">
        <v>78</v>
      </c>
      <c r="C206" s="2" t="s">
        <v>13</v>
      </c>
      <c r="D206" s="2">
        <v>1436.4093595650047</v>
      </c>
      <c r="E206" s="2">
        <v>923.44058667076752</v>
      </c>
      <c r="F206" s="2">
        <v>501.36759486049414</v>
      </c>
      <c r="G206" s="2">
        <v>105.163970713038</v>
      </c>
      <c r="H206" s="2">
        <v>18.328393924981356</v>
      </c>
      <c r="I206" s="2">
        <v>0.85074560225242757</v>
      </c>
      <c r="J206" s="2">
        <v>9</v>
      </c>
      <c r="K206" s="2">
        <v>187.60136935073035</v>
      </c>
      <c r="L206" s="2">
        <v>50</v>
      </c>
      <c r="M206" s="2">
        <v>25</v>
      </c>
      <c r="N206" s="2">
        <v>1.2318667866586424</v>
      </c>
      <c r="O206" s="2">
        <v>52.213560907838691</v>
      </c>
      <c r="P206" s="2">
        <v>1436.4093595650047</v>
      </c>
      <c r="Q206" s="2">
        <v>1.2324189821094036</v>
      </c>
      <c r="R206" s="2">
        <v>52.719938378249317</v>
      </c>
      <c r="S206" s="2">
        <v>1447.5000227428059</v>
      </c>
      <c r="T206" s="2">
        <v>5.5219545076123921E-4</v>
      </c>
      <c r="U206" s="2">
        <v>0.50637747041062653</v>
      </c>
      <c r="V206" s="2">
        <v>11.090663177801162</v>
      </c>
    </row>
    <row r="207" spans="1:22" ht="15">
      <c r="A207" s="2">
        <v>206</v>
      </c>
      <c r="B207" s="2" t="s">
        <v>78</v>
      </c>
      <c r="C207" s="2" t="s">
        <v>13</v>
      </c>
      <c r="D207" s="2">
        <v>1469.237993855495</v>
      </c>
      <c r="E207" s="2">
        <v>847.57422625552863</v>
      </c>
      <c r="F207" s="2">
        <v>437.63210223987699</v>
      </c>
      <c r="G207" s="2">
        <v>279.63001273572445</v>
      </c>
      <c r="H207" s="2">
        <v>26.125001395586878</v>
      </c>
      <c r="I207" s="2">
        <v>0.8572683602524922</v>
      </c>
      <c r="J207" s="2">
        <v>9</v>
      </c>
      <c r="K207" s="2">
        <v>190.42889432646516</v>
      </c>
      <c r="L207" s="2">
        <v>45</v>
      </c>
      <c r="M207" s="2">
        <v>25</v>
      </c>
      <c r="N207" s="2">
        <v>1.1854100571234443</v>
      </c>
      <c r="O207" s="2">
        <v>52.218997106506457</v>
      </c>
      <c r="P207" s="2">
        <v>1469.237993855495</v>
      </c>
      <c r="Q207" s="2">
        <v>1.1856282063038501</v>
      </c>
      <c r="R207" s="2">
        <v>51.25235323415302</v>
      </c>
      <c r="S207" s="2">
        <v>1466.7206618669447</v>
      </c>
      <c r="T207" s="2">
        <v>2.1814918040585773E-4</v>
      </c>
      <c r="U207" s="2">
        <v>-0.96664387235343696</v>
      </c>
      <c r="V207" s="2">
        <v>-2.5173319885502679</v>
      </c>
    </row>
    <row r="208" spans="1:22" ht="15">
      <c r="A208" s="2">
        <v>207</v>
      </c>
      <c r="B208" s="2" t="s">
        <v>78</v>
      </c>
      <c r="C208" s="2" t="s">
        <v>13</v>
      </c>
      <c r="D208" s="2">
        <v>1396.8644401291385</v>
      </c>
      <c r="E208" s="2">
        <v>676.33665102766827</v>
      </c>
      <c r="F208" s="2">
        <v>637.68985345959663</v>
      </c>
      <c r="G208" s="2">
        <v>234.84814014052972</v>
      </c>
      <c r="H208" s="2">
        <v>22.034627943299711</v>
      </c>
      <c r="I208" s="2">
        <v>0.81631623385241259</v>
      </c>
      <c r="J208" s="2">
        <v>9</v>
      </c>
      <c r="K208" s="2">
        <v>190.13116924293544</v>
      </c>
      <c r="L208" s="2">
        <v>45</v>
      </c>
      <c r="M208" s="2">
        <v>25</v>
      </c>
      <c r="N208" s="2">
        <v>1.155587200310332</v>
      </c>
      <c r="O208" s="2">
        <v>52.216508278963595</v>
      </c>
      <c r="P208" s="2">
        <v>1396.8644401291385</v>
      </c>
      <c r="Q208" s="2">
        <v>1.1407651433133787</v>
      </c>
      <c r="R208" s="2">
        <v>52.04048844626265</v>
      </c>
      <c r="S208" s="2">
        <v>1388.7353159738732</v>
      </c>
      <c r="T208" s="2">
        <v>-1.482205699695327E-2</v>
      </c>
      <c r="U208" s="2">
        <v>-0.17601983270094479</v>
      </c>
      <c r="V208" s="2">
        <v>-8.1291241552653446</v>
      </c>
    </row>
    <row r="209" spans="1:22" ht="15">
      <c r="A209" s="2">
        <v>208</v>
      </c>
      <c r="B209" s="2" t="s">
        <v>78</v>
      </c>
      <c r="C209" s="2" t="s">
        <v>13</v>
      </c>
      <c r="D209" s="2">
        <v>1416.7662471416406</v>
      </c>
      <c r="E209" s="2">
        <v>699.37908630818129</v>
      </c>
      <c r="F209" s="2">
        <v>735.89618941769004</v>
      </c>
      <c r="G209" s="2">
        <v>298.19854353088886</v>
      </c>
      <c r="H209" s="2">
        <v>29.092521646525711</v>
      </c>
      <c r="I209" s="2">
        <v>0.80523193194530907</v>
      </c>
      <c r="J209" s="2">
        <v>9</v>
      </c>
      <c r="K209" s="2">
        <v>195.49457201023978</v>
      </c>
      <c r="L209" s="2">
        <v>40</v>
      </c>
      <c r="M209" s="2">
        <v>25</v>
      </c>
      <c r="N209" s="2">
        <v>1.1990517797567952</v>
      </c>
      <c r="O209" s="2">
        <v>52.245291905267607</v>
      </c>
      <c r="P209" s="2">
        <v>1416.7662471416406</v>
      </c>
      <c r="Q209" s="2">
        <v>1.19044367240666</v>
      </c>
      <c r="R209" s="2">
        <v>51.366596023798571</v>
      </c>
      <c r="S209" s="2">
        <v>1404.2604435425842</v>
      </c>
      <c r="T209" s="2">
        <v>-8.6081073501351746E-3</v>
      </c>
      <c r="U209" s="2">
        <v>-0.8786958814690351</v>
      </c>
      <c r="V209" s="2">
        <v>-12.505803599056435</v>
      </c>
    </row>
    <row r="210" spans="1:22" ht="15">
      <c r="A210" s="2">
        <v>209</v>
      </c>
      <c r="B210" s="2" t="s">
        <v>78</v>
      </c>
      <c r="C210" s="2" t="s">
        <v>13</v>
      </c>
      <c r="D210" s="2">
        <v>1369.1361070610583</v>
      </c>
      <c r="E210" s="2">
        <v>877.40268384804949</v>
      </c>
      <c r="F210" s="2">
        <v>415.09314272552729</v>
      </c>
      <c r="G210" s="2">
        <v>116.13899840274826</v>
      </c>
      <c r="H210" s="2">
        <v>14.629332842305303</v>
      </c>
      <c r="I210" s="2">
        <v>0.7945908342977055</v>
      </c>
      <c r="J210" s="2">
        <v>9</v>
      </c>
      <c r="K210" s="2">
        <v>191.45228909209763</v>
      </c>
      <c r="L210" s="2">
        <v>55</v>
      </c>
      <c r="M210" s="2">
        <v>25</v>
      </c>
      <c r="N210" s="2">
        <v>1.2245892995488619</v>
      </c>
      <c r="O210" s="2">
        <v>52.194641385084438</v>
      </c>
      <c r="P210" s="2">
        <v>1369.1361070610583</v>
      </c>
      <c r="Q210" s="2">
        <v>1.220091172067767</v>
      </c>
      <c r="R210" s="2">
        <v>52.054747434565712</v>
      </c>
      <c r="S210" s="2">
        <v>1376.4227378878281</v>
      </c>
      <c r="T210" s="2">
        <v>-4.4981274810949046E-3</v>
      </c>
      <c r="U210" s="2">
        <v>-0.13989395051872577</v>
      </c>
      <c r="V210" s="2">
        <v>7.2866308267698514</v>
      </c>
    </row>
    <row r="211" spans="1:22" ht="15">
      <c r="A211" s="2">
        <v>210</v>
      </c>
      <c r="B211" s="2" t="s">
        <v>78</v>
      </c>
      <c r="C211" s="2" t="s">
        <v>13</v>
      </c>
      <c r="D211" s="2">
        <v>1475.5599919357337</v>
      </c>
      <c r="E211" s="2">
        <v>950.94376665074378</v>
      </c>
      <c r="F211" s="2">
        <v>643.30985331907868</v>
      </c>
      <c r="G211" s="2">
        <v>128.76445536501706</v>
      </c>
      <c r="H211" s="2">
        <v>26.839343443978578</v>
      </c>
      <c r="I211" s="2">
        <v>0.80698958496097484</v>
      </c>
      <c r="J211" s="2">
        <v>10</v>
      </c>
      <c r="K211" s="2">
        <v>182.84746413512761</v>
      </c>
      <c r="L211" s="2">
        <v>35</v>
      </c>
      <c r="M211" s="2">
        <v>25</v>
      </c>
      <c r="N211" s="2">
        <v>1.1561522500496215</v>
      </c>
      <c r="O211" s="2">
        <v>52.273512881551753</v>
      </c>
      <c r="P211" s="2">
        <v>1475.5599919357337</v>
      </c>
      <c r="Q211" s="2">
        <v>1.1500370169825718</v>
      </c>
      <c r="R211" s="2">
        <v>51.655691305431816</v>
      </c>
      <c r="S211" s="2">
        <v>1465.4540944871328</v>
      </c>
      <c r="T211" s="2">
        <v>-6.1152330670497523E-3</v>
      </c>
      <c r="U211" s="2">
        <v>-0.61782157611993682</v>
      </c>
      <c r="V211" s="2">
        <v>-10.105897448600899</v>
      </c>
    </row>
    <row r="212" spans="1:22" ht="15">
      <c r="A212" s="2">
        <v>211</v>
      </c>
      <c r="B212" s="2" t="s">
        <v>78</v>
      </c>
      <c r="C212" s="2" t="s">
        <v>13</v>
      </c>
      <c r="D212" s="2">
        <v>1453.591445996426</v>
      </c>
      <c r="E212" s="2">
        <v>760.58205362642184</v>
      </c>
      <c r="F212" s="2">
        <v>747.6964320987463</v>
      </c>
      <c r="G212" s="2">
        <v>172.54147176397964</v>
      </c>
      <c r="H212" s="2">
        <v>21.402833965606987</v>
      </c>
      <c r="I212" s="2">
        <v>0.83900030982447793</v>
      </c>
      <c r="J212" s="2">
        <v>9</v>
      </c>
      <c r="K212" s="2">
        <v>192.50310014791069</v>
      </c>
      <c r="L212" s="2">
        <v>45</v>
      </c>
      <c r="M212" s="2">
        <v>25</v>
      </c>
      <c r="N212" s="2">
        <v>1.2422509652367988</v>
      </c>
      <c r="O212" s="2">
        <v>52.237081851871494</v>
      </c>
      <c r="P212" s="2">
        <v>1453.591445996426</v>
      </c>
      <c r="Q212" s="2">
        <v>1.2319271490042809</v>
      </c>
      <c r="R212" s="2">
        <v>50.842327786127704</v>
      </c>
      <c r="S212" s="2">
        <v>1455.5003103776939</v>
      </c>
      <c r="T212" s="2">
        <v>-1.0323816232517879E-2</v>
      </c>
      <c r="U212" s="2">
        <v>-1.3947540657437898</v>
      </c>
      <c r="V212" s="2">
        <v>1.9088643812679038</v>
      </c>
    </row>
    <row r="213" spans="1:22" ht="15">
      <c r="A213" s="2">
        <v>212</v>
      </c>
      <c r="B213" s="2" t="s">
        <v>78</v>
      </c>
      <c r="C213" s="2" t="s">
        <v>13</v>
      </c>
      <c r="D213" s="2">
        <v>1356.2369359075092</v>
      </c>
      <c r="E213" s="2">
        <v>908.32378477789462</v>
      </c>
      <c r="F213" s="2">
        <v>412.3394506983459</v>
      </c>
      <c r="G213" s="2">
        <v>122.87553334143013</v>
      </c>
      <c r="H213" s="2">
        <v>26.141388073097914</v>
      </c>
      <c r="I213" s="2">
        <v>0.84465049134567383</v>
      </c>
      <c r="J213" s="2">
        <v>9</v>
      </c>
      <c r="K213" s="2">
        <v>178.40869616796437</v>
      </c>
      <c r="L213" s="2">
        <v>50</v>
      </c>
      <c r="M213" s="2">
        <v>25</v>
      </c>
      <c r="N213" s="2">
        <v>1.1999744458408963</v>
      </c>
      <c r="O213" s="2">
        <v>52.200083782527891</v>
      </c>
      <c r="P213" s="2">
        <v>1356.2369359075092</v>
      </c>
      <c r="Q213" s="2">
        <v>1.1870462463670048</v>
      </c>
      <c r="R213" s="2">
        <v>52.730610129137673</v>
      </c>
      <c r="S213" s="2">
        <v>1359.7056273702956</v>
      </c>
      <c r="T213" s="2">
        <v>-1.2928199473891455E-2</v>
      </c>
      <c r="U213" s="2">
        <v>0.53052634660978271</v>
      </c>
      <c r="V213" s="2">
        <v>3.4686914627864098</v>
      </c>
    </row>
    <row r="214" spans="1:22" ht="15">
      <c r="A214" s="2">
        <v>213</v>
      </c>
      <c r="B214" s="2" t="s">
        <v>78</v>
      </c>
      <c r="C214" s="2" t="s">
        <v>13</v>
      </c>
      <c r="D214" s="2">
        <v>1477.5880396831781</v>
      </c>
      <c r="E214" s="2">
        <v>891.04329756228253</v>
      </c>
      <c r="F214" s="2">
        <v>410.50402503460646</v>
      </c>
      <c r="G214" s="2">
        <v>177.93619840638712</v>
      </c>
      <c r="H214" s="2">
        <v>13.250905856490135</v>
      </c>
      <c r="I214" s="2">
        <v>0.85765903977910063</v>
      </c>
      <c r="J214" s="2">
        <v>9</v>
      </c>
      <c r="K214" s="2">
        <v>191.42391234630009</v>
      </c>
      <c r="L214" s="2">
        <v>50</v>
      </c>
      <c r="M214" s="2">
        <v>25</v>
      </c>
      <c r="N214" s="2">
        <v>1.1716900407156283</v>
      </c>
      <c r="O214" s="2">
        <v>52.205688468012433</v>
      </c>
      <c r="P214" s="2">
        <v>1477.5880396831781</v>
      </c>
      <c r="Q214" s="2">
        <v>1.178696818463618</v>
      </c>
      <c r="R214" s="2">
        <v>52.552323022193285</v>
      </c>
      <c r="S214" s="2">
        <v>1495.6920723325125</v>
      </c>
      <c r="T214" s="2">
        <v>7.0067777479896343E-3</v>
      </c>
      <c r="U214" s="2">
        <v>0.34663455418085221</v>
      </c>
      <c r="V214" s="2">
        <v>18.104032649334385</v>
      </c>
    </row>
    <row r="215" spans="1:22" ht="15">
      <c r="A215" s="2">
        <v>214</v>
      </c>
      <c r="B215" s="2" t="s">
        <v>78</v>
      </c>
      <c r="C215" s="2" t="s">
        <v>13</v>
      </c>
      <c r="D215" s="2">
        <v>1365.8002060954459</v>
      </c>
      <c r="E215" s="2">
        <v>918.33194473292679</v>
      </c>
      <c r="F215" s="2">
        <v>401.53892757371068</v>
      </c>
      <c r="G215" s="2">
        <v>284.90426244214177</v>
      </c>
      <c r="H215" s="2">
        <v>14.728347933385521</v>
      </c>
      <c r="I215" s="2">
        <v>0.82989145343657589</v>
      </c>
      <c r="J215" s="2">
        <v>9</v>
      </c>
      <c r="K215" s="2">
        <v>182.86196083431216</v>
      </c>
      <c r="L215" s="2">
        <v>45</v>
      </c>
      <c r="M215" s="2">
        <v>25</v>
      </c>
      <c r="N215" s="2">
        <v>1.1588203634264489</v>
      </c>
      <c r="O215" s="2">
        <v>52.2252245628857</v>
      </c>
      <c r="P215" s="2">
        <v>1365.8002060954459</v>
      </c>
      <c r="Q215" s="2">
        <v>1.1566965312797135</v>
      </c>
      <c r="R215" s="2">
        <v>51.390489377502412</v>
      </c>
      <c r="S215" s="2">
        <v>1373.8933183463223</v>
      </c>
      <c r="T215" s="2">
        <v>-2.1238321467353938E-3</v>
      </c>
      <c r="U215" s="2">
        <v>-0.83473518538328761</v>
      </c>
      <c r="V215" s="2">
        <v>8.093112250876402</v>
      </c>
    </row>
    <row r="216" spans="1:22" ht="15">
      <c r="A216" s="2">
        <v>215</v>
      </c>
      <c r="B216" s="2" t="s">
        <v>79</v>
      </c>
      <c r="C216" s="2" t="s">
        <v>13</v>
      </c>
      <c r="D216" s="2">
        <v>1480.9692492010072</v>
      </c>
      <c r="E216" s="2">
        <v>708.05817713262513</v>
      </c>
      <c r="F216" s="2">
        <v>528.91437858343124</v>
      </c>
      <c r="G216" s="2">
        <v>299.02423439314589</v>
      </c>
      <c r="H216" s="2">
        <v>18.803781504742801</v>
      </c>
      <c r="I216" s="2">
        <v>0.84600851904368035</v>
      </c>
      <c r="J216" s="2">
        <v>9</v>
      </c>
      <c r="K216" s="2">
        <v>194.50411561590423</v>
      </c>
      <c r="L216" s="2">
        <v>50</v>
      </c>
      <c r="M216" s="2">
        <v>25</v>
      </c>
      <c r="N216" s="2">
        <v>1.2384621516405114</v>
      </c>
      <c r="O216" s="2">
        <v>52.214500299497772</v>
      </c>
      <c r="P216" s="2">
        <v>1480.9692492010072</v>
      </c>
      <c r="Q216" s="2">
        <v>1.2446116783797696</v>
      </c>
      <c r="R216" s="2">
        <v>50.94246331749347</v>
      </c>
      <c r="S216" s="2">
        <v>1486.2324297914258</v>
      </c>
      <c r="T216" s="2">
        <v>6.1495267392581709E-3</v>
      </c>
      <c r="U216" s="2">
        <v>-1.2720369820043018</v>
      </c>
      <c r="V216" s="2">
        <v>5.2631805904186422</v>
      </c>
    </row>
    <row r="217" spans="1:22" ht="15">
      <c r="A217" s="2">
        <v>216</v>
      </c>
      <c r="B217" s="2" t="s">
        <v>79</v>
      </c>
      <c r="C217" s="2" t="s">
        <v>13</v>
      </c>
      <c r="D217" s="2">
        <v>1489.4596951897256</v>
      </c>
      <c r="E217" s="2">
        <v>749.69878708943725</v>
      </c>
      <c r="F217" s="2">
        <v>366.63029408082366</v>
      </c>
      <c r="G217" s="2">
        <v>101.67629508767277</v>
      </c>
      <c r="H217" s="2">
        <v>11.880606552120298</v>
      </c>
      <c r="I217" s="2">
        <v>0.8466830200422556</v>
      </c>
      <c r="J217" s="2">
        <v>9</v>
      </c>
      <c r="K217" s="2">
        <v>195.46337622252997</v>
      </c>
      <c r="L217" s="2">
        <v>65</v>
      </c>
      <c r="M217" s="2">
        <v>25</v>
      </c>
      <c r="N217" s="2">
        <v>1.231595380654994</v>
      </c>
      <c r="O217" s="2">
        <v>52.164917488293021</v>
      </c>
      <c r="P217" s="2">
        <v>1489.4596951897256</v>
      </c>
      <c r="Q217" s="2">
        <v>1.233670088730247</v>
      </c>
      <c r="R217" s="2">
        <v>50.840801852467109</v>
      </c>
      <c r="S217" s="2">
        <v>1512.067575381717</v>
      </c>
      <c r="T217" s="2">
        <v>2.0747080752530067E-3</v>
      </c>
      <c r="U217" s="2">
        <v>-1.3241156358259119</v>
      </c>
      <c r="V217" s="2">
        <v>22.607880191991399</v>
      </c>
    </row>
    <row r="218" spans="1:22" ht="15">
      <c r="A218" s="2">
        <v>217</v>
      </c>
      <c r="B218" s="2" t="s">
        <v>79</v>
      </c>
      <c r="C218" s="2" t="s">
        <v>13</v>
      </c>
      <c r="D218" s="2">
        <v>1406.7284099757671</v>
      </c>
      <c r="E218" s="2">
        <v>1215.4421421117149</v>
      </c>
      <c r="F218" s="2">
        <v>433.10319054871798</v>
      </c>
      <c r="G218" s="2">
        <v>225.4220587038435</v>
      </c>
      <c r="H218" s="2">
        <v>26.592728732153773</v>
      </c>
      <c r="I218" s="2">
        <v>0.81222940256120646</v>
      </c>
      <c r="J218" s="2">
        <v>9</v>
      </c>
      <c r="K218" s="2">
        <v>192.4372057587459</v>
      </c>
      <c r="L218" s="2">
        <v>35</v>
      </c>
      <c r="M218" s="2">
        <v>25</v>
      </c>
      <c r="N218" s="2">
        <v>1.1485892091939696</v>
      </c>
      <c r="O218" s="2">
        <v>52.267198365498473</v>
      </c>
      <c r="P218" s="2">
        <v>1406.7284099757671</v>
      </c>
      <c r="Q218" s="2">
        <v>1.1523231494111046</v>
      </c>
      <c r="R218" s="2">
        <v>52.188026453475267</v>
      </c>
      <c r="S218" s="2">
        <v>1387.6241818559527</v>
      </c>
      <c r="T218" s="2">
        <v>3.7339402171350233E-3</v>
      </c>
      <c r="U218" s="2">
        <v>-7.9171912023205948E-2</v>
      </c>
      <c r="V218" s="2">
        <v>-19.104228119814479</v>
      </c>
    </row>
    <row r="219" spans="1:22" ht="15">
      <c r="A219" s="2">
        <v>218</v>
      </c>
      <c r="B219" s="2" t="s">
        <v>80</v>
      </c>
      <c r="C219" s="2" t="s">
        <v>13</v>
      </c>
      <c r="D219" s="2">
        <v>1423.1209798366763</v>
      </c>
      <c r="E219" s="2">
        <v>965.61563780996948</v>
      </c>
      <c r="F219" s="2">
        <v>579.51989034190774</v>
      </c>
      <c r="G219" s="2">
        <v>136.18659569881856</v>
      </c>
      <c r="H219" s="2">
        <v>12.595586088020355</v>
      </c>
      <c r="I219" s="2">
        <v>0.81267572835553437</v>
      </c>
      <c r="J219" s="2">
        <v>9</v>
      </c>
      <c r="K219" s="2">
        <v>194.57275244968181</v>
      </c>
      <c r="L219" s="2">
        <v>45</v>
      </c>
      <c r="M219" s="2">
        <v>25</v>
      </c>
      <c r="N219" s="2">
        <v>1.2003294987768827</v>
      </c>
      <c r="O219" s="2">
        <v>52.237160152161415</v>
      </c>
      <c r="P219" s="2">
        <v>1423.1209798366763</v>
      </c>
      <c r="Q219" s="2">
        <v>1.214116248620668</v>
      </c>
      <c r="R219" s="2">
        <v>53.068061608483539</v>
      </c>
      <c r="S219" s="2">
        <v>1425.8258403351947</v>
      </c>
      <c r="T219" s="2">
        <v>1.3786749843785362E-2</v>
      </c>
      <c r="U219" s="2">
        <v>0.83090145632212398</v>
      </c>
      <c r="V219" s="2">
        <v>2.7048604985184284</v>
      </c>
    </row>
    <row r="220" spans="1:22" ht="15">
      <c r="A220" s="2">
        <v>219</v>
      </c>
      <c r="B220" s="2" t="s">
        <v>80</v>
      </c>
      <c r="C220" s="2" t="s">
        <v>13</v>
      </c>
      <c r="D220" s="2">
        <v>1372.2020500106737</v>
      </c>
      <c r="E220" s="2">
        <v>1045.051587803755</v>
      </c>
      <c r="F220" s="2">
        <v>656.23583234846592</v>
      </c>
      <c r="G220" s="2">
        <v>138.29188710777089</v>
      </c>
      <c r="H220" s="2">
        <v>17.891644888557494</v>
      </c>
      <c r="I220" s="2">
        <v>0.81355061406968165</v>
      </c>
      <c r="J220" s="2">
        <v>9</v>
      </c>
      <c r="K220" s="2">
        <v>187.40923036482573</v>
      </c>
      <c r="L220" s="2">
        <v>40</v>
      </c>
      <c r="M220" s="2">
        <v>25</v>
      </c>
      <c r="N220" s="2">
        <v>1.2052447873267875</v>
      </c>
      <c r="O220" s="2">
        <v>52.261836403484516</v>
      </c>
      <c r="P220" s="2">
        <v>1372.2020500106737</v>
      </c>
      <c r="Q220" s="2">
        <v>1.214775561420359</v>
      </c>
      <c r="R220" s="2">
        <v>51.72021064595949</v>
      </c>
      <c r="S220" s="2">
        <v>1368.2820342234224</v>
      </c>
      <c r="T220" s="2">
        <v>9.5307740935715035E-3</v>
      </c>
      <c r="U220" s="2">
        <v>-0.54162575752502562</v>
      </c>
      <c r="V220" s="2">
        <v>-3.9200157872512591</v>
      </c>
    </row>
    <row r="221" spans="1:22" ht="15">
      <c r="A221" s="2">
        <v>220</v>
      </c>
      <c r="B221" s="2" t="s">
        <v>80</v>
      </c>
      <c r="C221" s="2" t="s">
        <v>13</v>
      </c>
      <c r="D221" s="2">
        <v>1439.1528949490748</v>
      </c>
      <c r="E221" s="2">
        <v>634.12632043473423</v>
      </c>
      <c r="F221" s="2">
        <v>421.97895897552371</v>
      </c>
      <c r="G221" s="2">
        <v>124.44745171349496</v>
      </c>
      <c r="H221" s="2">
        <v>25.915075059514493</v>
      </c>
      <c r="I221" s="2">
        <v>0.85206751652061941</v>
      </c>
      <c r="J221" s="2">
        <v>9</v>
      </c>
      <c r="K221" s="2">
        <v>187.66808277063836</v>
      </c>
      <c r="L221" s="2">
        <v>60</v>
      </c>
      <c r="M221" s="2">
        <v>25</v>
      </c>
      <c r="N221" s="2">
        <v>1.1604872981308054</v>
      </c>
      <c r="O221" s="2">
        <v>52.159077684600462</v>
      </c>
      <c r="P221" s="2">
        <v>1439.1528949490748</v>
      </c>
      <c r="Q221" s="2">
        <v>1.1397388637312447</v>
      </c>
      <c r="R221" s="2">
        <v>51.965447417240121</v>
      </c>
      <c r="S221" s="2">
        <v>1449.1985267505788</v>
      </c>
      <c r="T221" s="2">
        <v>-2.0748434399560756E-2</v>
      </c>
      <c r="U221" s="2">
        <v>-0.19363026736034072</v>
      </c>
      <c r="V221" s="2">
        <v>10.045631801503987</v>
      </c>
    </row>
    <row r="222" spans="1:22" ht="15">
      <c r="A222" s="2">
        <v>221</v>
      </c>
      <c r="B222" s="2" t="s">
        <v>78</v>
      </c>
      <c r="C222" s="2" t="s">
        <v>13</v>
      </c>
      <c r="D222" s="2">
        <v>1351.5721596311778</v>
      </c>
      <c r="E222" s="2">
        <v>749.15455587906763</v>
      </c>
      <c r="F222" s="2">
        <v>498.04233070462942</v>
      </c>
      <c r="G222" s="2">
        <v>239.33957026572898</v>
      </c>
      <c r="H222" s="2">
        <v>8.6347929053008556</v>
      </c>
      <c r="I222" s="2">
        <v>0.84680879052961244</v>
      </c>
      <c r="J222" s="2">
        <v>8</v>
      </c>
      <c r="K222" s="2">
        <v>199.5096435503869</v>
      </c>
      <c r="L222" s="2">
        <v>60</v>
      </c>
      <c r="M222" s="2">
        <v>25</v>
      </c>
      <c r="N222" s="2">
        <v>1.2285862090630066</v>
      </c>
      <c r="O222" s="2">
        <v>52.181033952919329</v>
      </c>
      <c r="P222" s="2">
        <v>1351.5721596311778</v>
      </c>
      <c r="Q222" s="2">
        <v>1.2293494520606056</v>
      </c>
      <c r="R222" s="2">
        <v>51.221898447163113</v>
      </c>
      <c r="S222" s="2">
        <v>1366.8793867267366</v>
      </c>
      <c r="T222" s="2">
        <v>7.6324299759900072E-4</v>
      </c>
      <c r="U222" s="2">
        <v>-0.95913550575621542</v>
      </c>
      <c r="V222" s="2">
        <v>15.307227095558801</v>
      </c>
    </row>
    <row r="223" spans="1:22" ht="15">
      <c r="A223" s="2">
        <v>222</v>
      </c>
      <c r="B223" s="2" t="s">
        <v>78</v>
      </c>
      <c r="C223" s="2" t="s">
        <v>13</v>
      </c>
      <c r="D223" s="2">
        <v>1418.1913323816843</v>
      </c>
      <c r="E223" s="2">
        <v>656.08554917853326</v>
      </c>
      <c r="F223" s="2">
        <v>566.73266487196088</v>
      </c>
      <c r="G223" s="2">
        <v>225.88949363678694</v>
      </c>
      <c r="H223" s="2">
        <v>9.6203234069980681</v>
      </c>
      <c r="I223" s="2">
        <v>0.80913077365141362</v>
      </c>
      <c r="J223" s="2">
        <v>9</v>
      </c>
      <c r="K223" s="2">
        <v>194.74826547255094</v>
      </c>
      <c r="L223" s="2">
        <v>55</v>
      </c>
      <c r="M223" s="2">
        <v>25</v>
      </c>
      <c r="N223" s="2">
        <v>1.2374799117737556</v>
      </c>
      <c r="O223" s="2">
        <v>52.200889749321128</v>
      </c>
      <c r="P223" s="2">
        <v>1418.1913323816843</v>
      </c>
      <c r="Q223" s="2">
        <v>1.2405518460302796</v>
      </c>
      <c r="R223" s="2">
        <v>52.582628027057986</v>
      </c>
      <c r="S223" s="2">
        <v>1429.0017277688569</v>
      </c>
      <c r="T223" s="2">
        <v>3.0719342565239671E-3</v>
      </c>
      <c r="U223" s="2">
        <v>0.38173827773685787</v>
      </c>
      <c r="V223" s="2">
        <v>10.810395387172548</v>
      </c>
    </row>
    <row r="224" spans="1:22" ht="15">
      <c r="A224" s="2">
        <v>223</v>
      </c>
      <c r="B224" s="2" t="s">
        <v>78</v>
      </c>
      <c r="C224" s="2" t="s">
        <v>13</v>
      </c>
      <c r="D224" s="2">
        <v>1488.2993389153853</v>
      </c>
      <c r="E224" s="2">
        <v>1217.579419829417</v>
      </c>
      <c r="F224" s="2">
        <v>495.99122628569603</v>
      </c>
      <c r="G224" s="2">
        <v>167.72524207597598</v>
      </c>
      <c r="H224" s="2">
        <v>22.747348628006876</v>
      </c>
      <c r="I224" s="2">
        <v>0.85894531810423369</v>
      </c>
      <c r="J224" s="2">
        <v>9</v>
      </c>
      <c r="K224" s="2">
        <v>192.52284135828216</v>
      </c>
      <c r="L224" s="2">
        <v>40</v>
      </c>
      <c r="M224" s="2">
        <v>25</v>
      </c>
      <c r="N224" s="2">
        <v>1.2560311608944488</v>
      </c>
      <c r="O224" s="2">
        <v>52.268341061366186</v>
      </c>
      <c r="P224" s="2">
        <v>1488.2993389153853</v>
      </c>
      <c r="Q224" s="2">
        <v>1.247534447571276</v>
      </c>
      <c r="R224" s="2">
        <v>53.35305403674019</v>
      </c>
      <c r="S224" s="2">
        <v>1469.0478711738474</v>
      </c>
      <c r="T224" s="2">
        <v>-8.4967133231728109E-3</v>
      </c>
      <c r="U224" s="2">
        <v>1.0847129753740035</v>
      </c>
      <c r="V224" s="2">
        <v>-19.251467741537908</v>
      </c>
    </row>
    <row r="225" spans="1:22" ht="15">
      <c r="A225" s="2">
        <v>224</v>
      </c>
      <c r="B225" s="2" t="s">
        <v>78</v>
      </c>
      <c r="C225" s="2" t="s">
        <v>13</v>
      </c>
      <c r="D225" s="2">
        <v>1488.8676917064004</v>
      </c>
      <c r="E225" s="2">
        <v>1163.1070986390114</v>
      </c>
      <c r="F225" s="2">
        <v>440.34232785925269</v>
      </c>
      <c r="G225" s="2">
        <v>303.56694482732564</v>
      </c>
      <c r="H225" s="2">
        <v>14.851301373448223</v>
      </c>
      <c r="I225" s="2">
        <v>0.80785679097287355</v>
      </c>
      <c r="J225" s="2">
        <v>10</v>
      </c>
      <c r="K225" s="2">
        <v>184.29846828587145</v>
      </c>
      <c r="L225" s="2">
        <v>35</v>
      </c>
      <c r="M225" s="2">
        <v>25</v>
      </c>
      <c r="N225" s="2">
        <v>1.1999636674570444</v>
      </c>
      <c r="O225" s="2">
        <v>52.305390586332159</v>
      </c>
      <c r="P225" s="2">
        <v>1488.8676917064004</v>
      </c>
      <c r="Q225" s="2">
        <v>1.2134253081884669</v>
      </c>
      <c r="R225" s="2">
        <v>53.485253030958312</v>
      </c>
      <c r="S225" s="2">
        <v>1489.8630397292206</v>
      </c>
      <c r="T225" s="2">
        <v>1.3461640731422531E-2</v>
      </c>
      <c r="U225" s="2">
        <v>1.1798624446261528</v>
      </c>
      <c r="V225" s="2">
        <v>0.99534802282028068</v>
      </c>
    </row>
    <row r="226" spans="1:22" ht="15">
      <c r="A226" s="2">
        <v>225</v>
      </c>
      <c r="B226" s="2" t="s">
        <v>78</v>
      </c>
      <c r="C226" s="2" t="s">
        <v>13</v>
      </c>
      <c r="D226" s="2">
        <v>1498.247320856899</v>
      </c>
      <c r="E226" s="2">
        <v>631.02461168309674</v>
      </c>
      <c r="F226" s="2">
        <v>470.12676242738962</v>
      </c>
      <c r="G226" s="2">
        <v>138.53539990494028</v>
      </c>
      <c r="H226" s="2">
        <v>25.20785122551024</v>
      </c>
      <c r="I226" s="2">
        <v>0.80194657492684207</v>
      </c>
      <c r="J226" s="2">
        <v>10</v>
      </c>
      <c r="K226" s="2">
        <v>186.82632580525421</v>
      </c>
      <c r="L226" s="2">
        <v>55</v>
      </c>
      <c r="M226" s="2">
        <v>25</v>
      </c>
      <c r="N226" s="2">
        <v>1.2306139768438782</v>
      </c>
      <c r="O226" s="2">
        <v>52.189775733598168</v>
      </c>
      <c r="P226" s="2">
        <v>1498.247320856899</v>
      </c>
      <c r="Q226" s="2">
        <v>1.2290535944305707</v>
      </c>
      <c r="R226" s="2">
        <v>51.957792481508626</v>
      </c>
      <c r="S226" s="2">
        <v>1493.8627645895308</v>
      </c>
      <c r="T226" s="2">
        <v>-1.5603824133074706E-3</v>
      </c>
      <c r="U226" s="2">
        <v>-0.23198325208954174</v>
      </c>
      <c r="V226" s="2">
        <v>-4.3845562673682252</v>
      </c>
    </row>
    <row r="227" spans="1:22" ht="15">
      <c r="A227" s="2">
        <v>226</v>
      </c>
      <c r="B227" s="2" t="s">
        <v>78</v>
      </c>
      <c r="C227" s="2" t="s">
        <v>13</v>
      </c>
      <c r="D227" s="2">
        <v>1419.840645196382</v>
      </c>
      <c r="E227" s="2">
        <v>753.20804894436151</v>
      </c>
      <c r="F227" s="2">
        <v>584.53125888481736</v>
      </c>
      <c r="G227" s="2">
        <v>103.82652484811842</v>
      </c>
      <c r="H227" s="2">
        <v>21.665503062773496</v>
      </c>
      <c r="I227" s="2">
        <v>0.81125154963228852</v>
      </c>
      <c r="J227" s="2">
        <v>9</v>
      </c>
      <c r="K227" s="2">
        <v>194.46504818387578</v>
      </c>
      <c r="L227" s="2">
        <v>50</v>
      </c>
      <c r="M227" s="2">
        <v>25</v>
      </c>
      <c r="N227" s="2">
        <v>1.1795666593244665</v>
      </c>
      <c r="O227" s="2">
        <v>52.199776152460203</v>
      </c>
      <c r="P227" s="2">
        <v>1419.840645196382</v>
      </c>
      <c r="Q227" s="2">
        <v>1.1682672629767386</v>
      </c>
      <c r="R227" s="2">
        <v>51.345816797830665</v>
      </c>
      <c r="S227" s="2">
        <v>1414.1243605185152</v>
      </c>
      <c r="T227" s="2">
        <v>-1.1299396347727919E-2</v>
      </c>
      <c r="U227" s="2">
        <v>-0.85395935462953787</v>
      </c>
      <c r="V227" s="2">
        <v>-5.7162846778667245</v>
      </c>
    </row>
    <row r="228" spans="1:22" ht="15">
      <c r="A228" s="2">
        <v>227</v>
      </c>
      <c r="B228" s="2" t="s">
        <v>78</v>
      </c>
      <c r="C228" s="2" t="s">
        <v>13</v>
      </c>
      <c r="D228" s="2">
        <v>1467.5699151819572</v>
      </c>
      <c r="E228" s="2">
        <v>1243.4065872454084</v>
      </c>
      <c r="F228" s="2">
        <v>659.58698205649853</v>
      </c>
      <c r="G228" s="2">
        <v>183.58423896832392</v>
      </c>
      <c r="H228" s="2">
        <v>18.065945346839726</v>
      </c>
      <c r="I228" s="2">
        <v>0.85641073026461534</v>
      </c>
      <c r="J228" s="2">
        <v>9</v>
      </c>
      <c r="K228" s="2">
        <v>190.40317705818885</v>
      </c>
      <c r="L228" s="2">
        <v>35</v>
      </c>
      <c r="M228" s="2">
        <v>25</v>
      </c>
      <c r="N228" s="2">
        <v>1.2114655807425416</v>
      </c>
      <c r="O228" s="2">
        <v>52.300349644754533</v>
      </c>
      <c r="P228" s="2">
        <v>1467.5699151819572</v>
      </c>
      <c r="Q228" s="2">
        <v>1.2167547306127271</v>
      </c>
      <c r="R228" s="2">
        <v>53.842437596445357</v>
      </c>
      <c r="S228" s="2">
        <v>1454.146050771649</v>
      </c>
      <c r="T228" s="2">
        <v>5.2891498701854722E-3</v>
      </c>
      <c r="U228" s="2">
        <v>1.5420879516908244</v>
      </c>
      <c r="V228" s="2">
        <v>-13.42386441030817</v>
      </c>
    </row>
    <row r="229" spans="1:22" ht="15">
      <c r="A229" s="2">
        <v>228</v>
      </c>
      <c r="B229" s="2" t="s">
        <v>78</v>
      </c>
      <c r="C229" s="2" t="s">
        <v>13</v>
      </c>
      <c r="D229" s="2">
        <v>1363.7344885035418</v>
      </c>
      <c r="E229" s="2">
        <v>967.84173329360783</v>
      </c>
      <c r="F229" s="2">
        <v>420.49521533772349</v>
      </c>
      <c r="G229" s="2">
        <v>294.21075833495706</v>
      </c>
      <c r="H229" s="2">
        <v>27.495034910272807</v>
      </c>
      <c r="I229" s="2">
        <v>0.79056482760235669</v>
      </c>
      <c r="J229" s="2">
        <v>9</v>
      </c>
      <c r="K229" s="2">
        <v>191.66809474401111</v>
      </c>
      <c r="L229" s="2">
        <v>40</v>
      </c>
      <c r="M229" s="2">
        <v>25</v>
      </c>
      <c r="N229" s="2">
        <v>1.1600762496473773</v>
      </c>
      <c r="O229" s="2">
        <v>52.237351251208715</v>
      </c>
      <c r="P229" s="2">
        <v>1363.7344885035418</v>
      </c>
      <c r="Q229" s="2">
        <v>1.1495216473016017</v>
      </c>
      <c r="R229" s="2">
        <v>53.272385000205432</v>
      </c>
      <c r="S229" s="2">
        <v>1348.2501862376312</v>
      </c>
      <c r="T229" s="2">
        <v>-1.0554602345775654E-2</v>
      </c>
      <c r="U229" s="2">
        <v>1.0350337489967174</v>
      </c>
      <c r="V229" s="2">
        <v>-15.484302265910628</v>
      </c>
    </row>
    <row r="230" spans="1:22" ht="15">
      <c r="A230" s="2">
        <v>229</v>
      </c>
      <c r="B230" s="2" t="s">
        <v>78</v>
      </c>
      <c r="C230" s="2" t="s">
        <v>13</v>
      </c>
      <c r="D230" s="2">
        <v>1465.7888396177441</v>
      </c>
      <c r="E230" s="2">
        <v>1049.257992755156</v>
      </c>
      <c r="F230" s="2">
        <v>573.89843594282866</v>
      </c>
      <c r="G230" s="2">
        <v>229.07182875322178</v>
      </c>
      <c r="H230" s="2">
        <v>16.339975573122501</v>
      </c>
      <c r="I230" s="2">
        <v>0.83783655906328935</v>
      </c>
      <c r="J230" s="2">
        <v>9</v>
      </c>
      <c r="K230" s="2">
        <v>194.38806395161265</v>
      </c>
      <c r="L230" s="2">
        <v>40</v>
      </c>
      <c r="M230" s="2">
        <v>25</v>
      </c>
      <c r="N230" s="2">
        <v>1.2045882007851751</v>
      </c>
      <c r="O230" s="2">
        <v>52.263808691043067</v>
      </c>
      <c r="P230" s="2">
        <v>1465.7888396177441</v>
      </c>
      <c r="Q230" s="2">
        <v>1.2096726891161622</v>
      </c>
      <c r="R230" s="2">
        <v>52.575470391867263</v>
      </c>
      <c r="S230" s="2">
        <v>1471.1344160067658</v>
      </c>
      <c r="T230" s="2">
        <v>5.0844883309870692E-3</v>
      </c>
      <c r="U230" s="2">
        <v>0.31166170082419598</v>
      </c>
      <c r="V230" s="2">
        <v>5.345576389021744</v>
      </c>
    </row>
    <row r="231" spans="1:22" ht="15">
      <c r="A231" s="2">
        <v>230</v>
      </c>
      <c r="B231" s="2" t="s">
        <v>78</v>
      </c>
      <c r="C231" s="2" t="s">
        <v>13</v>
      </c>
      <c r="D231" s="2">
        <v>1494.9213328887708</v>
      </c>
      <c r="E231" s="2">
        <v>673.82646796759218</v>
      </c>
      <c r="F231" s="2">
        <v>599.25411613658071</v>
      </c>
      <c r="G231" s="2">
        <v>206.30589446052909</v>
      </c>
      <c r="H231" s="2">
        <v>19.263463674578816</v>
      </c>
      <c r="I231" s="2">
        <v>0.82202952997293322</v>
      </c>
      <c r="J231" s="2">
        <v>10</v>
      </c>
      <c r="K231" s="2">
        <v>181.85737596774578</v>
      </c>
      <c r="L231" s="2">
        <v>45</v>
      </c>
      <c r="M231" s="2">
        <v>25</v>
      </c>
      <c r="N231" s="2">
        <v>1.1977912459999203</v>
      </c>
      <c r="O231" s="2">
        <v>52.231303707411335</v>
      </c>
      <c r="P231" s="2">
        <v>1494.9213328887708</v>
      </c>
      <c r="Q231" s="2">
        <v>1.1853432787082481</v>
      </c>
      <c r="R231" s="2">
        <v>52.497327776954542</v>
      </c>
      <c r="S231" s="2">
        <v>1497.6077859953309</v>
      </c>
      <c r="T231" s="2">
        <v>-1.2447967291672191E-2</v>
      </c>
      <c r="U231" s="2">
        <v>0.26602406954320656</v>
      </c>
      <c r="V231" s="2">
        <v>2.6864531065600659</v>
      </c>
    </row>
    <row r="232" spans="1:22" ht="15">
      <c r="A232" s="2">
        <v>231</v>
      </c>
      <c r="B232" s="2" t="s">
        <v>78</v>
      </c>
      <c r="C232" s="2" t="s">
        <v>13</v>
      </c>
      <c r="D232" s="2">
        <v>1380.7702022837475</v>
      </c>
      <c r="E232" s="2">
        <v>627.58838647278026</v>
      </c>
      <c r="F232" s="2">
        <v>665.34633040428162</v>
      </c>
      <c r="G232" s="2">
        <v>295.65210999688134</v>
      </c>
      <c r="H232" s="2">
        <v>20.092040586285293</v>
      </c>
      <c r="I232" s="2">
        <v>0.84425121523207058</v>
      </c>
      <c r="J232" s="2">
        <v>9</v>
      </c>
      <c r="K232" s="2">
        <v>181.72187211206861</v>
      </c>
      <c r="L232" s="2">
        <v>45</v>
      </c>
      <c r="M232" s="2">
        <v>25</v>
      </c>
      <c r="N232" s="2">
        <v>1.1734405619563217</v>
      </c>
      <c r="O232" s="2">
        <v>52.222700400980322</v>
      </c>
      <c r="P232" s="2">
        <v>1380.7702022837475</v>
      </c>
      <c r="Q232" s="2">
        <v>1.1596130972057881</v>
      </c>
      <c r="R232" s="2">
        <v>52.104097992111612</v>
      </c>
      <c r="S232" s="2">
        <v>1374.7521377640342</v>
      </c>
      <c r="T232" s="2">
        <v>-1.3827464750533647E-2</v>
      </c>
      <c r="U232" s="2">
        <v>-0.11860240886871054</v>
      </c>
      <c r="V232" s="2">
        <v>-6.0180645197133344</v>
      </c>
    </row>
    <row r="233" spans="1:22" ht="15">
      <c r="A233" s="2">
        <v>232</v>
      </c>
      <c r="B233" s="2" t="s">
        <v>78</v>
      </c>
      <c r="C233" s="2" t="s">
        <v>13</v>
      </c>
      <c r="D233" s="2">
        <v>1421.9027542392723</v>
      </c>
      <c r="E233" s="2">
        <v>675.44472301378846</v>
      </c>
      <c r="F233" s="2">
        <v>615.24228220805526</v>
      </c>
      <c r="G233" s="2">
        <v>145.13722019735724</v>
      </c>
      <c r="H233" s="2">
        <v>15.961007935460657</v>
      </c>
      <c r="I233" s="2">
        <v>0.85340494380332532</v>
      </c>
      <c r="J233" s="2">
        <v>9</v>
      </c>
      <c r="K233" s="2">
        <v>185.12805211951607</v>
      </c>
      <c r="L233" s="2">
        <v>50</v>
      </c>
      <c r="M233" s="2">
        <v>25</v>
      </c>
      <c r="N233" s="2">
        <v>1.1506835937728075</v>
      </c>
      <c r="O233" s="2">
        <v>52.198880892348491</v>
      </c>
      <c r="P233" s="2">
        <v>1421.9027542392723</v>
      </c>
      <c r="Q233" s="2">
        <v>1.1584619940741481</v>
      </c>
      <c r="R233" s="2">
        <v>50.587902435349747</v>
      </c>
      <c r="S233" s="2">
        <v>1435.7984565870474</v>
      </c>
      <c r="T233" s="2">
        <v>7.7784003013405822E-3</v>
      </c>
      <c r="U233" s="2">
        <v>-1.610978456998744</v>
      </c>
      <c r="V233" s="2">
        <v>13.895702347775114</v>
      </c>
    </row>
    <row r="234" spans="1:22" ht="15">
      <c r="A234" s="2">
        <v>233</v>
      </c>
      <c r="B234" s="2" t="s">
        <v>78</v>
      </c>
      <c r="C234" s="2" t="s">
        <v>13</v>
      </c>
      <c r="D234" s="2">
        <v>1410.3835707530379</v>
      </c>
      <c r="E234" s="2">
        <v>1026.9108843407594</v>
      </c>
      <c r="F234" s="2">
        <v>715.04706759005785</v>
      </c>
      <c r="G234" s="2">
        <v>120.37970636272803</v>
      </c>
      <c r="H234" s="2">
        <v>15.898036351427436</v>
      </c>
      <c r="I234" s="2">
        <v>0.82229976640315727</v>
      </c>
      <c r="J234" s="2">
        <v>9</v>
      </c>
      <c r="K234" s="2">
        <v>190.57440126085964</v>
      </c>
      <c r="L234" s="2">
        <v>40</v>
      </c>
      <c r="M234" s="2">
        <v>25</v>
      </c>
      <c r="N234" s="2">
        <v>1.2083124107323242</v>
      </c>
      <c r="O234" s="2">
        <v>52.265384999369424</v>
      </c>
      <c r="P234" s="2">
        <v>1410.3835707530379</v>
      </c>
      <c r="Q234" s="2">
        <v>1.2069491813467212</v>
      </c>
      <c r="R234" s="2">
        <v>53.045330983178872</v>
      </c>
      <c r="S234" s="2">
        <v>1407.2616612167296</v>
      </c>
      <c r="T234" s="2">
        <v>-1.3632293856029598E-3</v>
      </c>
      <c r="U234" s="2">
        <v>0.7799459838094478</v>
      </c>
      <c r="V234" s="2">
        <v>-3.1219095363082943</v>
      </c>
    </row>
    <row r="235" spans="1:22" ht="15">
      <c r="A235" s="2">
        <v>234</v>
      </c>
      <c r="B235" s="2" t="s">
        <v>78</v>
      </c>
      <c r="C235" s="2" t="s">
        <v>13</v>
      </c>
      <c r="D235" s="2">
        <v>1424.7242484823801</v>
      </c>
      <c r="E235" s="2">
        <v>1098.8330949330702</v>
      </c>
      <c r="F235" s="2">
        <v>695.10009298101068</v>
      </c>
      <c r="G235" s="2">
        <v>221.68525370769203</v>
      </c>
      <c r="H235" s="2">
        <v>26.123141456861049</v>
      </c>
      <c r="I235" s="2">
        <v>0.80663129058200866</v>
      </c>
      <c r="J235" s="2">
        <v>9</v>
      </c>
      <c r="K235" s="2">
        <v>196.2516159788444</v>
      </c>
      <c r="L235" s="2">
        <v>35</v>
      </c>
      <c r="M235" s="2">
        <v>25</v>
      </c>
      <c r="N235" s="2">
        <v>1.2212244000881989</v>
      </c>
      <c r="O235" s="2">
        <v>52.289285305509871</v>
      </c>
      <c r="P235" s="2">
        <v>1424.7242484823801</v>
      </c>
      <c r="Q235" s="2">
        <v>1.2253640785949613</v>
      </c>
      <c r="R235" s="2">
        <v>51.885052377908686</v>
      </c>
      <c r="S235" s="2">
        <v>1410.8437872633779</v>
      </c>
      <c r="T235" s="2">
        <v>4.1396785067624453E-3</v>
      </c>
      <c r="U235" s="2">
        <v>-0.40423292760118557</v>
      </c>
      <c r="V235" s="2">
        <v>-13.8804612190022</v>
      </c>
    </row>
    <row r="236" spans="1:22" ht="15">
      <c r="A236" s="2">
        <v>235</v>
      </c>
      <c r="B236" s="2" t="s">
        <v>79</v>
      </c>
      <c r="C236" s="2" t="s">
        <v>13</v>
      </c>
      <c r="D236" s="2">
        <v>1362.3756102053449</v>
      </c>
      <c r="E236" s="2">
        <v>807.94473948189989</v>
      </c>
      <c r="F236" s="2">
        <v>639.80325646698475</v>
      </c>
      <c r="G236" s="2">
        <v>117.4361855792813</v>
      </c>
      <c r="H236" s="2">
        <v>10.272014484740794</v>
      </c>
      <c r="I236" s="2">
        <v>0.81578452727524564</v>
      </c>
      <c r="J236" s="2">
        <v>9</v>
      </c>
      <c r="K236" s="2">
        <v>185.55765982249372</v>
      </c>
      <c r="L236" s="2">
        <v>50</v>
      </c>
      <c r="M236" s="2">
        <v>25</v>
      </c>
      <c r="N236" s="2">
        <v>1.2229586789833464</v>
      </c>
      <c r="O236" s="2">
        <v>52.219051343504773</v>
      </c>
      <c r="P236" s="2">
        <v>1362.3756102053449</v>
      </c>
      <c r="Q236" s="2">
        <v>1.2322142866863777</v>
      </c>
      <c r="R236" s="2">
        <v>52.865591093089755</v>
      </c>
      <c r="S236" s="2">
        <v>1379.0761649607816</v>
      </c>
      <c r="T236" s="2">
        <v>9.2556077030312434E-3</v>
      </c>
      <c r="U236" s="2">
        <v>0.64653974958498139</v>
      </c>
      <c r="V236" s="2">
        <v>16.700554755436769</v>
      </c>
    </row>
    <row r="237" spans="1:22" ht="15">
      <c r="A237" s="2">
        <v>236</v>
      </c>
      <c r="B237" s="2" t="s">
        <v>79</v>
      </c>
      <c r="C237" s="2" t="s">
        <v>13</v>
      </c>
      <c r="D237" s="2">
        <v>1477.7679523802362</v>
      </c>
      <c r="E237" s="2">
        <v>1190.8322708215564</v>
      </c>
      <c r="F237" s="2">
        <v>374.02057452127337</v>
      </c>
      <c r="G237" s="2">
        <v>168.27013231348246</v>
      </c>
      <c r="H237" s="2">
        <v>21.288536149542779</v>
      </c>
      <c r="I237" s="2">
        <v>0.85308849621564153</v>
      </c>
      <c r="J237" s="2">
        <v>9</v>
      </c>
      <c r="K237" s="2">
        <v>192.47292617559154</v>
      </c>
      <c r="L237" s="2">
        <v>40</v>
      </c>
      <c r="M237" s="2">
        <v>25</v>
      </c>
      <c r="N237" s="2">
        <v>1.1588411759915147</v>
      </c>
      <c r="O237" s="2">
        <v>52.245237200291058</v>
      </c>
      <c r="P237" s="2">
        <v>1477.7679523802362</v>
      </c>
      <c r="Q237" s="2">
        <v>1.149382758597119</v>
      </c>
      <c r="R237" s="2">
        <v>52.165313493550535</v>
      </c>
      <c r="S237" s="2">
        <v>1464.3713232130913</v>
      </c>
      <c r="T237" s="2">
        <v>-9.4584173943956795E-3</v>
      </c>
      <c r="U237" s="2">
        <v>-7.992370674052296E-2</v>
      </c>
      <c r="V237" s="2">
        <v>-13.396629167144965</v>
      </c>
    </row>
    <row r="238" spans="1:22" ht="15">
      <c r="A238" s="2">
        <v>237</v>
      </c>
      <c r="B238" s="2" t="s">
        <v>79</v>
      </c>
      <c r="C238" s="2" t="s">
        <v>13</v>
      </c>
      <c r="D238" s="2">
        <v>1391.2851949688047</v>
      </c>
      <c r="E238" s="2">
        <v>706.45113092614338</v>
      </c>
      <c r="F238" s="2">
        <v>394.39939763396978</v>
      </c>
      <c r="G238" s="2">
        <v>81.108670432586223</v>
      </c>
      <c r="H238" s="2">
        <v>27.242853853851557</v>
      </c>
      <c r="I238" s="2">
        <v>0.85524183802539488</v>
      </c>
      <c r="J238" s="2">
        <v>9</v>
      </c>
      <c r="K238" s="2">
        <v>180.75266785630819</v>
      </c>
      <c r="L238" s="2">
        <v>60</v>
      </c>
      <c r="M238" s="2">
        <v>25</v>
      </c>
      <c r="N238" s="2">
        <v>1.1664601378639365</v>
      </c>
      <c r="O238" s="2">
        <v>52.15929698810293</v>
      </c>
      <c r="P238" s="2">
        <v>1391.2851949688047</v>
      </c>
      <c r="Q238" s="2">
        <v>1.1444761565556969</v>
      </c>
      <c r="R238" s="2">
        <v>51.57094445465647</v>
      </c>
      <c r="S238" s="2">
        <v>1394.2707073478873</v>
      </c>
      <c r="T238" s="2">
        <v>-2.1983981308239642E-2</v>
      </c>
      <c r="U238" s="2">
        <v>-0.58835253344646077</v>
      </c>
      <c r="V238" s="2">
        <v>2.9855123790825928</v>
      </c>
    </row>
    <row r="239" spans="1:22" ht="15">
      <c r="A239" s="2">
        <v>238</v>
      </c>
      <c r="B239" s="2" t="s">
        <v>80</v>
      </c>
      <c r="C239" s="2" t="s">
        <v>13</v>
      </c>
      <c r="D239" s="2">
        <v>1452.7905730647035</v>
      </c>
      <c r="E239" s="2">
        <v>660.8431265456602</v>
      </c>
      <c r="F239" s="2">
        <v>663.02005993202329</v>
      </c>
      <c r="G239" s="2">
        <v>211.05346262454987</v>
      </c>
      <c r="H239" s="2">
        <v>14.502506742719561</v>
      </c>
      <c r="I239" s="2">
        <v>0.81618452034424993</v>
      </c>
      <c r="J239" s="2">
        <v>9</v>
      </c>
      <c r="K239" s="2">
        <v>197.77534462045776</v>
      </c>
      <c r="L239" s="2">
        <v>50</v>
      </c>
      <c r="M239" s="2">
        <v>25</v>
      </c>
      <c r="N239" s="2">
        <v>1.2189102164594567</v>
      </c>
      <c r="O239" s="2">
        <v>52.214331878511267</v>
      </c>
      <c r="P239" s="2">
        <v>1452.7905730647035</v>
      </c>
      <c r="Q239" s="2">
        <v>1.210593329128852</v>
      </c>
      <c r="R239" s="2">
        <v>52.552430864871589</v>
      </c>
      <c r="S239" s="2">
        <v>1455.8061602149662</v>
      </c>
      <c r="T239" s="2">
        <v>-8.3168873306047608E-3</v>
      </c>
      <c r="U239" s="2">
        <v>0.33809898636032187</v>
      </c>
      <c r="V239" s="2">
        <v>3.0155871502627178</v>
      </c>
    </row>
    <row r="240" spans="1:22" ht="15">
      <c r="A240" s="2">
        <v>239</v>
      </c>
      <c r="B240" s="2" t="s">
        <v>80</v>
      </c>
      <c r="C240" s="2" t="s">
        <v>13</v>
      </c>
      <c r="D240" s="2">
        <v>1435.9436946222559</v>
      </c>
      <c r="E240" s="2">
        <v>659.37232758151367</v>
      </c>
      <c r="F240" s="2">
        <v>489.69957008957863</v>
      </c>
      <c r="G240" s="2">
        <v>280.83159062778577</v>
      </c>
      <c r="H240" s="2">
        <v>9.0917903324589133</v>
      </c>
      <c r="I240" s="2">
        <v>0.81385291864862674</v>
      </c>
      <c r="J240" s="2">
        <v>9</v>
      </c>
      <c r="K240" s="2">
        <v>196.0419330650048</v>
      </c>
      <c r="L240" s="2">
        <v>55</v>
      </c>
      <c r="M240" s="2">
        <v>25</v>
      </c>
      <c r="N240" s="2">
        <v>1.219768901889851</v>
      </c>
      <c r="O240" s="2">
        <v>52.197957701413003</v>
      </c>
      <c r="P240" s="2">
        <v>1435.9436946222559</v>
      </c>
      <c r="Q240" s="2">
        <v>1.2110907002830016</v>
      </c>
      <c r="R240" s="2">
        <v>50.812312361154056</v>
      </c>
      <c r="S240" s="2">
        <v>1443.2712497799041</v>
      </c>
      <c r="T240" s="2">
        <v>-8.6782016068494006E-3</v>
      </c>
      <c r="U240" s="2">
        <v>-1.3856453402589466</v>
      </c>
      <c r="V240" s="2">
        <v>7.3275551576482485</v>
      </c>
    </row>
    <row r="241" spans="1:22" ht="15">
      <c r="A241" s="2">
        <v>240</v>
      </c>
      <c r="B241" s="2" t="s">
        <v>80</v>
      </c>
      <c r="C241" s="2" t="s">
        <v>13</v>
      </c>
      <c r="D241" s="2">
        <v>1365.5793290468864</v>
      </c>
      <c r="E241" s="2">
        <v>895.06517965346575</v>
      </c>
      <c r="F241" s="2">
        <v>517.14268764480948</v>
      </c>
      <c r="G241" s="2">
        <v>127.86197852808982</v>
      </c>
      <c r="H241" s="2">
        <v>9.656728649046272</v>
      </c>
      <c r="I241" s="2">
        <v>0.83915288365446039</v>
      </c>
      <c r="J241" s="2">
        <v>9</v>
      </c>
      <c r="K241" s="2">
        <v>180.81453274638778</v>
      </c>
      <c r="L241" s="2">
        <v>50</v>
      </c>
      <c r="M241" s="2">
        <v>25</v>
      </c>
      <c r="N241" s="2">
        <v>1.201324056389975</v>
      </c>
      <c r="O241" s="2">
        <v>52.215135390710479</v>
      </c>
      <c r="P241" s="2">
        <v>1365.5793290468864</v>
      </c>
      <c r="Q241" s="2">
        <v>1.196921444741645</v>
      </c>
      <c r="R241" s="2">
        <v>51.876570335260965</v>
      </c>
      <c r="S241" s="2">
        <v>1377.6280451847417</v>
      </c>
      <c r="T241" s="2">
        <v>-4.4026116483300015E-3</v>
      </c>
      <c r="U241" s="2">
        <v>-0.33856505544951432</v>
      </c>
      <c r="V241" s="2">
        <v>12.048716137855308</v>
      </c>
    </row>
    <row r="242" spans="1:22" ht="15">
      <c r="A242" s="2">
        <v>241</v>
      </c>
      <c r="B242" s="2" t="s">
        <v>78</v>
      </c>
      <c r="C242" s="2" t="s">
        <v>13</v>
      </c>
      <c r="D242" s="2">
        <v>1485.1178077049553</v>
      </c>
      <c r="E242" s="2">
        <v>618.54790908982977</v>
      </c>
      <c r="F242" s="2">
        <v>695.73657307773829</v>
      </c>
      <c r="G242" s="2">
        <v>119.83088216045871</v>
      </c>
      <c r="H242" s="2">
        <v>13.116771506145597</v>
      </c>
      <c r="I242" s="2">
        <v>0.81317878945963462</v>
      </c>
      <c r="J242" s="2">
        <v>10</v>
      </c>
      <c r="K242" s="2">
        <v>182.63115405307494</v>
      </c>
      <c r="L242" s="2">
        <v>50</v>
      </c>
      <c r="M242" s="2">
        <v>25</v>
      </c>
      <c r="N242" s="2">
        <v>1.2510508579778647</v>
      </c>
      <c r="O242" s="2">
        <v>52.223460486869826</v>
      </c>
      <c r="P242" s="2">
        <v>1485.1178077049553</v>
      </c>
      <c r="Q242" s="2">
        <v>1.2396378596838495</v>
      </c>
      <c r="R242" s="2">
        <v>51.400745454828645</v>
      </c>
      <c r="S242" s="2">
        <v>1496.4543665043955</v>
      </c>
      <c r="T242" s="2">
        <v>-1.1412998294015209E-2</v>
      </c>
      <c r="U242" s="2">
        <v>-0.8227150320411809</v>
      </c>
      <c r="V242" s="2">
        <v>11.336558799440127</v>
      </c>
    </row>
    <row r="243" spans="1:22" ht="15">
      <c r="A243" s="2">
        <v>242</v>
      </c>
      <c r="B243" s="2" t="s">
        <v>78</v>
      </c>
      <c r="C243" s="2" t="s">
        <v>13</v>
      </c>
      <c r="D243" s="2">
        <v>1366.4639398106374</v>
      </c>
      <c r="E243" s="2">
        <v>1140.9018208505586</v>
      </c>
      <c r="F243" s="2">
        <v>661.87412822619081</v>
      </c>
      <c r="G243" s="2">
        <v>316.07055586762726</v>
      </c>
      <c r="H243" s="2">
        <v>21.28998488234356</v>
      </c>
      <c r="I243" s="2">
        <v>0.82589020373765387</v>
      </c>
      <c r="J243" s="2">
        <v>9</v>
      </c>
      <c r="K243" s="2">
        <v>183.837180727543</v>
      </c>
      <c r="L243" s="2">
        <v>35</v>
      </c>
      <c r="M243" s="2">
        <v>25</v>
      </c>
      <c r="N243" s="2">
        <v>1.2477562389502985</v>
      </c>
      <c r="O243" s="2">
        <v>52.305381141283448</v>
      </c>
      <c r="P243" s="2">
        <v>1366.4639398106374</v>
      </c>
      <c r="Q243" s="2">
        <v>1.2648992903797649</v>
      </c>
      <c r="R243" s="2">
        <v>52.208260136264371</v>
      </c>
      <c r="S243" s="2">
        <v>1350.637465395534</v>
      </c>
      <c r="T243" s="2">
        <v>1.7143051429466372E-2</v>
      </c>
      <c r="U243" s="2">
        <v>-9.7121005019076279E-2</v>
      </c>
      <c r="V243" s="2">
        <v>-15.826474415103348</v>
      </c>
    </row>
    <row r="244" spans="1:22" ht="15">
      <c r="A244" s="2">
        <v>243</v>
      </c>
      <c r="B244" s="2" t="s">
        <v>78</v>
      </c>
      <c r="C244" s="2" t="s">
        <v>13</v>
      </c>
      <c r="D244" s="2">
        <v>1489.0378629555926</v>
      </c>
      <c r="E244" s="2">
        <v>748.40086583280936</v>
      </c>
      <c r="F244" s="2">
        <v>475.93510113656521</v>
      </c>
      <c r="G244" s="2">
        <v>216.65408146334812</v>
      </c>
      <c r="H244" s="2">
        <v>25.068900001235306</v>
      </c>
      <c r="I244" s="2">
        <v>0.79626198236597701</v>
      </c>
      <c r="J244" s="2">
        <v>10</v>
      </c>
      <c r="K244" s="2">
        <v>187.00351089614156</v>
      </c>
      <c r="L244" s="2">
        <v>45</v>
      </c>
      <c r="M244" s="2">
        <v>25</v>
      </c>
      <c r="N244" s="2">
        <v>1.1935438515461663</v>
      </c>
      <c r="O244" s="2">
        <v>52.22465152589097</v>
      </c>
      <c r="P244" s="2">
        <v>1489.0378629555926</v>
      </c>
      <c r="Q244" s="2">
        <v>1.1835465944857257</v>
      </c>
      <c r="R244" s="2">
        <v>52.677903194456142</v>
      </c>
      <c r="S244" s="2">
        <v>1481.1247951381263</v>
      </c>
      <c r="T244" s="2">
        <v>-9.9972570604405231E-3</v>
      </c>
      <c r="U244" s="2">
        <v>0.45325166856517285</v>
      </c>
      <c r="V244" s="2">
        <v>-7.9130678174662989</v>
      </c>
    </row>
    <row r="245" spans="1:22" ht="15">
      <c r="A245" s="2">
        <v>244</v>
      </c>
      <c r="B245" s="2" t="s">
        <v>78</v>
      </c>
      <c r="C245" s="2" t="s">
        <v>13</v>
      </c>
      <c r="D245" s="2">
        <v>1389.5223104744218</v>
      </c>
      <c r="E245" s="2">
        <v>1073.4280759934336</v>
      </c>
      <c r="F245" s="2">
        <v>547.93055532500148</v>
      </c>
      <c r="G245" s="2">
        <v>112.51846076454967</v>
      </c>
      <c r="H245" s="2">
        <v>16.79305726243183</v>
      </c>
      <c r="I245" s="2">
        <v>0.85628759691491729</v>
      </c>
      <c r="J245" s="2">
        <v>9</v>
      </c>
      <c r="K245" s="2">
        <v>180.30316962051242</v>
      </c>
      <c r="L245" s="2">
        <v>45</v>
      </c>
      <c r="M245" s="2">
        <v>25</v>
      </c>
      <c r="N245" s="2">
        <v>1.256286272434626</v>
      </c>
      <c r="O245" s="2">
        <v>52.245354785583039</v>
      </c>
      <c r="P245" s="2">
        <v>1389.5223104744218</v>
      </c>
      <c r="Q245" s="2">
        <v>1.2559109129387456</v>
      </c>
      <c r="R245" s="2">
        <v>51.763321312847019</v>
      </c>
      <c r="S245" s="2">
        <v>1382.1530564756522</v>
      </c>
      <c r="T245" s="2">
        <v>-3.7535949588041184E-4</v>
      </c>
      <c r="U245" s="2">
        <v>-0.48203347273602049</v>
      </c>
      <c r="V245" s="2">
        <v>-7.3692539987696364</v>
      </c>
    </row>
    <row r="246" spans="1:22" ht="15">
      <c r="A246" s="2">
        <v>245</v>
      </c>
      <c r="B246" s="2" t="s">
        <v>78</v>
      </c>
      <c r="C246" s="2" t="s">
        <v>13</v>
      </c>
      <c r="D246" s="2">
        <v>1422.7869298774749</v>
      </c>
      <c r="E246" s="2">
        <v>1032.7461659791879</v>
      </c>
      <c r="F246" s="2">
        <v>728.68965547531843</v>
      </c>
      <c r="G246" s="2">
        <v>138.25452721910551</v>
      </c>
      <c r="H246" s="2">
        <v>23.482400983572006</v>
      </c>
      <c r="I246" s="2">
        <v>0.80492487689713021</v>
      </c>
      <c r="J246" s="2">
        <v>9</v>
      </c>
      <c r="K246" s="2">
        <v>196.40023707859189</v>
      </c>
      <c r="L246" s="2">
        <v>35</v>
      </c>
      <c r="M246" s="2">
        <v>25</v>
      </c>
      <c r="N246" s="2">
        <v>1.1444176631338983</v>
      </c>
      <c r="O246" s="2">
        <v>52.271209217616935</v>
      </c>
      <c r="P246" s="2">
        <v>1422.7869298774749</v>
      </c>
      <c r="Q246" s="2">
        <v>1.1554428126389005</v>
      </c>
      <c r="R246" s="2">
        <v>52.775079048400883</v>
      </c>
      <c r="S246" s="2">
        <v>1402.1428057590722</v>
      </c>
      <c r="T246" s="2">
        <v>1.1025149505002219E-2</v>
      </c>
      <c r="U246" s="2">
        <v>0.5038698307839482</v>
      </c>
      <c r="V246" s="2">
        <v>-20.644124118402715</v>
      </c>
    </row>
    <row r="247" spans="1:22" ht="15">
      <c r="A247" s="2">
        <v>246</v>
      </c>
      <c r="B247" s="2" t="s">
        <v>78</v>
      </c>
      <c r="C247" s="2" t="s">
        <v>13</v>
      </c>
      <c r="D247" s="2">
        <v>1402.0265423809178</v>
      </c>
      <c r="E247" s="2">
        <v>668.75610367860645</v>
      </c>
      <c r="F247" s="2">
        <v>508.10450138524175</v>
      </c>
      <c r="G247" s="2">
        <v>198.49716166034341</v>
      </c>
      <c r="H247" s="2">
        <v>12.1386115164496</v>
      </c>
      <c r="I247" s="2">
        <v>0.82667972532566636</v>
      </c>
      <c r="J247" s="2">
        <v>9</v>
      </c>
      <c r="K247" s="2">
        <v>188.44145097406863</v>
      </c>
      <c r="L247" s="2">
        <v>55</v>
      </c>
      <c r="M247" s="2">
        <v>25</v>
      </c>
      <c r="N247" s="2">
        <v>1.1870268205801411</v>
      </c>
      <c r="O247" s="2">
        <v>52.189452659776471</v>
      </c>
      <c r="P247" s="2">
        <v>1402.0265423809178</v>
      </c>
      <c r="Q247" s="2">
        <v>1.1944525841421718</v>
      </c>
      <c r="R247" s="2">
        <v>50.613373863764473</v>
      </c>
      <c r="S247" s="2">
        <v>1411.0686061462691</v>
      </c>
      <c r="T247" s="2">
        <v>7.4257635620307294E-3</v>
      </c>
      <c r="U247" s="2">
        <v>-1.5760787960119984</v>
      </c>
      <c r="V247" s="2">
        <v>9.0420637653512586</v>
      </c>
    </row>
    <row r="248" spans="1:22" ht="15">
      <c r="A248" s="2">
        <v>247</v>
      </c>
      <c r="B248" s="2" t="s">
        <v>78</v>
      </c>
      <c r="C248" s="2" t="s">
        <v>13</v>
      </c>
      <c r="D248" s="2">
        <v>1390.68037730176</v>
      </c>
      <c r="E248" s="2">
        <v>991.8997680884786</v>
      </c>
      <c r="F248" s="2">
        <v>420.72101980447769</v>
      </c>
      <c r="G248" s="2">
        <v>204.94827335467562</v>
      </c>
      <c r="H248" s="2">
        <v>15.367596249096096</v>
      </c>
      <c r="I248" s="2">
        <v>0.80699097934877506</v>
      </c>
      <c r="J248" s="2">
        <v>9</v>
      </c>
      <c r="K248" s="2">
        <v>191.47678955112019</v>
      </c>
      <c r="L248" s="2">
        <v>45</v>
      </c>
      <c r="M248" s="2">
        <v>25</v>
      </c>
      <c r="N248" s="2">
        <v>1.1705754772499337</v>
      </c>
      <c r="O248" s="2">
        <v>52.227219455875037</v>
      </c>
      <c r="P248" s="2">
        <v>1390.68037730176</v>
      </c>
      <c r="Q248" s="2">
        <v>1.1748259686958145</v>
      </c>
      <c r="R248" s="2">
        <v>52.075090035541564</v>
      </c>
      <c r="S248" s="2">
        <v>1404.0440534980044</v>
      </c>
      <c r="T248" s="2">
        <v>4.2504914458807441E-3</v>
      </c>
      <c r="U248" s="2">
        <v>-0.15212942033347332</v>
      </c>
      <c r="V248" s="2">
        <v>13.363676196244342</v>
      </c>
    </row>
    <row r="249" spans="1:22" ht="15">
      <c r="A249" s="2">
        <v>248</v>
      </c>
      <c r="B249" s="2" t="s">
        <v>78</v>
      </c>
      <c r="C249" s="2" t="s">
        <v>13</v>
      </c>
      <c r="D249" s="2">
        <v>1443.8692598487251</v>
      </c>
      <c r="E249" s="2">
        <v>1099.026211630553</v>
      </c>
      <c r="F249" s="2">
        <v>508.9898637495935</v>
      </c>
      <c r="G249" s="2">
        <v>265.86561328265816</v>
      </c>
      <c r="H249" s="2">
        <v>9.6690352610312402</v>
      </c>
      <c r="I249" s="2">
        <v>0.84762706545181576</v>
      </c>
      <c r="J249" s="2">
        <v>9</v>
      </c>
      <c r="K249" s="2">
        <v>189.2694609456041</v>
      </c>
      <c r="L249" s="2">
        <v>40</v>
      </c>
      <c r="M249" s="2">
        <v>25</v>
      </c>
      <c r="N249" s="2">
        <v>1.1813148836059895</v>
      </c>
      <c r="O249" s="2">
        <v>52.26718500230475</v>
      </c>
      <c r="P249" s="2">
        <v>1443.8692598487251</v>
      </c>
      <c r="Q249" s="2">
        <v>1.1842446262316852</v>
      </c>
      <c r="R249" s="2">
        <v>52.877840255496622</v>
      </c>
      <c r="S249" s="2">
        <v>1452.405615438829</v>
      </c>
      <c r="T249" s="2">
        <v>2.9297426256957859E-3</v>
      </c>
      <c r="U249" s="2">
        <v>0.6106552531918723</v>
      </c>
      <c r="V249" s="2">
        <v>8.5363555901039945</v>
      </c>
    </row>
    <row r="250" spans="1:22" ht="15">
      <c r="A250" s="2">
        <v>249</v>
      </c>
      <c r="B250" s="2" t="s">
        <v>78</v>
      </c>
      <c r="C250" s="2" t="s">
        <v>13</v>
      </c>
      <c r="D250" s="2">
        <v>1410.7166904956102</v>
      </c>
      <c r="E250" s="2">
        <v>750.18207341199741</v>
      </c>
      <c r="F250" s="2">
        <v>607.96325374394655</v>
      </c>
      <c r="G250" s="2">
        <v>317.10333235794678</v>
      </c>
      <c r="H250" s="2">
        <v>28.531289203092456</v>
      </c>
      <c r="I250" s="2">
        <v>0.8070363227766939</v>
      </c>
      <c r="J250" s="2">
        <v>9</v>
      </c>
      <c r="K250" s="2">
        <v>194.22459004652288</v>
      </c>
      <c r="L250" s="2">
        <v>40</v>
      </c>
      <c r="M250" s="2">
        <v>25</v>
      </c>
      <c r="N250" s="2">
        <v>1.160871615483936</v>
      </c>
      <c r="O250" s="2">
        <v>52.236213147234707</v>
      </c>
      <c r="P250" s="2">
        <v>1410.7166904956102</v>
      </c>
      <c r="Q250" s="2">
        <v>1.1627670326915256</v>
      </c>
      <c r="R250" s="2">
        <v>51.291447701312606</v>
      </c>
      <c r="S250" s="2">
        <v>1403.3925010920539</v>
      </c>
      <c r="T250" s="2">
        <v>1.895417207589567E-3</v>
      </c>
      <c r="U250" s="2">
        <v>-0.94476544592210132</v>
      </c>
      <c r="V250" s="2">
        <v>-7.3241894035563746</v>
      </c>
    </row>
    <row r="251" spans="1:22" ht="15">
      <c r="A251" s="2">
        <v>250</v>
      </c>
      <c r="B251" s="2" t="s">
        <v>78</v>
      </c>
      <c r="C251" s="2" t="s">
        <v>13</v>
      </c>
      <c r="D251" s="2">
        <v>1450.7629776955582</v>
      </c>
      <c r="E251" s="2">
        <v>733.72187821660191</v>
      </c>
      <c r="F251" s="2">
        <v>450.17395177856088</v>
      </c>
      <c r="G251" s="2">
        <v>168.44462386332452</v>
      </c>
      <c r="H251" s="2">
        <v>16.496672224719077</v>
      </c>
      <c r="I251" s="2">
        <v>0.8171356461243704</v>
      </c>
      <c r="J251" s="2">
        <v>9</v>
      </c>
      <c r="K251" s="2">
        <v>197.26943399808934</v>
      </c>
      <c r="L251" s="2">
        <v>55</v>
      </c>
      <c r="M251" s="2">
        <v>25</v>
      </c>
      <c r="N251" s="2">
        <v>1.1854419050413332</v>
      </c>
      <c r="O251" s="2">
        <v>52.185863685267876</v>
      </c>
      <c r="P251" s="2">
        <v>1450.7629776955582</v>
      </c>
      <c r="Q251" s="2">
        <v>1.1897945876015756</v>
      </c>
      <c r="R251" s="2">
        <v>52.055880343939762</v>
      </c>
      <c r="S251" s="2">
        <v>1472.3558468173048</v>
      </c>
      <c r="T251" s="2">
        <v>4.3526825602424601E-3</v>
      </c>
      <c r="U251" s="2">
        <v>-0.12998334132811351</v>
      </c>
      <c r="V251" s="2">
        <v>21.592869121746617</v>
      </c>
    </row>
    <row r="252" spans="1:22" ht="15">
      <c r="A252" s="2">
        <v>251</v>
      </c>
      <c r="B252" s="2" t="s">
        <v>78</v>
      </c>
      <c r="C252" s="2" t="s">
        <v>13</v>
      </c>
      <c r="D252" s="2">
        <v>1431.8034042371437</v>
      </c>
      <c r="E252" s="2">
        <v>1236.3414526567794</v>
      </c>
      <c r="F252" s="2">
        <v>479.18628193438053</v>
      </c>
      <c r="G252" s="2">
        <v>261.47750868229195</v>
      </c>
      <c r="H252" s="2">
        <v>22.005761899985373</v>
      </c>
      <c r="I252" s="2">
        <v>0.81551839994965125</v>
      </c>
      <c r="J252" s="2">
        <v>9</v>
      </c>
      <c r="K252" s="2">
        <v>195.07747114875926</v>
      </c>
      <c r="L252" s="2">
        <v>35</v>
      </c>
      <c r="M252" s="2">
        <v>25</v>
      </c>
      <c r="N252" s="2">
        <v>1.1768342168371264</v>
      </c>
      <c r="O252" s="2">
        <v>52.283264542557411</v>
      </c>
      <c r="P252" s="2">
        <v>1431.8034042371437</v>
      </c>
      <c r="Q252" s="2">
        <v>1.1813191742617013</v>
      </c>
      <c r="R252" s="2">
        <v>52.946219036953877</v>
      </c>
      <c r="S252" s="2">
        <v>1413.3736629271275</v>
      </c>
      <c r="T252" s="2">
        <v>4.4849574245748869E-3</v>
      </c>
      <c r="U252" s="2">
        <v>0.66295449439646603</v>
      </c>
      <c r="V252" s="2">
        <v>-18.429741310016198</v>
      </c>
    </row>
    <row r="253" spans="1:22" ht="15">
      <c r="A253" s="2">
        <v>252</v>
      </c>
      <c r="B253" s="2" t="s">
        <v>78</v>
      </c>
      <c r="C253" s="2" t="s">
        <v>13</v>
      </c>
      <c r="D253" s="2">
        <v>1374.2923435172997</v>
      </c>
      <c r="E253" s="2">
        <v>810.18109354190528</v>
      </c>
      <c r="F253" s="2">
        <v>588.87509061023593</v>
      </c>
      <c r="G253" s="2">
        <v>114.14074506144971</v>
      </c>
      <c r="H253" s="2">
        <v>24.076755444984883</v>
      </c>
      <c r="I253" s="2">
        <v>0.80447905093431471</v>
      </c>
      <c r="J253" s="2">
        <v>9</v>
      </c>
      <c r="K253" s="2">
        <v>189.81121895263345</v>
      </c>
      <c r="L253" s="2">
        <v>50</v>
      </c>
      <c r="M253" s="2">
        <v>25</v>
      </c>
      <c r="N253" s="2">
        <v>1.2438524832861853</v>
      </c>
      <c r="O253" s="2">
        <v>52.210945231187623</v>
      </c>
      <c r="P253" s="2">
        <v>1374.2923435172997</v>
      </c>
      <c r="Q253" s="2">
        <v>1.23839159055362</v>
      </c>
      <c r="R253" s="2">
        <v>52.140029061223949</v>
      </c>
      <c r="S253" s="2">
        <v>1376.3357451062054</v>
      </c>
      <c r="T253" s="2">
        <v>-5.4608927325652257E-3</v>
      </c>
      <c r="U253" s="2">
        <v>-7.0916169963673781E-2</v>
      </c>
      <c r="V253" s="2">
        <v>2.0434015889056809</v>
      </c>
    </row>
    <row r="254" spans="1:22" ht="15">
      <c r="A254" s="2">
        <v>253</v>
      </c>
      <c r="B254" s="2" t="s">
        <v>78</v>
      </c>
      <c r="C254" s="2" t="s">
        <v>13</v>
      </c>
      <c r="D254" s="2">
        <v>1485.6319311540574</v>
      </c>
      <c r="E254" s="2">
        <v>710.99574760301039</v>
      </c>
      <c r="F254" s="2">
        <v>350.13728197664022</v>
      </c>
      <c r="G254" s="2">
        <v>207.31834762962535</v>
      </c>
      <c r="H254" s="2">
        <v>19.581257190555334</v>
      </c>
      <c r="I254" s="2">
        <v>0.84510465074563401</v>
      </c>
      <c r="J254" s="2">
        <v>9</v>
      </c>
      <c r="K254" s="2">
        <v>195.32517591405033</v>
      </c>
      <c r="L254" s="2">
        <v>60</v>
      </c>
      <c r="M254" s="2">
        <v>25</v>
      </c>
      <c r="N254" s="2">
        <v>1.2172341335634604</v>
      </c>
      <c r="O254" s="2">
        <v>52.172783280991361</v>
      </c>
      <c r="P254" s="2">
        <v>1485.6319311540574</v>
      </c>
      <c r="Q254" s="2">
        <v>1.2158163376480815</v>
      </c>
      <c r="R254" s="2">
        <v>51.969266778627436</v>
      </c>
      <c r="S254" s="2">
        <v>1502.8125398782863</v>
      </c>
      <c r="T254" s="2">
        <v>-1.4177959153789388E-3</v>
      </c>
      <c r="U254" s="2">
        <v>-0.20351650236392516</v>
      </c>
      <c r="V254" s="2">
        <v>17.180608724228932</v>
      </c>
    </row>
    <row r="255" spans="1:22" ht="15">
      <c r="A255" s="2">
        <v>254</v>
      </c>
      <c r="B255" s="2" t="s">
        <v>78</v>
      </c>
      <c r="C255" s="2" t="s">
        <v>13</v>
      </c>
      <c r="D255" s="2">
        <v>1380.7955730822869</v>
      </c>
      <c r="E255" s="2">
        <v>975.67828770261258</v>
      </c>
      <c r="F255" s="2">
        <v>384.01992218568921</v>
      </c>
      <c r="G255" s="2">
        <v>270.87707716971636</v>
      </c>
      <c r="H255" s="2">
        <v>27.878576549235731</v>
      </c>
      <c r="I255" s="2">
        <v>0.84989490184467287</v>
      </c>
      <c r="J255" s="2">
        <v>9</v>
      </c>
      <c r="K255" s="2">
        <v>180.51847353064338</v>
      </c>
      <c r="L255" s="2">
        <v>45</v>
      </c>
      <c r="M255" s="2">
        <v>25</v>
      </c>
      <c r="N255" s="2">
        <v>1.2382247518642002</v>
      </c>
      <c r="O255" s="2">
        <v>52.229247451634521</v>
      </c>
      <c r="P255" s="2">
        <v>1380.7955730822869</v>
      </c>
      <c r="Q255" s="2">
        <v>1.2412441505249328</v>
      </c>
      <c r="R255" s="2">
        <v>52.349432642878718</v>
      </c>
      <c r="S255" s="2">
        <v>1374.5373661254068</v>
      </c>
      <c r="T255" s="2">
        <v>3.0193986607325307E-3</v>
      </c>
      <c r="U255" s="2">
        <v>0.12018519124419669</v>
      </c>
      <c r="V255" s="2">
        <v>-6.2582069568800307</v>
      </c>
    </row>
    <row r="256" spans="1:22" ht="15">
      <c r="A256" s="2">
        <v>255</v>
      </c>
      <c r="B256" s="2" t="s">
        <v>79</v>
      </c>
      <c r="C256" s="2" t="s">
        <v>13</v>
      </c>
      <c r="D256" s="2">
        <v>1356.6668614977971</v>
      </c>
      <c r="E256" s="2">
        <v>786.52753859059885</v>
      </c>
      <c r="F256" s="2">
        <v>506.68719932436943</v>
      </c>
      <c r="G256" s="2">
        <v>239.30161572759971</v>
      </c>
      <c r="H256" s="2">
        <v>15.122365898452699</v>
      </c>
      <c r="I256" s="2">
        <v>0.7941065098508262</v>
      </c>
      <c r="J256" s="2">
        <v>9</v>
      </c>
      <c r="K256" s="2">
        <v>189.82436300259135</v>
      </c>
      <c r="L256" s="2">
        <v>50</v>
      </c>
      <c r="M256" s="2">
        <v>25</v>
      </c>
      <c r="N256" s="2">
        <v>1.2198215163181012</v>
      </c>
      <c r="O256" s="2">
        <v>52.21395761244171</v>
      </c>
      <c r="P256" s="2">
        <v>1356.6668614977971</v>
      </c>
      <c r="Q256" s="2">
        <v>1.2250958546975625</v>
      </c>
      <c r="R256" s="2">
        <v>52.079641241044115</v>
      </c>
      <c r="S256" s="2">
        <v>1369.5832826979142</v>
      </c>
      <c r="T256" s="2">
        <v>5.2743383794613408E-3</v>
      </c>
      <c r="U256" s="2">
        <v>-0.13431637139759545</v>
      </c>
      <c r="V256" s="2">
        <v>12.916421200117156</v>
      </c>
    </row>
    <row r="257" spans="1:22" ht="15">
      <c r="A257" s="2">
        <v>256</v>
      </c>
      <c r="B257" s="2" t="s">
        <v>79</v>
      </c>
      <c r="C257" s="2" t="s">
        <v>13</v>
      </c>
      <c r="D257" s="2">
        <v>1438.9322565752082</v>
      </c>
      <c r="E257" s="2">
        <v>1032.4061919003725</v>
      </c>
      <c r="F257" s="2">
        <v>485.39516916498542</v>
      </c>
      <c r="G257" s="2">
        <v>291.48846030700952</v>
      </c>
      <c r="H257" s="2">
        <v>20.180037604179233</v>
      </c>
      <c r="I257" s="2">
        <v>0.83545733767561614</v>
      </c>
      <c r="J257" s="2">
        <v>9</v>
      </c>
      <c r="K257" s="2">
        <v>191.36986968898594</v>
      </c>
      <c r="L257" s="2">
        <v>40</v>
      </c>
      <c r="M257" s="2">
        <v>25</v>
      </c>
      <c r="N257" s="2">
        <v>1.1990649834988722</v>
      </c>
      <c r="O257" s="2">
        <v>52.257113515397478</v>
      </c>
      <c r="P257" s="2">
        <v>1438.9322565752082</v>
      </c>
      <c r="Q257" s="2">
        <v>1.1910148827668086</v>
      </c>
      <c r="R257" s="2">
        <v>53.024059342182731</v>
      </c>
      <c r="S257" s="2">
        <v>1439.1936762255284</v>
      </c>
      <c r="T257" s="2">
        <v>-8.0501007320636919E-3</v>
      </c>
      <c r="U257" s="2">
        <v>0.76694582678525336</v>
      </c>
      <c r="V257" s="2">
        <v>0.26141965032024927</v>
      </c>
    </row>
    <row r="258" spans="1:22" ht="15">
      <c r="A258" s="2">
        <v>257</v>
      </c>
      <c r="B258" s="2" t="s">
        <v>79</v>
      </c>
      <c r="C258" s="2" t="s">
        <v>13</v>
      </c>
      <c r="D258" s="2">
        <v>1439.6039824001491</v>
      </c>
      <c r="E258" s="2">
        <v>1051.5974845155142</v>
      </c>
      <c r="F258" s="2">
        <v>569.29684225469828</v>
      </c>
      <c r="G258" s="2">
        <v>311.73824424156919</v>
      </c>
      <c r="H258" s="2">
        <v>22.081160822883248</v>
      </c>
      <c r="I258" s="2">
        <v>0.79449337999569258</v>
      </c>
      <c r="J258" s="2">
        <v>10</v>
      </c>
      <c r="K258" s="2">
        <v>181.19773161709088</v>
      </c>
      <c r="L258" s="2">
        <v>35</v>
      </c>
      <c r="M258" s="2">
        <v>25</v>
      </c>
      <c r="N258" s="2">
        <v>1.2544277413636062</v>
      </c>
      <c r="O258" s="2">
        <v>52.309828592927786</v>
      </c>
      <c r="P258" s="2">
        <v>1439.6039824001491</v>
      </c>
      <c r="Q258" s="2">
        <v>1.2717637632270582</v>
      </c>
      <c r="R258" s="2">
        <v>53.472097868005854</v>
      </c>
      <c r="S258" s="2">
        <v>1422.372260236149</v>
      </c>
      <c r="T258" s="2">
        <v>1.7336021863451956E-2</v>
      </c>
      <c r="U258" s="2">
        <v>1.1622692750780672</v>
      </c>
      <c r="V258" s="2">
        <v>-17.231722164000075</v>
      </c>
    </row>
    <row r="259" spans="1:22" ht="15">
      <c r="A259" s="2">
        <v>258</v>
      </c>
      <c r="B259" s="2" t="s">
        <v>80</v>
      </c>
      <c r="C259" s="2" t="s">
        <v>13</v>
      </c>
      <c r="D259" s="2">
        <v>1427.0349477999844</v>
      </c>
      <c r="E259" s="2">
        <v>738.22018124628812</v>
      </c>
      <c r="F259" s="2">
        <v>565.77425235882401</v>
      </c>
      <c r="G259" s="2">
        <v>162.3967254254967</v>
      </c>
      <c r="H259" s="2">
        <v>27.219716392923146</v>
      </c>
      <c r="I259" s="2">
        <v>0.81425317300949251</v>
      </c>
      <c r="J259" s="2">
        <v>9</v>
      </c>
      <c r="K259" s="2">
        <v>194.72989961881822</v>
      </c>
      <c r="L259" s="2">
        <v>50</v>
      </c>
      <c r="M259" s="2">
        <v>25</v>
      </c>
      <c r="N259" s="2">
        <v>1.221754517501368</v>
      </c>
      <c r="O259" s="2">
        <v>52.203647041471839</v>
      </c>
      <c r="P259" s="2">
        <v>1427.0349477999844</v>
      </c>
      <c r="Q259" s="2">
        <v>1.2175697104955494</v>
      </c>
      <c r="R259" s="2">
        <v>51.423944356142194</v>
      </c>
      <c r="S259" s="2">
        <v>1421.5268611469203</v>
      </c>
      <c r="T259" s="2">
        <v>-4.1848070058185804E-3</v>
      </c>
      <c r="U259" s="2">
        <v>-0.77970268532964582</v>
      </c>
      <c r="V259" s="2">
        <v>-5.5080866530640833</v>
      </c>
    </row>
    <row r="260" spans="1:22" ht="15">
      <c r="A260" s="2">
        <v>259</v>
      </c>
      <c r="B260" s="2" t="s">
        <v>80</v>
      </c>
      <c r="C260" s="2" t="s">
        <v>13</v>
      </c>
      <c r="D260" s="2">
        <v>1390.7118115341291</v>
      </c>
      <c r="E260" s="2">
        <v>875.1841826015152</v>
      </c>
      <c r="F260" s="2">
        <v>353.07013504207134</v>
      </c>
      <c r="G260" s="2">
        <v>86.848808086942881</v>
      </c>
      <c r="H260" s="2">
        <v>14.274216239340603</v>
      </c>
      <c r="I260" s="2">
        <v>0.85038863033754752</v>
      </c>
      <c r="J260" s="2">
        <v>9</v>
      </c>
      <c r="K260" s="2">
        <v>181.70931395633514</v>
      </c>
      <c r="L260" s="2">
        <v>60</v>
      </c>
      <c r="M260" s="2">
        <v>25</v>
      </c>
      <c r="N260" s="2">
        <v>1.2399131657615372</v>
      </c>
      <c r="O260" s="2">
        <v>52.180057454879531</v>
      </c>
      <c r="P260" s="2">
        <v>1390.7118115341291</v>
      </c>
      <c r="Q260" s="2">
        <v>1.2286960369802113</v>
      </c>
      <c r="R260" s="2">
        <v>52.124839581020666</v>
      </c>
      <c r="S260" s="2">
        <v>1408.2203991571357</v>
      </c>
      <c r="T260" s="2">
        <v>-1.1217128781325858E-2</v>
      </c>
      <c r="U260" s="2">
        <v>-5.5217873858865119E-2</v>
      </c>
      <c r="V260" s="2">
        <v>17.508587623006633</v>
      </c>
    </row>
    <row r="261" spans="1:22" ht="15">
      <c r="A261" s="2">
        <v>260</v>
      </c>
      <c r="B261" s="2" t="s">
        <v>80</v>
      </c>
      <c r="C261" s="2" t="s">
        <v>13</v>
      </c>
      <c r="D261" s="2">
        <v>1465.3165578260086</v>
      </c>
      <c r="E261" s="2">
        <v>1158.24397620745</v>
      </c>
      <c r="F261" s="2">
        <v>631.80977730080485</v>
      </c>
      <c r="G261" s="2">
        <v>276.24300708528608</v>
      </c>
      <c r="H261" s="2">
        <v>25.633935354184359</v>
      </c>
      <c r="I261" s="2">
        <v>0.84548746993765245</v>
      </c>
      <c r="J261" s="2">
        <v>9</v>
      </c>
      <c r="K261" s="2">
        <v>192.56695889480491</v>
      </c>
      <c r="L261" s="2">
        <v>35</v>
      </c>
      <c r="M261" s="2">
        <v>25</v>
      </c>
      <c r="N261" s="2">
        <v>1.2453180011329756</v>
      </c>
      <c r="O261" s="2">
        <v>52.297187322395544</v>
      </c>
      <c r="P261" s="2">
        <v>1465.3165578260086</v>
      </c>
      <c r="Q261" s="2">
        <v>1.258381588154893</v>
      </c>
      <c r="R261" s="2">
        <v>52.31182342833344</v>
      </c>
      <c r="S261" s="2">
        <v>1451.7215789873264</v>
      </c>
      <c r="T261" s="2">
        <v>1.3063587021917344E-2</v>
      </c>
      <c r="U261" s="2">
        <v>1.4636105937896104E-2</v>
      </c>
      <c r="V261" s="2">
        <v>-13.594978838682209</v>
      </c>
    </row>
    <row r="262" spans="1:22" ht="15">
      <c r="A262" s="2">
        <v>261</v>
      </c>
      <c r="B262" s="2" t="s">
        <v>78</v>
      </c>
      <c r="C262" s="2" t="s">
        <v>13</v>
      </c>
      <c r="D262" s="2">
        <v>1439.5788619760424</v>
      </c>
      <c r="E262" s="2">
        <v>1209.4437608378939</v>
      </c>
      <c r="F262" s="2">
        <v>552.74023246020079</v>
      </c>
      <c r="G262" s="2">
        <v>254.91437803255394</v>
      </c>
      <c r="H262" s="2">
        <v>22.441823445260525</v>
      </c>
      <c r="I262" s="2">
        <v>0.85161182897398258</v>
      </c>
      <c r="J262" s="2">
        <v>9</v>
      </c>
      <c r="K262" s="2">
        <v>187.82407834674831</v>
      </c>
      <c r="L262" s="2">
        <v>35</v>
      </c>
      <c r="M262" s="2">
        <v>25</v>
      </c>
      <c r="N262" s="2">
        <v>1.2006403023660173</v>
      </c>
      <c r="O262" s="2">
        <v>52.289516063549726</v>
      </c>
      <c r="P262" s="2">
        <v>1439.5788619760424</v>
      </c>
      <c r="Q262" s="2">
        <v>1.2072823974973892</v>
      </c>
      <c r="R262" s="2">
        <v>52.507008565498253</v>
      </c>
      <c r="S262" s="2">
        <v>1422.59765670916</v>
      </c>
      <c r="T262" s="2">
        <v>6.6420951313719279E-3</v>
      </c>
      <c r="U262" s="2">
        <v>0.21749250194852721</v>
      </c>
      <c r="V262" s="2">
        <v>-16.981205266882398</v>
      </c>
    </row>
    <row r="263" spans="1:22" ht="15">
      <c r="A263" s="2">
        <v>262</v>
      </c>
      <c r="B263" s="2" t="s">
        <v>78</v>
      </c>
      <c r="C263" s="2" t="s">
        <v>13</v>
      </c>
      <c r="D263" s="2">
        <v>1489.0895589371212</v>
      </c>
      <c r="E263" s="2">
        <v>1178.5000327741727</v>
      </c>
      <c r="F263" s="2">
        <v>577.9985305853188</v>
      </c>
      <c r="G263" s="2">
        <v>172.84357307478786</v>
      </c>
      <c r="H263" s="2">
        <v>8.6590587929822505</v>
      </c>
      <c r="I263" s="2">
        <v>0.8441891769459472</v>
      </c>
      <c r="J263" s="2">
        <v>9</v>
      </c>
      <c r="K263" s="2">
        <v>195.99208323900584</v>
      </c>
      <c r="L263" s="2">
        <v>40</v>
      </c>
      <c r="M263" s="2">
        <v>25</v>
      </c>
      <c r="N263" s="2">
        <v>1.2090888959129253</v>
      </c>
      <c r="O263" s="2">
        <v>52.275832672623508</v>
      </c>
      <c r="P263" s="2">
        <v>1489.0895589371212</v>
      </c>
      <c r="Q263" s="2">
        <v>1.2305350501292476</v>
      </c>
      <c r="R263" s="2">
        <v>52.403240472283692</v>
      </c>
      <c r="S263" s="2">
        <v>1485.7529426862488</v>
      </c>
      <c r="T263" s="2">
        <v>2.1446154216322233E-2</v>
      </c>
      <c r="U263" s="2">
        <v>0.12740779966018323</v>
      </c>
      <c r="V263" s="2">
        <v>-3.3366162508723392</v>
      </c>
    </row>
    <row r="264" spans="1:22" ht="15">
      <c r="A264" s="2">
        <v>263</v>
      </c>
      <c r="B264" s="2" t="s">
        <v>78</v>
      </c>
      <c r="C264" s="2" t="s">
        <v>13</v>
      </c>
      <c r="D264" s="2">
        <v>1357.8181519405916</v>
      </c>
      <c r="E264" s="2">
        <v>1227.3328065988608</v>
      </c>
      <c r="F264" s="2">
        <v>715.13732373714447</v>
      </c>
      <c r="G264" s="2">
        <v>266.38797471066937</v>
      </c>
      <c r="H264" s="2">
        <v>8.2307597724720836</v>
      </c>
      <c r="I264" s="2">
        <v>0.83010290294652811</v>
      </c>
      <c r="J264" s="2">
        <v>9</v>
      </c>
      <c r="K264" s="2">
        <v>181.7469653622847</v>
      </c>
      <c r="L264" s="2">
        <v>35</v>
      </c>
      <c r="M264" s="2">
        <v>25</v>
      </c>
      <c r="N264" s="2">
        <v>1.2152914804106967</v>
      </c>
      <c r="O264" s="2">
        <v>52.319416200029394</v>
      </c>
      <c r="P264" s="2">
        <v>1357.8181519405916</v>
      </c>
      <c r="Q264" s="2">
        <v>1.2288144555180938</v>
      </c>
      <c r="R264" s="2">
        <v>52.339124495192245</v>
      </c>
      <c r="S264" s="2">
        <v>1350.542922935311</v>
      </c>
      <c r="T264" s="2">
        <v>1.3522975107397084E-2</v>
      </c>
      <c r="U264" s="2">
        <v>1.970829516285022E-2</v>
      </c>
      <c r="V264" s="2">
        <v>-7.2752290052806075</v>
      </c>
    </row>
    <row r="265" spans="1:22" ht="15">
      <c r="A265" s="2">
        <v>264</v>
      </c>
      <c r="B265" s="2" t="s">
        <v>78</v>
      </c>
      <c r="C265" s="2" t="s">
        <v>13</v>
      </c>
      <c r="D265" s="2">
        <v>1386.7213641176932</v>
      </c>
      <c r="E265" s="2">
        <v>660.74552955105901</v>
      </c>
      <c r="F265" s="2">
        <v>692.16625159606338</v>
      </c>
      <c r="G265" s="2">
        <v>313.97820407990366</v>
      </c>
      <c r="H265" s="2">
        <v>19.366352347191423</v>
      </c>
      <c r="I265" s="2">
        <v>0.79265428611077371</v>
      </c>
      <c r="J265" s="2">
        <v>9</v>
      </c>
      <c r="K265" s="2">
        <v>194.38506076165947</v>
      </c>
      <c r="L265" s="2">
        <v>45</v>
      </c>
      <c r="M265" s="2">
        <v>25</v>
      </c>
      <c r="N265" s="2">
        <v>1.2231550784868976</v>
      </c>
      <c r="O265" s="2">
        <v>52.23490982094652</v>
      </c>
      <c r="P265" s="2">
        <v>1386.7213641176932</v>
      </c>
      <c r="Q265" s="2">
        <v>1.2197513376662907</v>
      </c>
      <c r="R265" s="2">
        <v>51.978279470730101</v>
      </c>
      <c r="S265" s="2">
        <v>1384.0883869944614</v>
      </c>
      <c r="T265" s="2">
        <v>-3.4037408206069042E-3</v>
      </c>
      <c r="U265" s="2">
        <v>-0.25663035021641889</v>
      </c>
      <c r="V265" s="2">
        <v>-2.6329771232317398</v>
      </c>
    </row>
    <row r="266" spans="1:22" ht="15">
      <c r="A266" s="2">
        <v>265</v>
      </c>
      <c r="B266" s="2" t="s">
        <v>78</v>
      </c>
      <c r="C266" s="2" t="s">
        <v>13</v>
      </c>
      <c r="D266" s="2">
        <v>1403.1066449359059</v>
      </c>
      <c r="E266" s="2">
        <v>1135.4792505851947</v>
      </c>
      <c r="F266" s="2">
        <v>598.01507908850908</v>
      </c>
      <c r="G266" s="2">
        <v>201.21686857426539</v>
      </c>
      <c r="H266" s="2">
        <v>13.911890363320708</v>
      </c>
      <c r="I266" s="2">
        <v>0.80431977846892555</v>
      </c>
      <c r="J266" s="2">
        <v>9</v>
      </c>
      <c r="K266" s="2">
        <v>193.82929837057949</v>
      </c>
      <c r="L266" s="2">
        <v>40</v>
      </c>
      <c r="M266" s="2">
        <v>25</v>
      </c>
      <c r="N266" s="2">
        <v>1.2411992837007317</v>
      </c>
      <c r="O266" s="2">
        <v>52.276669843586816</v>
      </c>
      <c r="P266" s="2">
        <v>1403.1066449359059</v>
      </c>
      <c r="Q266" s="2">
        <v>1.2467399942731312</v>
      </c>
      <c r="R266" s="2">
        <v>52.837940633168259</v>
      </c>
      <c r="S266" s="2">
        <v>1407.0384419634281</v>
      </c>
      <c r="T266" s="2">
        <v>5.5407105723994654E-3</v>
      </c>
      <c r="U266" s="2">
        <v>0.56127078958144239</v>
      </c>
      <c r="V266" s="2">
        <v>3.9317970275221796</v>
      </c>
    </row>
    <row r="267" spans="1:22" ht="15">
      <c r="A267" s="2">
        <v>266</v>
      </c>
      <c r="B267" s="2" t="s">
        <v>78</v>
      </c>
      <c r="C267" s="2" t="s">
        <v>13</v>
      </c>
      <c r="D267" s="2">
        <v>1364.4779816851951</v>
      </c>
      <c r="E267" s="2">
        <v>1240.7905631000176</v>
      </c>
      <c r="F267" s="2">
        <v>605.68507025018334</v>
      </c>
      <c r="G267" s="2">
        <v>258.74085973016918</v>
      </c>
      <c r="H267" s="2">
        <v>24.593223069328815</v>
      </c>
      <c r="I267" s="2">
        <v>0.80852763165254149</v>
      </c>
      <c r="J267" s="2">
        <v>9</v>
      </c>
      <c r="K267" s="2">
        <v>187.51203879305513</v>
      </c>
      <c r="L267" s="2">
        <v>35</v>
      </c>
      <c r="M267" s="2">
        <v>25</v>
      </c>
      <c r="N267" s="2">
        <v>1.2599306611354772</v>
      </c>
      <c r="O267" s="2">
        <v>52.303255881683548</v>
      </c>
      <c r="P267" s="2">
        <v>1364.4779816851951</v>
      </c>
      <c r="Q267" s="2">
        <v>1.2652919075290432</v>
      </c>
      <c r="R267" s="2">
        <v>54.130015441754907</v>
      </c>
      <c r="S267" s="2">
        <v>1344.9659090628827</v>
      </c>
      <c r="T267" s="2">
        <v>5.3612463935659438E-3</v>
      </c>
      <c r="U267" s="2">
        <v>1.8267595600713591</v>
      </c>
      <c r="V267" s="2">
        <v>-19.512072622312417</v>
      </c>
    </row>
    <row r="268" spans="1:22" ht="15">
      <c r="A268" s="2">
        <v>267</v>
      </c>
      <c r="B268" s="2" t="s">
        <v>78</v>
      </c>
      <c r="C268" s="2" t="s">
        <v>13</v>
      </c>
      <c r="D268" s="2">
        <v>1367.4353527603671</v>
      </c>
      <c r="E268" s="2">
        <v>885.84246585378423</v>
      </c>
      <c r="F268" s="2">
        <v>678.56581695377827</v>
      </c>
      <c r="G268" s="2">
        <v>149.30761056719348</v>
      </c>
      <c r="H268" s="2">
        <v>13.235678882338107</v>
      </c>
      <c r="I268" s="2">
        <v>0.85231628848938279</v>
      </c>
      <c r="J268" s="2">
        <v>9</v>
      </c>
      <c r="K268" s="2">
        <v>178.26394200104653</v>
      </c>
      <c r="L268" s="2">
        <v>45</v>
      </c>
      <c r="M268" s="2">
        <v>25</v>
      </c>
      <c r="N268" s="2">
        <v>1.2253951325266963</v>
      </c>
      <c r="O268" s="2">
        <v>52.242211150674457</v>
      </c>
      <c r="P268" s="2">
        <v>1367.4353527603671</v>
      </c>
      <c r="Q268" s="2">
        <v>1.2408460354631852</v>
      </c>
      <c r="R268" s="2">
        <v>52.76840188710792</v>
      </c>
      <c r="S268" s="2">
        <v>1369.317096103789</v>
      </c>
      <c r="T268" s="2">
        <v>1.5450902936488875E-2</v>
      </c>
      <c r="U268" s="2">
        <v>0.52619073643346326</v>
      </c>
      <c r="V268" s="2">
        <v>1.8817433434219311</v>
      </c>
    </row>
    <row r="269" spans="1:22" ht="15">
      <c r="A269" s="2">
        <v>268</v>
      </c>
      <c r="B269" s="2" t="s">
        <v>78</v>
      </c>
      <c r="C269" s="2" t="s">
        <v>13</v>
      </c>
      <c r="D269" s="2">
        <v>1379.0701540536247</v>
      </c>
      <c r="E269" s="2">
        <v>1178.8739909883589</v>
      </c>
      <c r="F269" s="2">
        <v>432.02712638303638</v>
      </c>
      <c r="G269" s="2">
        <v>265.60619547497481</v>
      </c>
      <c r="H269" s="2">
        <v>26.615517857950181</v>
      </c>
      <c r="I269" s="2">
        <v>0.828359999768436</v>
      </c>
      <c r="J269" s="2">
        <v>9</v>
      </c>
      <c r="K269" s="2">
        <v>184.97998111920435</v>
      </c>
      <c r="L269" s="2">
        <v>35</v>
      </c>
      <c r="M269" s="2">
        <v>25</v>
      </c>
      <c r="N269" s="2">
        <v>1.1500705866983727</v>
      </c>
      <c r="O269" s="2">
        <v>52.267594402755563</v>
      </c>
      <c r="P269" s="2">
        <v>1379.0701540536247</v>
      </c>
      <c r="Q269" s="2">
        <v>1.1618245658162922</v>
      </c>
      <c r="R269" s="2">
        <v>52.60208605568166</v>
      </c>
      <c r="S269" s="2">
        <v>1355.9027367061067</v>
      </c>
      <c r="T269" s="2">
        <v>1.1753979117919533E-2</v>
      </c>
      <c r="U269" s="2">
        <v>0.33449165292609706</v>
      </c>
      <c r="V269" s="2">
        <v>-23.16741734751804</v>
      </c>
    </row>
    <row r="270" spans="1:22" ht="15">
      <c r="A270" s="2">
        <v>269</v>
      </c>
      <c r="B270" s="2" t="s">
        <v>78</v>
      </c>
      <c r="C270" s="2" t="s">
        <v>13</v>
      </c>
      <c r="D270" s="2">
        <v>1429.4907556381077</v>
      </c>
      <c r="E270" s="2">
        <v>1186.9011073256843</v>
      </c>
      <c r="F270" s="2">
        <v>392.53259506076574</v>
      </c>
      <c r="G270" s="2">
        <v>243.88794389786199</v>
      </c>
      <c r="H270" s="2">
        <v>20.217355210334063</v>
      </c>
      <c r="I270" s="2">
        <v>0.79755674407118937</v>
      </c>
      <c r="J270" s="2">
        <v>9</v>
      </c>
      <c r="K270" s="2">
        <v>199.14859646379554</v>
      </c>
      <c r="L270" s="2">
        <v>40</v>
      </c>
      <c r="M270" s="2">
        <v>25</v>
      </c>
      <c r="N270" s="2">
        <v>1.2077371302683819</v>
      </c>
      <c r="O270" s="2">
        <v>52.259301427696876</v>
      </c>
      <c r="P270" s="2">
        <v>1429.4907556381077</v>
      </c>
      <c r="Q270" s="2">
        <v>1.2122757285706689</v>
      </c>
      <c r="R270" s="2">
        <v>52.452727322671748</v>
      </c>
      <c r="S270" s="2">
        <v>1420.9762664200807</v>
      </c>
      <c r="T270" s="2">
        <v>4.538598302286978E-3</v>
      </c>
      <c r="U270" s="2">
        <v>0.19342589497487239</v>
      </c>
      <c r="V270" s="2">
        <v>-8.514489218026938</v>
      </c>
    </row>
    <row r="271" spans="1:22" ht="15">
      <c r="A271" s="2">
        <v>270</v>
      </c>
      <c r="B271" s="2" t="s">
        <v>78</v>
      </c>
      <c r="C271" s="2" t="s">
        <v>13</v>
      </c>
      <c r="D271" s="2">
        <v>1431.9876739871688</v>
      </c>
      <c r="E271" s="2">
        <v>1113.2993151200935</v>
      </c>
      <c r="F271" s="2">
        <v>378.27351139858365</v>
      </c>
      <c r="G271" s="2">
        <v>118.11744786798954</v>
      </c>
      <c r="H271" s="2">
        <v>8.3457923480309546</v>
      </c>
      <c r="I271" s="2">
        <v>0.85745964154135446</v>
      </c>
      <c r="J271" s="2">
        <v>9</v>
      </c>
      <c r="K271" s="2">
        <v>185.55945241704552</v>
      </c>
      <c r="L271" s="2">
        <v>50</v>
      </c>
      <c r="M271" s="2">
        <v>25</v>
      </c>
      <c r="N271" s="2">
        <v>1.2477969837656737</v>
      </c>
      <c r="O271" s="2">
        <v>52.225990956033741</v>
      </c>
      <c r="P271" s="2">
        <v>1431.9876739871688</v>
      </c>
      <c r="Q271" s="2">
        <v>1.2472927403552931</v>
      </c>
      <c r="R271" s="2">
        <v>52.449110872227699</v>
      </c>
      <c r="S271" s="2">
        <v>1431.5919501053427</v>
      </c>
      <c r="T271" s="2">
        <v>-5.0424341038057818E-4</v>
      </c>
      <c r="U271" s="2">
        <v>0.22311991619395855</v>
      </c>
      <c r="V271" s="2">
        <v>-0.39572388182614304</v>
      </c>
    </row>
    <row r="272" spans="1:22" ht="15">
      <c r="A272" s="2">
        <v>271</v>
      </c>
      <c r="B272" s="2" t="s">
        <v>78</v>
      </c>
      <c r="C272" s="2" t="s">
        <v>13</v>
      </c>
      <c r="D272" s="2">
        <v>1439.5549906650558</v>
      </c>
      <c r="E272" s="2">
        <v>627.07010778831318</v>
      </c>
      <c r="F272" s="2">
        <v>580.52955344319344</v>
      </c>
      <c r="G272" s="2">
        <v>267.10763793205842</v>
      </c>
      <c r="H272" s="2">
        <v>21.204035042785108</v>
      </c>
      <c r="I272" s="2">
        <v>0.82698255045106639</v>
      </c>
      <c r="J272" s="2">
        <v>9</v>
      </c>
      <c r="K272" s="2">
        <v>193.41466688879552</v>
      </c>
      <c r="L272" s="2">
        <v>50</v>
      </c>
      <c r="M272" s="2">
        <v>25</v>
      </c>
      <c r="N272" s="2">
        <v>1.2025897049327277</v>
      </c>
      <c r="O272" s="2">
        <v>52.204943735622074</v>
      </c>
      <c r="P272" s="2">
        <v>1439.5549906650558</v>
      </c>
      <c r="Q272" s="2">
        <v>1.2011481759980605</v>
      </c>
      <c r="R272" s="2">
        <v>50.687315451308073</v>
      </c>
      <c r="S272" s="2">
        <v>1445.1698451164859</v>
      </c>
      <c r="T272" s="2">
        <v>-1.4415289346672022E-3</v>
      </c>
      <c r="U272" s="2">
        <v>-1.5176282843140001</v>
      </c>
      <c r="V272" s="2">
        <v>5.6148544514301193</v>
      </c>
    </row>
    <row r="273" spans="1:22" ht="15">
      <c r="A273" s="2">
        <v>272</v>
      </c>
      <c r="B273" s="2" t="s">
        <v>78</v>
      </c>
      <c r="C273" s="2" t="s">
        <v>13</v>
      </c>
      <c r="D273" s="2">
        <v>1356.963431078475</v>
      </c>
      <c r="E273" s="2">
        <v>775.61307605355978</v>
      </c>
      <c r="F273" s="2">
        <v>570.83829781040549</v>
      </c>
      <c r="G273" s="2">
        <v>181.30628396291286</v>
      </c>
      <c r="H273" s="2">
        <v>21.317071744706482</v>
      </c>
      <c r="I273" s="2">
        <v>0.85376157759688798</v>
      </c>
      <c r="J273" s="2">
        <v>8</v>
      </c>
      <c r="K273" s="2">
        <v>198.67423568327567</v>
      </c>
      <c r="L273" s="2">
        <v>55</v>
      </c>
      <c r="M273" s="2">
        <v>25</v>
      </c>
      <c r="N273" s="2">
        <v>1.2195450001591728</v>
      </c>
      <c r="O273" s="2">
        <v>52.186747211374801</v>
      </c>
      <c r="P273" s="2">
        <v>1356.963431078475</v>
      </c>
      <c r="Q273" s="2">
        <v>1.2086790095050217</v>
      </c>
      <c r="R273" s="2">
        <v>51.822027285583204</v>
      </c>
      <c r="S273" s="2">
        <v>1365.0326194758188</v>
      </c>
      <c r="T273" s="2">
        <v>-1.0865990654151059E-2</v>
      </c>
      <c r="U273" s="2">
        <v>-0.36471992579159718</v>
      </c>
      <c r="V273" s="2">
        <v>8.0691883973438507</v>
      </c>
    </row>
    <row r="274" spans="1:22" ht="15">
      <c r="A274" s="2">
        <v>273</v>
      </c>
      <c r="B274" s="2" t="s">
        <v>78</v>
      </c>
      <c r="C274" s="2" t="s">
        <v>13</v>
      </c>
      <c r="D274" s="2">
        <v>1423.0759316124022</v>
      </c>
      <c r="E274" s="2">
        <v>1035.4017620324157</v>
      </c>
      <c r="F274" s="2">
        <v>517.0099625363946</v>
      </c>
      <c r="G274" s="2">
        <v>300.19880084553733</v>
      </c>
      <c r="H274" s="2">
        <v>27.18350818939507</v>
      </c>
      <c r="I274" s="2">
        <v>0.84778960800962522</v>
      </c>
      <c r="J274" s="2">
        <v>9</v>
      </c>
      <c r="K274" s="2">
        <v>186.50800441887276</v>
      </c>
      <c r="L274" s="2">
        <v>35</v>
      </c>
      <c r="M274" s="2">
        <v>25</v>
      </c>
      <c r="N274" s="2">
        <v>1.1405718325235294</v>
      </c>
      <c r="O274" s="2">
        <v>52.263868296175232</v>
      </c>
      <c r="P274" s="2">
        <v>1423.0759316124022</v>
      </c>
      <c r="Q274" s="2">
        <v>1.1333258875364214</v>
      </c>
      <c r="R274" s="2">
        <v>52.912918801733795</v>
      </c>
      <c r="S274" s="2">
        <v>1399.7583575955912</v>
      </c>
      <c r="T274" s="2">
        <v>-7.2459449871080661E-3</v>
      </c>
      <c r="U274" s="2">
        <v>0.64905050555856292</v>
      </c>
      <c r="V274" s="2">
        <v>-23.317574016811022</v>
      </c>
    </row>
    <row r="275" spans="1:22" ht="15">
      <c r="A275" s="2">
        <v>274</v>
      </c>
      <c r="B275" s="2" t="s">
        <v>78</v>
      </c>
      <c r="C275" s="2" t="s">
        <v>13</v>
      </c>
      <c r="D275" s="2">
        <v>1387.5239755609073</v>
      </c>
      <c r="E275" s="2">
        <v>950.26643213350326</v>
      </c>
      <c r="F275" s="2">
        <v>433.93304729834199</v>
      </c>
      <c r="G275" s="2">
        <v>298.73841364867985</v>
      </c>
      <c r="H275" s="2">
        <v>18.295609459746629</v>
      </c>
      <c r="I275" s="2">
        <v>0.81713925505522644</v>
      </c>
      <c r="J275" s="2">
        <v>9</v>
      </c>
      <c r="K275" s="2">
        <v>188.66959292937045</v>
      </c>
      <c r="L275" s="2">
        <v>45</v>
      </c>
      <c r="M275" s="2">
        <v>25</v>
      </c>
      <c r="N275" s="2">
        <v>1.2289437470138223</v>
      </c>
      <c r="O275" s="2">
        <v>52.23741209097858</v>
      </c>
      <c r="P275" s="2">
        <v>1387.5239755609073</v>
      </c>
      <c r="Q275" s="2">
        <v>1.235207371159651</v>
      </c>
      <c r="R275" s="2">
        <v>52.072325382832858</v>
      </c>
      <c r="S275" s="2">
        <v>1384.4639383917699</v>
      </c>
      <c r="T275" s="2">
        <v>6.2636241458287056E-3</v>
      </c>
      <c r="U275" s="2">
        <v>-0.16508670814572213</v>
      </c>
      <c r="V275" s="2">
        <v>-3.0600371691373311</v>
      </c>
    </row>
    <row r="276" spans="1:22" ht="15">
      <c r="A276" s="2">
        <v>275</v>
      </c>
      <c r="B276" s="2" t="s">
        <v>79</v>
      </c>
      <c r="C276" s="2" t="s">
        <v>13</v>
      </c>
      <c r="D276" s="2">
        <v>1372.9938300093636</v>
      </c>
      <c r="E276" s="2">
        <v>1207.9949713894166</v>
      </c>
      <c r="F276" s="2">
        <v>524.27455447614193</v>
      </c>
      <c r="G276" s="2">
        <v>109.51036830199882</v>
      </c>
      <c r="H276" s="2">
        <v>12.823709246702492</v>
      </c>
      <c r="I276" s="2">
        <v>0.80217797276331115</v>
      </c>
      <c r="J276" s="2">
        <v>9</v>
      </c>
      <c r="K276" s="2">
        <v>190.17584025091762</v>
      </c>
      <c r="L276" s="2">
        <v>40</v>
      </c>
      <c r="M276" s="2">
        <v>25</v>
      </c>
      <c r="N276" s="2">
        <v>1.1792957502637957</v>
      </c>
      <c r="O276" s="2">
        <v>52.262179529998065</v>
      </c>
      <c r="P276" s="2">
        <v>1372.9938300093636</v>
      </c>
      <c r="Q276" s="2">
        <v>1.1873534958602179</v>
      </c>
      <c r="R276" s="2">
        <v>53.702438819185296</v>
      </c>
      <c r="S276" s="2">
        <v>1374.612675882066</v>
      </c>
      <c r="T276" s="2">
        <v>8.0577455964221389E-3</v>
      </c>
      <c r="U276" s="2">
        <v>1.4402592891872317</v>
      </c>
      <c r="V276" s="2">
        <v>1.6188458727024226</v>
      </c>
    </row>
    <row r="277" spans="1:22" ht="15">
      <c r="A277" s="2">
        <v>276</v>
      </c>
      <c r="B277" s="2" t="s">
        <v>79</v>
      </c>
      <c r="C277" s="2" t="s">
        <v>13</v>
      </c>
      <c r="D277" s="2">
        <v>1424.9329959391616</v>
      </c>
      <c r="E277" s="2">
        <v>732.06192539073527</v>
      </c>
      <c r="F277" s="2">
        <v>522.18781290575862</v>
      </c>
      <c r="G277" s="2">
        <v>213.56509187724441</v>
      </c>
      <c r="H277" s="2">
        <v>29.434508785139769</v>
      </c>
      <c r="I277" s="2">
        <v>0.79295616419985893</v>
      </c>
      <c r="J277" s="2">
        <v>9</v>
      </c>
      <c r="K277" s="2">
        <v>199.66537317664347</v>
      </c>
      <c r="L277" s="2">
        <v>50</v>
      </c>
      <c r="M277" s="2">
        <v>25</v>
      </c>
      <c r="N277" s="2">
        <v>1.2320631384002483</v>
      </c>
      <c r="O277" s="2">
        <v>52.203869027394838</v>
      </c>
      <c r="P277" s="2">
        <v>1424.9329959391616</v>
      </c>
      <c r="Q277" s="2">
        <v>1.2266512892240773</v>
      </c>
      <c r="R277" s="2">
        <v>51.114770591423095</v>
      </c>
      <c r="S277" s="2">
        <v>1418.0105132493727</v>
      </c>
      <c r="T277" s="2">
        <v>-5.4118491761709908E-3</v>
      </c>
      <c r="U277" s="2">
        <v>-1.0890984359717422</v>
      </c>
      <c r="V277" s="2">
        <v>-6.9224826897889216</v>
      </c>
    </row>
    <row r="278" spans="1:22" ht="15">
      <c r="A278" s="2">
        <v>277</v>
      </c>
      <c r="B278" s="2" t="s">
        <v>79</v>
      </c>
      <c r="C278" s="2" t="s">
        <v>13</v>
      </c>
      <c r="D278" s="2">
        <v>1382.8936093021184</v>
      </c>
      <c r="E278" s="2">
        <v>688.54648655978963</v>
      </c>
      <c r="F278" s="2">
        <v>653.99084072560072</v>
      </c>
      <c r="G278" s="2">
        <v>110.36623104708269</v>
      </c>
      <c r="H278" s="2">
        <v>22.058056190609932</v>
      </c>
      <c r="I278" s="2">
        <v>0.85737236036220565</v>
      </c>
      <c r="J278" s="2">
        <v>9</v>
      </c>
      <c r="K278" s="2">
        <v>179.21600063372711</v>
      </c>
      <c r="L278" s="2">
        <v>50</v>
      </c>
      <c r="M278" s="2">
        <v>25</v>
      </c>
      <c r="N278" s="2">
        <v>1.1897899062508079</v>
      </c>
      <c r="O278" s="2">
        <v>52.20154398733299</v>
      </c>
      <c r="P278" s="2">
        <v>1382.8936093021184</v>
      </c>
      <c r="Q278" s="2">
        <v>1.190024614819716</v>
      </c>
      <c r="R278" s="2">
        <v>50.572520063858349</v>
      </c>
      <c r="S278" s="2">
        <v>1384.103405631635</v>
      </c>
      <c r="T278" s="2">
        <v>2.3470856890805969E-4</v>
      </c>
      <c r="U278" s="2">
        <v>-1.6290239234746409</v>
      </c>
      <c r="V278" s="2">
        <v>1.209796329516621</v>
      </c>
    </row>
    <row r="279" spans="1:22" ht="15">
      <c r="A279" s="2">
        <v>278</v>
      </c>
      <c r="B279" s="2" t="s">
        <v>80</v>
      </c>
      <c r="C279" s="2" t="s">
        <v>13</v>
      </c>
      <c r="D279" s="2">
        <v>1422.2930912976153</v>
      </c>
      <c r="E279" s="2">
        <v>1003.8768892874941</v>
      </c>
      <c r="F279" s="2">
        <v>462.36027600243688</v>
      </c>
      <c r="G279" s="2">
        <v>194.27509086206555</v>
      </c>
      <c r="H279" s="2">
        <v>12.807807213161141</v>
      </c>
      <c r="I279" s="2">
        <v>0.79157494415994734</v>
      </c>
      <c r="J279" s="2">
        <v>9</v>
      </c>
      <c r="K279" s="2">
        <v>199.64321365356739</v>
      </c>
      <c r="L279" s="2">
        <v>45</v>
      </c>
      <c r="M279" s="2">
        <v>25</v>
      </c>
      <c r="N279" s="2">
        <v>1.1872691038937653</v>
      </c>
      <c r="O279" s="2">
        <v>52.233915373540505</v>
      </c>
      <c r="P279" s="2">
        <v>1422.2930912976153</v>
      </c>
      <c r="Q279" s="2">
        <v>1.1994113130166555</v>
      </c>
      <c r="R279" s="2">
        <v>53.346657757752318</v>
      </c>
      <c r="S279" s="2">
        <v>1432.1820658423744</v>
      </c>
      <c r="T279" s="2">
        <v>1.2142209122890213E-2</v>
      </c>
      <c r="U279" s="2">
        <v>1.1127423842118134</v>
      </c>
      <c r="V279" s="2">
        <v>9.888974544759094</v>
      </c>
    </row>
    <row r="280" spans="1:22" ht="15">
      <c r="A280" s="2">
        <v>279</v>
      </c>
      <c r="B280" s="2" t="s">
        <v>80</v>
      </c>
      <c r="C280" s="2" t="s">
        <v>13</v>
      </c>
      <c r="D280" s="2">
        <v>1449.9562007607892</v>
      </c>
      <c r="E280" s="2">
        <v>948.75337724806741</v>
      </c>
      <c r="F280" s="2">
        <v>576.89724415540695</v>
      </c>
      <c r="G280" s="2">
        <v>223.5968549340032</v>
      </c>
      <c r="H280" s="2">
        <v>18.029889310710132</v>
      </c>
      <c r="I280" s="2">
        <v>0.85585856195306409</v>
      </c>
      <c r="J280" s="2">
        <v>9</v>
      </c>
      <c r="K280" s="2">
        <v>188.23933263147254</v>
      </c>
      <c r="L280" s="2">
        <v>40</v>
      </c>
      <c r="M280" s="2">
        <v>25</v>
      </c>
      <c r="N280" s="2">
        <v>1.151459337967476</v>
      </c>
      <c r="O280" s="2">
        <v>52.247751412747924</v>
      </c>
      <c r="P280" s="2">
        <v>1449.9562007607892</v>
      </c>
      <c r="Q280" s="2">
        <v>1.1504713063791001</v>
      </c>
      <c r="R280" s="2">
        <v>52.895457831327548</v>
      </c>
      <c r="S280" s="2">
        <v>1450.1069975157257</v>
      </c>
      <c r="T280" s="2">
        <v>-9.8803158837590388E-4</v>
      </c>
      <c r="U280" s="2">
        <v>0.64770641857962374</v>
      </c>
      <c r="V280" s="2">
        <v>0.15079675493643663</v>
      </c>
    </row>
    <row r="281" spans="1:22" ht="15">
      <c r="A281" s="2">
        <v>280</v>
      </c>
      <c r="B281" s="2" t="s">
        <v>80</v>
      </c>
      <c r="C281" s="2" t="s">
        <v>13</v>
      </c>
      <c r="D281" s="2">
        <v>1467.514578520786</v>
      </c>
      <c r="E281" s="2">
        <v>1203.2975315116346</v>
      </c>
      <c r="F281" s="2">
        <v>428.2052836380899</v>
      </c>
      <c r="G281" s="2">
        <v>295.10930045042187</v>
      </c>
      <c r="H281" s="2">
        <v>18.326732387300581</v>
      </c>
      <c r="I281" s="2">
        <v>0.80088330377824613</v>
      </c>
      <c r="J281" s="2">
        <v>10</v>
      </c>
      <c r="K281" s="2">
        <v>183.23700489167911</v>
      </c>
      <c r="L281" s="2">
        <v>35</v>
      </c>
      <c r="M281" s="2">
        <v>25</v>
      </c>
      <c r="N281" s="2">
        <v>1.2305656019342794</v>
      </c>
      <c r="O281" s="2">
        <v>52.308785549027725</v>
      </c>
      <c r="P281" s="2">
        <v>1467.514578520786</v>
      </c>
      <c r="Q281" s="2">
        <v>1.239906466518385</v>
      </c>
      <c r="R281" s="2">
        <v>52.96714511721693</v>
      </c>
      <c r="S281" s="2">
        <v>1463.7148690053828</v>
      </c>
      <c r="T281" s="2">
        <v>9.340864584105546E-3</v>
      </c>
      <c r="U281" s="2">
        <v>0.65835956818920494</v>
      </c>
      <c r="V281" s="2">
        <v>-3.799709515403265</v>
      </c>
    </row>
    <row r="282" spans="1:22" ht="15">
      <c r="A282" s="2">
        <v>281</v>
      </c>
      <c r="B282" s="2" t="s">
        <v>78</v>
      </c>
      <c r="C282" s="2" t="s">
        <v>13</v>
      </c>
      <c r="D282" s="2">
        <v>1470.3834816813469</v>
      </c>
      <c r="E282" s="2">
        <v>1034.4419727451168</v>
      </c>
      <c r="F282" s="2">
        <v>582.69399870187044</v>
      </c>
      <c r="G282" s="2">
        <v>250.38526252144948</v>
      </c>
      <c r="H282" s="2">
        <v>15.754164783284068</v>
      </c>
      <c r="I282" s="2">
        <v>0.79741169964196168</v>
      </c>
      <c r="J282" s="2">
        <v>10</v>
      </c>
      <c r="K282" s="2">
        <v>184.39452071515254</v>
      </c>
      <c r="L282" s="2">
        <v>35</v>
      </c>
      <c r="M282" s="2">
        <v>25</v>
      </c>
      <c r="N282" s="2">
        <v>1.1817990124617985</v>
      </c>
      <c r="O282" s="2">
        <v>52.298548053785034</v>
      </c>
      <c r="P282" s="2">
        <v>1470.3834816813469</v>
      </c>
      <c r="Q282" s="2">
        <v>1.1916327676341107</v>
      </c>
      <c r="R282" s="2">
        <v>51.961139896698121</v>
      </c>
      <c r="S282" s="2">
        <v>1467.9097336406753</v>
      </c>
      <c r="T282" s="2">
        <v>9.8337551723122196E-3</v>
      </c>
      <c r="U282" s="2">
        <v>-0.3374081570869123</v>
      </c>
      <c r="V282" s="2">
        <v>-2.4737480406715804</v>
      </c>
    </row>
    <row r="283" spans="1:22" ht="15">
      <c r="A283" s="2">
        <v>282</v>
      </c>
      <c r="B283" s="2" t="s">
        <v>78</v>
      </c>
      <c r="C283" s="2" t="s">
        <v>13</v>
      </c>
      <c r="D283" s="2">
        <v>1420.6628090352751</v>
      </c>
      <c r="E283" s="2">
        <v>1023.0184281477705</v>
      </c>
      <c r="F283" s="2">
        <v>382.34267691150308</v>
      </c>
      <c r="G283" s="2">
        <v>135.44581799767911</v>
      </c>
      <c r="H283" s="2">
        <v>8.8113230434246361</v>
      </c>
      <c r="I283" s="2">
        <v>0.79853475571144372</v>
      </c>
      <c r="J283" s="2">
        <v>9</v>
      </c>
      <c r="K283" s="2">
        <v>197.67633418223116</v>
      </c>
      <c r="L283" s="2">
        <v>50</v>
      </c>
      <c r="M283" s="2">
        <v>25</v>
      </c>
      <c r="N283" s="2">
        <v>1.1980941028236973</v>
      </c>
      <c r="O283" s="2">
        <v>52.215250319477654</v>
      </c>
      <c r="P283" s="2">
        <v>1420.6628090352751</v>
      </c>
      <c r="Q283" s="2">
        <v>1.2046069041659024</v>
      </c>
      <c r="R283" s="2">
        <v>52.21518061469574</v>
      </c>
      <c r="S283" s="2">
        <v>1430.2892108308183</v>
      </c>
      <c r="T283" s="2">
        <v>6.5128013422051101E-3</v>
      </c>
      <c r="U283" s="2">
        <v>-6.9704781914481373E-5</v>
      </c>
      <c r="V283" s="2">
        <v>9.6264017955431882</v>
      </c>
    </row>
    <row r="284" spans="1:22" ht="15">
      <c r="A284" s="2">
        <v>283</v>
      </c>
      <c r="B284" s="2" t="s">
        <v>78</v>
      </c>
      <c r="C284" s="2" t="s">
        <v>13</v>
      </c>
      <c r="D284" s="2">
        <v>1457.3444233043119</v>
      </c>
      <c r="E284" s="2">
        <v>866.9801582233049</v>
      </c>
      <c r="F284" s="2">
        <v>381.57589472830296</v>
      </c>
      <c r="G284" s="2">
        <v>180.3748860093765</v>
      </c>
      <c r="H284" s="2">
        <v>13.82135405484587</v>
      </c>
      <c r="I284" s="2">
        <v>0.80448248366592456</v>
      </c>
      <c r="J284" s="2">
        <v>10</v>
      </c>
      <c r="K284" s="2">
        <v>181.1530335208019</v>
      </c>
      <c r="L284" s="2">
        <v>50</v>
      </c>
      <c r="M284" s="2">
        <v>25</v>
      </c>
      <c r="N284" s="2">
        <v>1.2495297879180873</v>
      </c>
      <c r="O284" s="2">
        <v>52.222562285174988</v>
      </c>
      <c r="P284" s="2">
        <v>1457.3444233043119</v>
      </c>
      <c r="Q284" s="2">
        <v>1.2416937968662309</v>
      </c>
      <c r="R284" s="2">
        <v>52.567136296768432</v>
      </c>
      <c r="S284" s="2">
        <v>1475.3810841399784</v>
      </c>
      <c r="T284" s="2">
        <v>-7.8359910518563947E-3</v>
      </c>
      <c r="U284" s="2">
        <v>0.34457401159344414</v>
      </c>
      <c r="V284" s="2">
        <v>18.036660835666453</v>
      </c>
    </row>
    <row r="285" spans="1:22" ht="15">
      <c r="A285" s="2">
        <v>284</v>
      </c>
      <c r="B285" s="2" t="s">
        <v>78</v>
      </c>
      <c r="C285" s="2" t="s">
        <v>13</v>
      </c>
      <c r="D285" s="2">
        <v>1399.2325790575705</v>
      </c>
      <c r="E285" s="2">
        <v>1224.2859936784953</v>
      </c>
      <c r="F285" s="2">
        <v>594.35192598029971</v>
      </c>
      <c r="G285" s="2">
        <v>320.0122171966359</v>
      </c>
      <c r="H285" s="2">
        <v>20.746467675548047</v>
      </c>
      <c r="I285" s="2">
        <v>0.85141270868480212</v>
      </c>
      <c r="J285" s="2">
        <v>9</v>
      </c>
      <c r="K285" s="2">
        <v>182.60273187853986</v>
      </c>
      <c r="L285" s="2">
        <v>35</v>
      </c>
      <c r="M285" s="2">
        <v>25</v>
      </c>
      <c r="N285" s="2">
        <v>1.2550150740762545</v>
      </c>
      <c r="O285" s="2">
        <v>52.308469022589179</v>
      </c>
      <c r="P285" s="2">
        <v>1399.2325790575705</v>
      </c>
      <c r="Q285" s="2">
        <v>1.2685206477352617</v>
      </c>
      <c r="R285" s="2">
        <v>53.738827276667784</v>
      </c>
      <c r="S285" s="2">
        <v>1386.8672430555669</v>
      </c>
      <c r="T285" s="2">
        <v>1.3505573659007286E-2</v>
      </c>
      <c r="U285" s="2">
        <v>1.4303582540786053</v>
      </c>
      <c r="V285" s="2">
        <v>-12.365336002003687</v>
      </c>
    </row>
    <row r="286" spans="1:22" ht="15">
      <c r="A286" s="2">
        <v>285</v>
      </c>
      <c r="B286" s="2" t="s">
        <v>78</v>
      </c>
      <c r="C286" s="2" t="s">
        <v>13</v>
      </c>
      <c r="D286" s="2">
        <v>1454.4099777471274</v>
      </c>
      <c r="E286" s="2">
        <v>832.35217713518068</v>
      </c>
      <c r="F286" s="2">
        <v>541.44007321447134</v>
      </c>
      <c r="G286" s="2">
        <v>131.43406690331176</v>
      </c>
      <c r="H286" s="2">
        <v>16.732172083109617</v>
      </c>
      <c r="I286" s="2">
        <v>0.81523224275792017</v>
      </c>
      <c r="J286" s="2">
        <v>9</v>
      </c>
      <c r="K286" s="2">
        <v>198.22708200533782</v>
      </c>
      <c r="L286" s="2">
        <v>50</v>
      </c>
      <c r="M286" s="2">
        <v>25</v>
      </c>
      <c r="N286" s="2">
        <v>1.2063016822764465</v>
      </c>
      <c r="O286" s="2">
        <v>52.209702413517661</v>
      </c>
      <c r="P286" s="2">
        <v>1454.4099777471274</v>
      </c>
      <c r="Q286" s="2">
        <v>1.2168107728755861</v>
      </c>
      <c r="R286" s="2">
        <v>51.147439735411517</v>
      </c>
      <c r="S286" s="2">
        <v>1458.5793605824865</v>
      </c>
      <c r="T286" s="2">
        <v>1.0509090599139626E-2</v>
      </c>
      <c r="U286" s="2">
        <v>-1.0622626781061442</v>
      </c>
      <c r="V286" s="2">
        <v>4.1693828353591016</v>
      </c>
    </row>
    <row r="287" spans="1:22" ht="15">
      <c r="A287" s="2">
        <v>286</v>
      </c>
      <c r="B287" s="2" t="s">
        <v>78</v>
      </c>
      <c r="C287" s="2" t="s">
        <v>13</v>
      </c>
      <c r="D287" s="2">
        <v>1442.5447017070837</v>
      </c>
      <c r="E287" s="2">
        <v>838.41644439380616</v>
      </c>
      <c r="F287" s="2">
        <v>710.33771233633161</v>
      </c>
      <c r="G287" s="2">
        <v>95.658638440072536</v>
      </c>
      <c r="H287" s="2">
        <v>8.3666480355896056</v>
      </c>
      <c r="I287" s="2">
        <v>0.8536838846979663</v>
      </c>
      <c r="J287" s="2">
        <v>9</v>
      </c>
      <c r="K287" s="2">
        <v>187.75421149109368</v>
      </c>
      <c r="L287" s="2">
        <v>45</v>
      </c>
      <c r="M287" s="2">
        <v>25</v>
      </c>
      <c r="N287" s="2">
        <v>1.154517857554247</v>
      </c>
      <c r="O287" s="2">
        <v>52.231405065086911</v>
      </c>
      <c r="P287" s="2">
        <v>1442.5447017070837</v>
      </c>
      <c r="Q287" s="2">
        <v>1.1686016093622247</v>
      </c>
      <c r="R287" s="2">
        <v>52.359679585562112</v>
      </c>
      <c r="S287" s="2">
        <v>1452.3275274383504</v>
      </c>
      <c r="T287" s="2">
        <v>1.4083751807977718E-2</v>
      </c>
      <c r="U287" s="2">
        <v>0.12827452047520183</v>
      </c>
      <c r="V287" s="2">
        <v>9.782825731266712</v>
      </c>
    </row>
    <row r="288" spans="1:22" ht="15">
      <c r="A288" s="2">
        <v>287</v>
      </c>
      <c r="B288" s="2" t="s">
        <v>78</v>
      </c>
      <c r="C288" s="2" t="s">
        <v>13</v>
      </c>
      <c r="D288" s="2">
        <v>1392.786030122079</v>
      </c>
      <c r="E288" s="2">
        <v>1042.8629807312973</v>
      </c>
      <c r="F288" s="2">
        <v>415.50519689917564</v>
      </c>
      <c r="G288" s="2">
        <v>287.68486842280254</v>
      </c>
      <c r="H288" s="2">
        <v>26.887304357253015</v>
      </c>
      <c r="I288" s="2">
        <v>0.85834148356458173</v>
      </c>
      <c r="J288" s="2">
        <v>9</v>
      </c>
      <c r="K288" s="2">
        <v>180.29421426100041</v>
      </c>
      <c r="L288" s="2">
        <v>40</v>
      </c>
      <c r="M288" s="2">
        <v>25</v>
      </c>
      <c r="N288" s="2">
        <v>1.1955127829046492</v>
      </c>
      <c r="O288" s="2">
        <v>52.247253321205861</v>
      </c>
      <c r="P288" s="2">
        <v>1392.786030122079</v>
      </c>
      <c r="Q288" s="2">
        <v>1.1931798649330134</v>
      </c>
      <c r="R288" s="2">
        <v>52.511520855676316</v>
      </c>
      <c r="S288" s="2">
        <v>1380.793812429308</v>
      </c>
      <c r="T288" s="2">
        <v>-2.3329179716358173E-3</v>
      </c>
      <c r="U288" s="2">
        <v>0.2642675344704557</v>
      </c>
      <c r="V288" s="2">
        <v>-11.992217692770964</v>
      </c>
    </row>
    <row r="289" spans="1:22" ht="15">
      <c r="A289" s="2">
        <v>288</v>
      </c>
      <c r="B289" s="2" t="s">
        <v>78</v>
      </c>
      <c r="C289" s="2" t="s">
        <v>13</v>
      </c>
      <c r="D289" s="2">
        <v>1383.0906687187962</v>
      </c>
      <c r="E289" s="2">
        <v>1166.6238509118557</v>
      </c>
      <c r="F289" s="2">
        <v>730.85122397169471</v>
      </c>
      <c r="G289" s="2">
        <v>128.75542141962796</v>
      </c>
      <c r="H289" s="2">
        <v>23.563283951487392</v>
      </c>
      <c r="I289" s="2">
        <v>0.84858632485382257</v>
      </c>
      <c r="J289" s="2">
        <v>9</v>
      </c>
      <c r="K289" s="2">
        <v>181.09735741408215</v>
      </c>
      <c r="L289" s="2">
        <v>35</v>
      </c>
      <c r="M289" s="2">
        <v>25</v>
      </c>
      <c r="N289" s="2">
        <v>1.2120343733804639</v>
      </c>
      <c r="O289" s="2">
        <v>52.290939990136074</v>
      </c>
      <c r="P289" s="2">
        <v>1383.0906687187962</v>
      </c>
      <c r="Q289" s="2">
        <v>1.211821874916825</v>
      </c>
      <c r="R289" s="2">
        <v>52.183122746130429</v>
      </c>
      <c r="S289" s="2">
        <v>1372.3467800588692</v>
      </c>
      <c r="T289" s="2">
        <v>-2.1249846363891045E-4</v>
      </c>
      <c r="U289" s="2">
        <v>-0.10781724400564485</v>
      </c>
      <c r="V289" s="2">
        <v>-10.743888659927052</v>
      </c>
    </row>
    <row r="290" spans="1:22" ht="15">
      <c r="A290" s="2">
        <v>289</v>
      </c>
      <c r="B290" s="2" t="s">
        <v>78</v>
      </c>
      <c r="C290" s="2" t="s">
        <v>13</v>
      </c>
      <c r="D290" s="2">
        <v>1420.2924138866365</v>
      </c>
      <c r="E290" s="2">
        <v>884.41768133779988</v>
      </c>
      <c r="F290" s="2">
        <v>438.90645150095224</v>
      </c>
      <c r="G290" s="2">
        <v>271.00738229462877</v>
      </c>
      <c r="H290" s="2">
        <v>18.738724494352937</v>
      </c>
      <c r="I290" s="2">
        <v>0.83003509435104206</v>
      </c>
      <c r="J290" s="2">
        <v>9</v>
      </c>
      <c r="K290" s="2">
        <v>190.12481434054217</v>
      </c>
      <c r="L290" s="2">
        <v>45</v>
      </c>
      <c r="M290" s="2">
        <v>25</v>
      </c>
      <c r="N290" s="2">
        <v>1.1709348158550767</v>
      </c>
      <c r="O290" s="2">
        <v>52.223596141497175</v>
      </c>
      <c r="P290" s="2">
        <v>1420.2924138866365</v>
      </c>
      <c r="Q290" s="2">
        <v>1.1805246782644983</v>
      </c>
      <c r="R290" s="2">
        <v>51.566566533686625</v>
      </c>
      <c r="S290" s="2">
        <v>1428.999141268411</v>
      </c>
      <c r="T290" s="2">
        <v>9.5898624094215013E-3</v>
      </c>
      <c r="U290" s="2">
        <v>-0.65702960781054998</v>
      </c>
      <c r="V290" s="2">
        <v>8.706727381774499</v>
      </c>
    </row>
    <row r="291" spans="1:22" ht="15">
      <c r="A291" s="2">
        <v>290</v>
      </c>
      <c r="B291" s="2" t="s">
        <v>78</v>
      </c>
      <c r="C291" s="2" t="s">
        <v>13</v>
      </c>
      <c r="D291" s="2">
        <v>1392.6415638648905</v>
      </c>
      <c r="E291" s="2">
        <v>966.17707863915712</v>
      </c>
      <c r="F291" s="2">
        <v>476.31755406036973</v>
      </c>
      <c r="G291" s="2">
        <v>93.187203789129853</v>
      </c>
      <c r="H291" s="2">
        <v>29.067560323048383</v>
      </c>
      <c r="I291" s="2">
        <v>0.83467341935727746</v>
      </c>
      <c r="J291" s="2">
        <v>9</v>
      </c>
      <c r="K291" s="2">
        <v>185.38741974040107</v>
      </c>
      <c r="L291" s="2">
        <v>45</v>
      </c>
      <c r="M291" s="2">
        <v>25</v>
      </c>
      <c r="N291" s="2">
        <v>1.1790005278929034</v>
      </c>
      <c r="O291" s="2">
        <v>52.214451190354495</v>
      </c>
      <c r="P291" s="2">
        <v>1392.6415638648905</v>
      </c>
      <c r="Q291" s="2">
        <v>1.1660037823216307</v>
      </c>
      <c r="R291" s="2">
        <v>52.55127557505476</v>
      </c>
      <c r="S291" s="2">
        <v>1382.5133182561094</v>
      </c>
      <c r="T291" s="2">
        <v>-1.2996745571272728E-2</v>
      </c>
      <c r="U291" s="2">
        <v>0.33682438470026455</v>
      </c>
      <c r="V291" s="2">
        <v>-10.128245608781071</v>
      </c>
    </row>
    <row r="292" spans="1:22" ht="15">
      <c r="A292" s="2">
        <v>291</v>
      </c>
      <c r="B292" s="2" t="s">
        <v>78</v>
      </c>
      <c r="C292" s="2" t="s">
        <v>13</v>
      </c>
      <c r="D292" s="2">
        <v>1410.846534348093</v>
      </c>
      <c r="E292" s="2">
        <v>656.31580665940419</v>
      </c>
      <c r="F292" s="2">
        <v>424.78395514190197</v>
      </c>
      <c r="G292" s="2">
        <v>240.84985219640657</v>
      </c>
      <c r="H292" s="2">
        <v>22.013491083867848</v>
      </c>
      <c r="I292" s="2">
        <v>0.8009450426022523</v>
      </c>
      <c r="J292" s="2">
        <v>9</v>
      </c>
      <c r="K292" s="2">
        <v>195.71970322628499</v>
      </c>
      <c r="L292" s="2">
        <v>55</v>
      </c>
      <c r="M292" s="2">
        <v>25</v>
      </c>
      <c r="N292" s="2">
        <v>1.1819842438943435</v>
      </c>
      <c r="O292" s="2">
        <v>52.181124993562591</v>
      </c>
      <c r="P292" s="2">
        <v>1410.846534348093</v>
      </c>
      <c r="Q292" s="2">
        <v>1.175226729522427</v>
      </c>
      <c r="R292" s="2">
        <v>51.305254273976594</v>
      </c>
      <c r="S292" s="2">
        <v>1417.3433650548448</v>
      </c>
      <c r="T292" s="2">
        <v>-6.7575143719165176E-3</v>
      </c>
      <c r="U292" s="2">
        <v>-0.87587071958599694</v>
      </c>
      <c r="V292" s="2">
        <v>6.4968307067517799</v>
      </c>
    </row>
    <row r="293" spans="1:22" ht="15">
      <c r="A293" s="2">
        <v>292</v>
      </c>
      <c r="B293" s="2" t="s">
        <v>78</v>
      </c>
      <c r="C293" s="2" t="s">
        <v>13</v>
      </c>
      <c r="D293" s="2">
        <v>1363.6619995697401</v>
      </c>
      <c r="E293" s="2">
        <v>709.39074312336743</v>
      </c>
      <c r="F293" s="2">
        <v>707.01021878048778</v>
      </c>
      <c r="G293" s="2">
        <v>160.52673784550279</v>
      </c>
      <c r="H293" s="2">
        <v>14.804976529907435</v>
      </c>
      <c r="I293" s="2">
        <v>0.81148344410583384</v>
      </c>
      <c r="J293" s="2">
        <v>9</v>
      </c>
      <c r="K293" s="2">
        <v>186.71730280233831</v>
      </c>
      <c r="L293" s="2">
        <v>50</v>
      </c>
      <c r="M293" s="2">
        <v>25</v>
      </c>
      <c r="N293" s="2">
        <v>1.2518573197970715</v>
      </c>
      <c r="O293" s="2">
        <v>52.220882451583414</v>
      </c>
      <c r="P293" s="2">
        <v>1363.6619995697401</v>
      </c>
      <c r="Q293" s="2">
        <v>1.2554826190991863</v>
      </c>
      <c r="R293" s="2">
        <v>51.309115931692496</v>
      </c>
      <c r="S293" s="2">
        <v>1377.7285906283589</v>
      </c>
      <c r="T293" s="2">
        <v>3.6252993021148594E-3</v>
      </c>
      <c r="U293" s="2">
        <v>-0.91176651989091795</v>
      </c>
      <c r="V293" s="2">
        <v>14.066591058618769</v>
      </c>
    </row>
    <row r="294" spans="1:22" ht="15">
      <c r="A294" s="2">
        <v>293</v>
      </c>
      <c r="B294" s="2" t="s">
        <v>78</v>
      </c>
      <c r="C294" s="2" t="s">
        <v>13</v>
      </c>
      <c r="D294" s="2">
        <v>1467.0675671193749</v>
      </c>
      <c r="E294" s="2">
        <v>936.13481799839064</v>
      </c>
      <c r="F294" s="2">
        <v>695.46027909964323</v>
      </c>
      <c r="G294" s="2">
        <v>183.43470174120739</v>
      </c>
      <c r="H294" s="2">
        <v>26.122084327042103</v>
      </c>
      <c r="I294" s="2">
        <v>0.80784352550515903</v>
      </c>
      <c r="J294" s="2">
        <v>10</v>
      </c>
      <c r="K294" s="2">
        <v>181.60293680660385</v>
      </c>
      <c r="L294" s="2">
        <v>35</v>
      </c>
      <c r="M294" s="2">
        <v>25</v>
      </c>
      <c r="N294" s="2">
        <v>1.2066679929506532</v>
      </c>
      <c r="O294" s="2">
        <v>52.289453912648895</v>
      </c>
      <c r="P294" s="2">
        <v>1467.0675671193749</v>
      </c>
      <c r="Q294" s="2">
        <v>1.197774566211097</v>
      </c>
      <c r="R294" s="2">
        <v>52.75831041936339</v>
      </c>
      <c r="S294" s="2">
        <v>1450.8297650350244</v>
      </c>
      <c r="T294" s="2">
        <v>-8.8934267395561761E-3</v>
      </c>
      <c r="U294" s="2">
        <v>0.46885650671449497</v>
      </c>
      <c r="V294" s="2">
        <v>-16.237802084350506</v>
      </c>
    </row>
    <row r="295" spans="1:22" ht="15">
      <c r="A295" s="2">
        <v>294</v>
      </c>
      <c r="B295" s="2" t="s">
        <v>78</v>
      </c>
      <c r="C295" s="2" t="s">
        <v>13</v>
      </c>
      <c r="D295" s="2">
        <v>1416.4038325776346</v>
      </c>
      <c r="E295" s="2">
        <v>924.26976037677377</v>
      </c>
      <c r="F295" s="2">
        <v>643.12943490222096</v>
      </c>
      <c r="G295" s="2">
        <v>184.41113030537963</v>
      </c>
      <c r="H295" s="2">
        <v>29.620592860970646</v>
      </c>
      <c r="I295" s="2">
        <v>0.80439900816883891</v>
      </c>
      <c r="J295" s="2">
        <v>9</v>
      </c>
      <c r="K295" s="2">
        <v>195.64693892151638</v>
      </c>
      <c r="L295" s="2">
        <v>40</v>
      </c>
      <c r="M295" s="2">
        <v>25</v>
      </c>
      <c r="N295" s="2">
        <v>1.2128451767786901</v>
      </c>
      <c r="O295" s="2">
        <v>52.248151025016739</v>
      </c>
      <c r="P295" s="2">
        <v>1416.4038325776346</v>
      </c>
      <c r="Q295" s="2">
        <v>1.2039095564988187</v>
      </c>
      <c r="R295" s="2">
        <v>51.345754071209939</v>
      </c>
      <c r="S295" s="2">
        <v>1395.7828883093246</v>
      </c>
      <c r="T295" s="2">
        <v>-8.9356202798713813E-3</v>
      </c>
      <c r="U295" s="2">
        <v>-0.90239695380680018</v>
      </c>
      <c r="V295" s="2">
        <v>-20.620944268310041</v>
      </c>
    </row>
    <row r="296" spans="1:22" ht="15">
      <c r="A296" s="2">
        <v>295</v>
      </c>
      <c r="B296" s="2" t="s">
        <v>79</v>
      </c>
      <c r="C296" s="2" t="s">
        <v>13</v>
      </c>
      <c r="D296" s="2">
        <v>1452.3964951978996</v>
      </c>
      <c r="E296" s="2">
        <v>650.17774590523914</v>
      </c>
      <c r="F296" s="2">
        <v>667.50590801239014</v>
      </c>
      <c r="G296" s="2">
        <v>214.97594551881775</v>
      </c>
      <c r="H296" s="2">
        <v>20.736389893107116</v>
      </c>
      <c r="I296" s="2">
        <v>0.81730101667111743</v>
      </c>
      <c r="J296" s="2">
        <v>9</v>
      </c>
      <c r="K296" s="2">
        <v>197.45159379908193</v>
      </c>
      <c r="L296" s="2">
        <v>50</v>
      </c>
      <c r="M296" s="2">
        <v>25</v>
      </c>
      <c r="N296" s="2">
        <v>1.2442747065890858</v>
      </c>
      <c r="O296" s="2">
        <v>52.213979948042123</v>
      </c>
      <c r="P296" s="2">
        <v>1452.3964951978996</v>
      </c>
      <c r="Q296" s="2">
        <v>1.2322279763766586</v>
      </c>
      <c r="R296" s="2">
        <v>51.104369288995379</v>
      </c>
      <c r="S296" s="2">
        <v>1445.5635476979978</v>
      </c>
      <c r="T296" s="2">
        <v>-1.2046730212427192E-2</v>
      </c>
      <c r="U296" s="2">
        <v>-1.1096106590467443</v>
      </c>
      <c r="V296" s="2">
        <v>-6.8329474999018203</v>
      </c>
    </row>
    <row r="297" spans="1:22" ht="15">
      <c r="A297" s="2">
        <v>296</v>
      </c>
      <c r="B297" s="2" t="s">
        <v>79</v>
      </c>
      <c r="C297" s="2" t="s">
        <v>13</v>
      </c>
      <c r="D297" s="2">
        <v>1398.372773907613</v>
      </c>
      <c r="E297" s="2">
        <v>1149.8946503736079</v>
      </c>
      <c r="F297" s="2">
        <v>624.68142276629806</v>
      </c>
      <c r="G297" s="2">
        <v>198.53578838054091</v>
      </c>
      <c r="H297" s="2">
        <v>16.111057949718088</v>
      </c>
      <c r="I297" s="2">
        <v>0.84067761332727975</v>
      </c>
      <c r="J297" s="2">
        <v>9</v>
      </c>
      <c r="K297" s="2">
        <v>184.82085188571963</v>
      </c>
      <c r="L297" s="2">
        <v>35</v>
      </c>
      <c r="M297" s="2">
        <v>25</v>
      </c>
      <c r="N297" s="2">
        <v>1.1397332597436656</v>
      </c>
      <c r="O297" s="2">
        <v>52.282657467007574</v>
      </c>
      <c r="P297" s="2">
        <v>1398.372773907613</v>
      </c>
      <c r="Q297" s="2">
        <v>1.1532446700437962</v>
      </c>
      <c r="R297" s="2">
        <v>52.254055469247795</v>
      </c>
      <c r="S297" s="2">
        <v>1393.162275626853</v>
      </c>
      <c r="T297" s="2">
        <v>1.3511410300130589E-2</v>
      </c>
      <c r="U297" s="2">
        <v>-2.8601997759778897E-2</v>
      </c>
      <c r="V297" s="2">
        <v>-5.2104982807600209</v>
      </c>
    </row>
    <row r="298" spans="1:22" ht="15">
      <c r="A298" s="2">
        <v>297</v>
      </c>
      <c r="B298" s="2" t="s">
        <v>79</v>
      </c>
      <c r="C298" s="2" t="s">
        <v>13</v>
      </c>
      <c r="D298" s="2">
        <v>1454.703420214355</v>
      </c>
      <c r="E298" s="2">
        <v>1015.7508124015294</v>
      </c>
      <c r="F298" s="2">
        <v>395.81959266215563</v>
      </c>
      <c r="G298" s="2">
        <v>299.93947733426467</v>
      </c>
      <c r="H298" s="2">
        <v>13.94235928915441</v>
      </c>
      <c r="I298" s="2">
        <v>0.82432951183291159</v>
      </c>
      <c r="J298" s="2">
        <v>9</v>
      </c>
      <c r="K298" s="2">
        <v>196.07900849959267</v>
      </c>
      <c r="L298" s="2">
        <v>45</v>
      </c>
      <c r="M298" s="2">
        <v>25</v>
      </c>
      <c r="N298" s="2">
        <v>1.2273410278192913</v>
      </c>
      <c r="O298" s="2">
        <v>52.241867178412896</v>
      </c>
      <c r="P298" s="2">
        <v>1454.703420214355</v>
      </c>
      <c r="Q298" s="2">
        <v>1.2282084136839295</v>
      </c>
      <c r="R298" s="2">
        <v>52.310162140190471</v>
      </c>
      <c r="S298" s="2">
        <v>1450.8235247197119</v>
      </c>
      <c r="T298" s="2">
        <v>8.6738586463819267E-4</v>
      </c>
      <c r="U298" s="2">
        <v>6.829496177757477E-2</v>
      </c>
      <c r="V298" s="2">
        <v>-3.8798954946430513</v>
      </c>
    </row>
    <row r="299" spans="1:22" ht="15">
      <c r="A299" s="2">
        <v>298</v>
      </c>
      <c r="B299" s="2" t="s">
        <v>80</v>
      </c>
      <c r="C299" s="2" t="s">
        <v>13</v>
      </c>
      <c r="D299" s="2">
        <v>1450.0387427047826</v>
      </c>
      <c r="E299" s="2">
        <v>918.9804550493136</v>
      </c>
      <c r="F299" s="2">
        <v>685.62162527814507</v>
      </c>
      <c r="G299" s="2">
        <v>255.15205848030746</v>
      </c>
      <c r="H299" s="2">
        <v>11.445985574740916</v>
      </c>
      <c r="I299" s="2">
        <v>0.81014819872099908</v>
      </c>
      <c r="J299" s="2">
        <v>9</v>
      </c>
      <c r="K299" s="2">
        <v>198.87153499871238</v>
      </c>
      <c r="L299" s="2">
        <v>40</v>
      </c>
      <c r="M299" s="2">
        <v>25</v>
      </c>
      <c r="N299" s="2">
        <v>1.1825940042471927</v>
      </c>
      <c r="O299" s="2">
        <v>52.264982164093603</v>
      </c>
      <c r="P299" s="2">
        <v>1450.0387427047826</v>
      </c>
      <c r="Q299" s="2">
        <v>1.202503016915262</v>
      </c>
      <c r="R299" s="2">
        <v>53.151608555308378</v>
      </c>
      <c r="S299" s="2">
        <v>1454.9065221514868</v>
      </c>
      <c r="T299" s="2">
        <v>1.9909012668069215E-2</v>
      </c>
      <c r="U299" s="2">
        <v>0.88662639121477582</v>
      </c>
      <c r="V299" s="2">
        <v>4.8677794467041622</v>
      </c>
    </row>
    <row r="300" spans="1:22" ht="15">
      <c r="A300" s="2">
        <v>299</v>
      </c>
      <c r="B300" s="2" t="s">
        <v>80</v>
      </c>
      <c r="C300" s="2" t="s">
        <v>13</v>
      </c>
      <c r="D300" s="2">
        <v>1487.6016302732751</v>
      </c>
      <c r="E300" s="2">
        <v>985.84354954073206</v>
      </c>
      <c r="F300" s="2">
        <v>496.3036734610796</v>
      </c>
      <c r="G300" s="2">
        <v>215.30937040923163</v>
      </c>
      <c r="H300" s="2">
        <v>20.214172915555537</v>
      </c>
      <c r="I300" s="2">
        <v>0.81343651062576106</v>
      </c>
      <c r="J300" s="2">
        <v>10</v>
      </c>
      <c r="K300" s="2">
        <v>182.87864029226961</v>
      </c>
      <c r="L300" s="2">
        <v>40</v>
      </c>
      <c r="M300" s="2">
        <v>25</v>
      </c>
      <c r="N300" s="2">
        <v>1.2348959788365643</v>
      </c>
      <c r="O300" s="2">
        <v>52.26908435480847</v>
      </c>
      <c r="P300" s="2">
        <v>1487.6016302732751</v>
      </c>
      <c r="Q300" s="2">
        <v>1.2322380924619407</v>
      </c>
      <c r="R300" s="2">
        <v>52.042181821501103</v>
      </c>
      <c r="S300" s="2">
        <v>1482.3659242479819</v>
      </c>
      <c r="T300" s="2">
        <v>-2.6578863746236081E-3</v>
      </c>
      <c r="U300" s="2">
        <v>-0.22690253330736709</v>
      </c>
      <c r="V300" s="2">
        <v>-5.2357060252932115</v>
      </c>
    </row>
    <row r="301" spans="1:22" ht="15">
      <c r="A301" s="2">
        <v>300</v>
      </c>
      <c r="B301" s="2" t="s">
        <v>80</v>
      </c>
      <c r="C301" s="2" t="s">
        <v>13</v>
      </c>
      <c r="D301" s="2">
        <v>1458.0729229724966</v>
      </c>
      <c r="E301" s="2">
        <v>892.59096025489271</v>
      </c>
      <c r="F301" s="2">
        <v>517.11535854265094</v>
      </c>
      <c r="G301" s="2">
        <v>196.6283719940111</v>
      </c>
      <c r="H301" s="2">
        <v>21.192108559887856</v>
      </c>
      <c r="I301" s="2">
        <v>0.80175409052520996</v>
      </c>
      <c r="J301" s="2">
        <v>10</v>
      </c>
      <c r="K301" s="2">
        <v>181.86036594055267</v>
      </c>
      <c r="L301" s="2">
        <v>40</v>
      </c>
      <c r="M301" s="2">
        <v>25</v>
      </c>
      <c r="N301" s="2">
        <v>1.1784495902421384</v>
      </c>
      <c r="O301" s="2">
        <v>52.253297485179637</v>
      </c>
      <c r="P301" s="2">
        <v>1458.0729229724966</v>
      </c>
      <c r="Q301" s="2">
        <v>1.1867062127141705</v>
      </c>
      <c r="R301" s="2">
        <v>52.953808004673647</v>
      </c>
      <c r="S301" s="2">
        <v>1453.9762411401321</v>
      </c>
      <c r="T301" s="2">
        <v>8.2566224720321824E-3</v>
      </c>
      <c r="U301" s="2">
        <v>0.70051051949401</v>
      </c>
      <c r="V301" s="2">
        <v>-4.0966818323645384</v>
      </c>
    </row>
    <row r="302" spans="1:22" ht="15">
      <c r="A302" s="2">
        <v>301</v>
      </c>
      <c r="B302" s="2" t="s">
        <v>78</v>
      </c>
      <c r="C302" s="2" t="s">
        <v>13</v>
      </c>
      <c r="D302" s="2">
        <v>1450.4828286822885</v>
      </c>
      <c r="E302" s="2">
        <v>885.23118969751522</v>
      </c>
      <c r="F302" s="2">
        <v>534.29257776588202</v>
      </c>
      <c r="G302" s="2">
        <v>140.89558993699029</v>
      </c>
      <c r="H302" s="2">
        <v>11.595403853803873</v>
      </c>
      <c r="I302" s="2">
        <v>0.81161488093668599</v>
      </c>
      <c r="J302" s="2">
        <v>9</v>
      </c>
      <c r="K302" s="2">
        <v>198.57294700717662</v>
      </c>
      <c r="L302" s="2">
        <v>50</v>
      </c>
      <c r="M302" s="2">
        <v>25</v>
      </c>
      <c r="N302" s="2">
        <v>1.2252648050238641</v>
      </c>
      <c r="O302" s="2">
        <v>52.218308388302646</v>
      </c>
      <c r="P302" s="2">
        <v>1450.4828286822885</v>
      </c>
      <c r="Q302" s="2">
        <v>1.2410082633140007</v>
      </c>
      <c r="R302" s="2">
        <v>51.693425110541028</v>
      </c>
      <c r="S302" s="2">
        <v>1456.2894180426704</v>
      </c>
      <c r="T302" s="2">
        <v>1.5743458290136569E-2</v>
      </c>
      <c r="U302" s="2">
        <v>-0.52488327776161725</v>
      </c>
      <c r="V302" s="2">
        <v>5.8065893603818495</v>
      </c>
    </row>
    <row r="303" spans="1:22" ht="15">
      <c r="A303" s="2">
        <v>302</v>
      </c>
      <c r="B303" s="2" t="s">
        <v>78</v>
      </c>
      <c r="C303" s="2" t="s">
        <v>13</v>
      </c>
      <c r="D303" s="2">
        <v>1389.415966544766</v>
      </c>
      <c r="E303" s="2">
        <v>1020.8668642444536</v>
      </c>
      <c r="F303" s="2">
        <v>485.78503476455808</v>
      </c>
      <c r="G303" s="2">
        <v>129.63666573166847</v>
      </c>
      <c r="H303" s="2">
        <v>10.643871883396059</v>
      </c>
      <c r="I303" s="2">
        <v>0.80285519845318054</v>
      </c>
      <c r="J303" s="2">
        <v>9</v>
      </c>
      <c r="K303" s="2">
        <v>192.28816371338493</v>
      </c>
      <c r="L303" s="2">
        <v>45</v>
      </c>
      <c r="M303" s="2">
        <v>25</v>
      </c>
      <c r="N303" s="2">
        <v>1.160269387159258</v>
      </c>
      <c r="O303" s="2">
        <v>52.230138294457184</v>
      </c>
      <c r="P303" s="2">
        <v>1389.415966544766</v>
      </c>
      <c r="Q303" s="2">
        <v>1.1566247052466221</v>
      </c>
      <c r="R303" s="2">
        <v>52.361662032512903</v>
      </c>
      <c r="S303" s="2">
        <v>1400.3568989922751</v>
      </c>
      <c r="T303" s="2">
        <v>-3.6446819126358942E-3</v>
      </c>
      <c r="U303" s="2">
        <v>0.13152373805571926</v>
      </c>
      <c r="V303" s="2">
        <v>10.940932447509113</v>
      </c>
    </row>
    <row r="304" spans="1:22" ht="15">
      <c r="A304" s="2">
        <v>303</v>
      </c>
      <c r="B304" s="2" t="s">
        <v>78</v>
      </c>
      <c r="C304" s="2" t="s">
        <v>13</v>
      </c>
      <c r="D304" s="2">
        <v>1390.5047247419134</v>
      </c>
      <c r="E304" s="2">
        <v>870.23199360119179</v>
      </c>
      <c r="F304" s="2">
        <v>511.59581914544106</v>
      </c>
      <c r="G304" s="2">
        <v>314.55640900647268</v>
      </c>
      <c r="H304" s="2">
        <v>13.783227308653295</v>
      </c>
      <c r="I304" s="2">
        <v>0.82700273668160662</v>
      </c>
      <c r="J304" s="2">
        <v>9</v>
      </c>
      <c r="K304" s="2">
        <v>186.81984728522841</v>
      </c>
      <c r="L304" s="2">
        <v>45</v>
      </c>
      <c r="M304" s="2">
        <v>25</v>
      </c>
      <c r="N304" s="2">
        <v>1.2163196566477925</v>
      </c>
      <c r="O304" s="2">
        <v>52.23950870977685</v>
      </c>
      <c r="P304" s="2">
        <v>1390.5047247419134</v>
      </c>
      <c r="Q304" s="2">
        <v>1.2274821338736894</v>
      </c>
      <c r="R304" s="2">
        <v>51.45684060517722</v>
      </c>
      <c r="S304" s="2">
        <v>1402.7541178908757</v>
      </c>
      <c r="T304" s="2">
        <v>1.1162477225896916E-2</v>
      </c>
      <c r="U304" s="2">
        <v>-0.78266810459962954</v>
      </c>
      <c r="V304" s="2">
        <v>12.249393148962326</v>
      </c>
    </row>
    <row r="305" spans="1:22" ht="15">
      <c r="A305" s="2">
        <v>304</v>
      </c>
      <c r="B305" s="2" t="s">
        <v>78</v>
      </c>
      <c r="C305" s="2" t="s">
        <v>13</v>
      </c>
      <c r="D305" s="2">
        <v>1355.4876450332813</v>
      </c>
      <c r="E305" s="2">
        <v>1066.9566133990884</v>
      </c>
      <c r="F305" s="2">
        <v>479.45372303947806</v>
      </c>
      <c r="G305" s="2">
        <v>237.98092272598296</v>
      </c>
      <c r="H305" s="2">
        <v>8.3887364803813398</v>
      </c>
      <c r="I305" s="2">
        <v>0.79885659775696694</v>
      </c>
      <c r="J305" s="2">
        <v>9</v>
      </c>
      <c r="K305" s="2">
        <v>188.53163228533623</v>
      </c>
      <c r="L305" s="2">
        <v>45</v>
      </c>
      <c r="M305" s="2">
        <v>25</v>
      </c>
      <c r="N305" s="2">
        <v>1.2493632932541259</v>
      </c>
      <c r="O305" s="2">
        <v>52.253231207085229</v>
      </c>
      <c r="P305" s="2">
        <v>1355.4876450332813</v>
      </c>
      <c r="Q305" s="2">
        <v>1.2634467685713504</v>
      </c>
      <c r="R305" s="2">
        <v>53.646461272381472</v>
      </c>
      <c r="S305" s="2">
        <v>1364.4917343294787</v>
      </c>
      <c r="T305" s="2">
        <v>1.4083475317224536E-2</v>
      </c>
      <c r="U305" s="2">
        <v>1.3932300652962439</v>
      </c>
      <c r="V305" s="2">
        <v>9.004089296197435</v>
      </c>
    </row>
    <row r="306" spans="1:22" ht="15">
      <c r="A306" s="2">
        <v>305</v>
      </c>
      <c r="B306" s="2" t="s">
        <v>78</v>
      </c>
      <c r="C306" s="2" t="s">
        <v>13</v>
      </c>
      <c r="D306" s="2">
        <v>1461.2758596427739</v>
      </c>
      <c r="E306" s="2">
        <v>1187.9556977539323</v>
      </c>
      <c r="F306" s="2">
        <v>633.84495172649622</v>
      </c>
      <c r="G306" s="2">
        <v>275.43733453610912</v>
      </c>
      <c r="H306" s="2">
        <v>20.169142501428723</v>
      </c>
      <c r="I306" s="2">
        <v>0.81264081924455245</v>
      </c>
      <c r="J306" s="2">
        <v>9</v>
      </c>
      <c r="K306" s="2">
        <v>199.79796800718125</v>
      </c>
      <c r="L306" s="2">
        <v>35</v>
      </c>
      <c r="M306" s="2">
        <v>25</v>
      </c>
      <c r="N306" s="2">
        <v>1.2296697517923261</v>
      </c>
      <c r="O306" s="2">
        <v>52.302011832657776</v>
      </c>
      <c r="P306" s="2">
        <v>1461.2758596427739</v>
      </c>
      <c r="Q306" s="2">
        <v>1.2433488673865718</v>
      </c>
      <c r="R306" s="2">
        <v>53.612834620199585</v>
      </c>
      <c r="S306" s="2">
        <v>1454.6790277917744</v>
      </c>
      <c r="T306" s="2">
        <v>1.3679115594245728E-2</v>
      </c>
      <c r="U306" s="2">
        <v>1.3108227875418095</v>
      </c>
      <c r="V306" s="2">
        <v>-6.5968318509994788</v>
      </c>
    </row>
    <row r="307" spans="1:22" ht="15">
      <c r="A307" s="2">
        <v>306</v>
      </c>
      <c r="B307" s="2" t="s">
        <v>78</v>
      </c>
      <c r="C307" s="2" t="s">
        <v>13</v>
      </c>
      <c r="D307" s="2">
        <v>1430.2134878584184</v>
      </c>
      <c r="E307" s="2">
        <v>1212.2468290152028</v>
      </c>
      <c r="F307" s="2">
        <v>600.16043866053224</v>
      </c>
      <c r="G307" s="2">
        <v>329.11788222379982</v>
      </c>
      <c r="H307" s="2">
        <v>8.1694495980627835</v>
      </c>
      <c r="I307" s="2">
        <v>0.84818180727306758</v>
      </c>
      <c r="J307" s="2">
        <v>9</v>
      </c>
      <c r="K307" s="2">
        <v>187.35677704872705</v>
      </c>
      <c r="L307" s="2">
        <v>35</v>
      </c>
      <c r="M307" s="2">
        <v>25</v>
      </c>
      <c r="N307" s="2">
        <v>1.1794462347805974</v>
      </c>
      <c r="O307" s="2">
        <v>52.308917308998083</v>
      </c>
      <c r="P307" s="2">
        <v>1430.2134878584184</v>
      </c>
      <c r="Q307" s="2">
        <v>1.1913820631580856</v>
      </c>
      <c r="R307" s="2">
        <v>54.035123169170966</v>
      </c>
      <c r="S307" s="2">
        <v>1423.8602562640165</v>
      </c>
      <c r="T307" s="2">
        <v>1.1935828377488189E-2</v>
      </c>
      <c r="U307" s="2">
        <v>1.7262058601728825</v>
      </c>
      <c r="V307" s="2">
        <v>-6.3532315944019047</v>
      </c>
    </row>
    <row r="308" spans="1:22" ht="15">
      <c r="A308" s="2">
        <v>307</v>
      </c>
      <c r="B308" s="2" t="s">
        <v>78</v>
      </c>
      <c r="C308" s="2" t="s">
        <v>13</v>
      </c>
      <c r="D308" s="2">
        <v>1450.6680873921141</v>
      </c>
      <c r="E308" s="2">
        <v>745.49840349936858</v>
      </c>
      <c r="F308" s="2">
        <v>616.78705774247646</v>
      </c>
      <c r="G308" s="2">
        <v>218.57249048305675</v>
      </c>
      <c r="H308" s="2">
        <v>24.168970686383545</v>
      </c>
      <c r="I308" s="2">
        <v>0.80630760718835526</v>
      </c>
      <c r="J308" s="2">
        <v>9</v>
      </c>
      <c r="K308" s="2">
        <v>199.90552192063714</v>
      </c>
      <c r="L308" s="2">
        <v>45</v>
      </c>
      <c r="M308" s="2">
        <v>25</v>
      </c>
      <c r="N308" s="2">
        <v>1.1872702857175832</v>
      </c>
      <c r="O308" s="2">
        <v>52.22149527612271</v>
      </c>
      <c r="P308" s="2">
        <v>1450.6680873921141</v>
      </c>
      <c r="Q308" s="2">
        <v>1.1861930074438338</v>
      </c>
      <c r="R308" s="2">
        <v>52.623164672921021</v>
      </c>
      <c r="S308" s="2">
        <v>1450.011189068829</v>
      </c>
      <c r="T308" s="2">
        <v>-1.0772782737493714E-3</v>
      </c>
      <c r="U308" s="2">
        <v>0.4016693967983116</v>
      </c>
      <c r="V308" s="2">
        <v>-0.65689832328507691</v>
      </c>
    </row>
    <row r="309" spans="1:22" ht="15">
      <c r="A309" s="2">
        <v>308</v>
      </c>
      <c r="B309" s="2" t="s">
        <v>78</v>
      </c>
      <c r="C309" s="2" t="s">
        <v>13</v>
      </c>
      <c r="D309" s="2">
        <v>1497.6435528486036</v>
      </c>
      <c r="E309" s="2">
        <v>687.60057711042464</v>
      </c>
      <c r="F309" s="2">
        <v>537.11317656561732</v>
      </c>
      <c r="G309" s="2">
        <v>239.15629582013935</v>
      </c>
      <c r="H309" s="2">
        <v>24.923896938096732</v>
      </c>
      <c r="I309" s="2">
        <v>0.79873212093487389</v>
      </c>
      <c r="J309" s="2">
        <v>10</v>
      </c>
      <c r="K309" s="2">
        <v>187.50260739429018</v>
      </c>
      <c r="L309" s="2">
        <v>45</v>
      </c>
      <c r="M309" s="2">
        <v>25</v>
      </c>
      <c r="N309" s="2">
        <v>1.2102071384088791</v>
      </c>
      <c r="O309" s="2">
        <v>52.228615486075213</v>
      </c>
      <c r="P309" s="2">
        <v>1497.6435528486036</v>
      </c>
      <c r="Q309" s="2">
        <v>1.2070629062407541</v>
      </c>
      <c r="R309" s="2">
        <v>51.388266144167162</v>
      </c>
      <c r="S309" s="2">
        <v>1493.4429343220827</v>
      </c>
      <c r="T309" s="2">
        <v>-3.144232168124983E-3</v>
      </c>
      <c r="U309" s="2">
        <v>-0.84034934190805188</v>
      </c>
      <c r="V309" s="2">
        <v>-4.2006185265208842</v>
      </c>
    </row>
    <row r="310" spans="1:22" ht="15">
      <c r="A310" s="2">
        <v>309</v>
      </c>
      <c r="B310" s="2" t="s">
        <v>78</v>
      </c>
      <c r="C310" s="2" t="s">
        <v>13</v>
      </c>
      <c r="D310" s="2">
        <v>1475.9195525664836</v>
      </c>
      <c r="E310" s="2">
        <v>940.79899563221261</v>
      </c>
      <c r="F310" s="2">
        <v>720.24547141045332</v>
      </c>
      <c r="G310" s="2">
        <v>166.07917121844366</v>
      </c>
      <c r="H310" s="2">
        <v>29.251064836978912</v>
      </c>
      <c r="I310" s="2">
        <v>0.83419948822120205</v>
      </c>
      <c r="J310" s="2">
        <v>9</v>
      </c>
      <c r="K310" s="2">
        <v>196.58494606123634</v>
      </c>
      <c r="L310" s="2">
        <v>40</v>
      </c>
      <c r="M310" s="2">
        <v>25</v>
      </c>
      <c r="N310" s="2">
        <v>1.2566874060282287</v>
      </c>
      <c r="O310" s="2">
        <v>52.259894253295862</v>
      </c>
      <c r="P310" s="2">
        <v>1475.9195525664836</v>
      </c>
      <c r="Q310" s="2">
        <v>1.2616447234061521</v>
      </c>
      <c r="R310" s="2">
        <v>52.121957809761895</v>
      </c>
      <c r="S310" s="2">
        <v>1462.7614184253041</v>
      </c>
      <c r="T310" s="2">
        <v>4.9573173779233759E-3</v>
      </c>
      <c r="U310" s="2">
        <v>-0.13793644353396672</v>
      </c>
      <c r="V310" s="2">
        <v>-13.158134141179517</v>
      </c>
    </row>
    <row r="311" spans="1:22" ht="15">
      <c r="A311" s="2">
        <v>310</v>
      </c>
      <c r="B311" s="2" t="s">
        <v>78</v>
      </c>
      <c r="C311" s="2" t="s">
        <v>13</v>
      </c>
      <c r="D311" s="2">
        <v>1419.1474602674134</v>
      </c>
      <c r="E311" s="2">
        <v>650.7511863252148</v>
      </c>
      <c r="F311" s="2">
        <v>455.76132955029607</v>
      </c>
      <c r="G311" s="2">
        <v>124.68555981293321</v>
      </c>
      <c r="H311" s="2">
        <v>11.560886195395142</v>
      </c>
      <c r="I311" s="2">
        <v>0.83864327204879374</v>
      </c>
      <c r="J311" s="2">
        <v>9</v>
      </c>
      <c r="K311" s="2">
        <v>188.02160155128442</v>
      </c>
      <c r="L311" s="2">
        <v>65</v>
      </c>
      <c r="M311" s="2">
        <v>25</v>
      </c>
      <c r="N311" s="2">
        <v>1.2433883746407828</v>
      </c>
      <c r="O311" s="2">
        <v>52.166974559951726</v>
      </c>
      <c r="P311" s="2">
        <v>1419.1474602674134</v>
      </c>
      <c r="Q311" s="2">
        <v>1.2310084595179487</v>
      </c>
      <c r="R311" s="2">
        <v>51.106274531734421</v>
      </c>
      <c r="S311" s="2">
        <v>1442.6185439162648</v>
      </c>
      <c r="T311" s="2">
        <v>-1.2379915122834095E-2</v>
      </c>
      <c r="U311" s="2">
        <v>-1.0607000282173047</v>
      </c>
      <c r="V311" s="2">
        <v>23.471083648851391</v>
      </c>
    </row>
    <row r="312" spans="1:22" ht="15">
      <c r="A312" s="2">
        <v>311</v>
      </c>
      <c r="B312" s="2" t="s">
        <v>78</v>
      </c>
      <c r="C312" s="2" t="s">
        <v>13</v>
      </c>
      <c r="D312" s="2">
        <v>1414.8453035624698</v>
      </c>
      <c r="E312" s="2">
        <v>1095.3975690645166</v>
      </c>
      <c r="F312" s="2">
        <v>406.67156726121902</v>
      </c>
      <c r="G312" s="2">
        <v>164.32666858425364</v>
      </c>
      <c r="H312" s="2">
        <v>21.819713423959911</v>
      </c>
      <c r="I312" s="2">
        <v>0.8526198117784225</v>
      </c>
      <c r="J312" s="2">
        <v>9</v>
      </c>
      <c r="K312" s="2">
        <v>184.37881873898738</v>
      </c>
      <c r="L312" s="2">
        <v>45</v>
      </c>
      <c r="M312" s="2">
        <v>25</v>
      </c>
      <c r="N312" s="2">
        <v>1.2344199173279602</v>
      </c>
      <c r="O312" s="2">
        <v>52.23483276588059</v>
      </c>
      <c r="P312" s="2">
        <v>1414.8453035624698</v>
      </c>
      <c r="Q312" s="2">
        <v>1.227459392316161</v>
      </c>
      <c r="R312" s="2">
        <v>52.321204046756293</v>
      </c>
      <c r="S312" s="2">
        <v>1414.5962908036454</v>
      </c>
      <c r="T312" s="2">
        <v>-6.9605250117992234E-3</v>
      </c>
      <c r="U312" s="2">
        <v>8.6371280875702894E-2</v>
      </c>
      <c r="V312" s="2">
        <v>-0.24901275882439222</v>
      </c>
    </row>
    <row r="313" spans="1:22" ht="15">
      <c r="A313" s="2">
        <v>312</v>
      </c>
      <c r="B313" s="2" t="s">
        <v>78</v>
      </c>
      <c r="C313" s="2" t="s">
        <v>13</v>
      </c>
      <c r="D313" s="2">
        <v>1445.8631805027835</v>
      </c>
      <c r="E313" s="2">
        <v>1232.391897123307</v>
      </c>
      <c r="F313" s="2">
        <v>458.30975687131286</v>
      </c>
      <c r="G313" s="2">
        <v>325.3021319815889</v>
      </c>
      <c r="H313" s="2">
        <v>15.94232097780332</v>
      </c>
      <c r="I313" s="2">
        <v>0.79324250650592154</v>
      </c>
      <c r="J313" s="2">
        <v>10</v>
      </c>
      <c r="K313" s="2">
        <v>182.27252935190384</v>
      </c>
      <c r="L313" s="2">
        <v>35</v>
      </c>
      <c r="M313" s="2">
        <v>25</v>
      </c>
      <c r="N313" s="2">
        <v>1.2698839428570903</v>
      </c>
      <c r="O313" s="2">
        <v>52.324272655920375</v>
      </c>
      <c r="P313" s="2">
        <v>1445.8631805027835</v>
      </c>
      <c r="Q313" s="2">
        <v>1.2839389098942005</v>
      </c>
      <c r="R313" s="2">
        <v>53.687549168380357</v>
      </c>
      <c r="S313" s="2">
        <v>1439.362057503673</v>
      </c>
      <c r="T313" s="2">
        <v>1.4054967037110178E-2</v>
      </c>
      <c r="U313" s="2">
        <v>1.3632765124599828</v>
      </c>
      <c r="V313" s="2">
        <v>-6.5011229991105211</v>
      </c>
    </row>
    <row r="314" spans="1:22" ht="15">
      <c r="A314" s="2">
        <v>313</v>
      </c>
      <c r="B314" s="2" t="s">
        <v>78</v>
      </c>
      <c r="C314" s="2" t="s">
        <v>13</v>
      </c>
      <c r="D314" s="2">
        <v>1379.4238518923521</v>
      </c>
      <c r="E314" s="2">
        <v>1130.7523576891981</v>
      </c>
      <c r="F314" s="2">
        <v>732.53956604748964</v>
      </c>
      <c r="G314" s="2">
        <v>308.50149177247658</v>
      </c>
      <c r="H314" s="2">
        <v>8.40564258210361</v>
      </c>
      <c r="I314" s="2">
        <v>0.8072214999538847</v>
      </c>
      <c r="J314" s="2">
        <v>9</v>
      </c>
      <c r="K314" s="2">
        <v>189.87268907689406</v>
      </c>
      <c r="L314" s="2">
        <v>35</v>
      </c>
      <c r="M314" s="2">
        <v>25</v>
      </c>
      <c r="N314" s="2">
        <v>1.196880424939297</v>
      </c>
      <c r="O314" s="2">
        <v>52.313636888313269</v>
      </c>
      <c r="P314" s="2">
        <v>1379.4238518923521</v>
      </c>
      <c r="Q314" s="2">
        <v>1.203748495257394</v>
      </c>
      <c r="R314" s="2">
        <v>52.64064879265522</v>
      </c>
      <c r="S314" s="2">
        <v>1376.3165988966598</v>
      </c>
      <c r="T314" s="2">
        <v>6.8680703180969971E-3</v>
      </c>
      <c r="U314" s="2">
        <v>0.32701190434195126</v>
      </c>
      <c r="V314" s="2">
        <v>-3.1072529956923063</v>
      </c>
    </row>
    <row r="315" spans="1:22" ht="15">
      <c r="A315" s="2">
        <v>314</v>
      </c>
      <c r="B315" s="2" t="s">
        <v>78</v>
      </c>
      <c r="C315" s="2" t="s">
        <v>13</v>
      </c>
      <c r="D315" s="2">
        <v>1393.629800027702</v>
      </c>
      <c r="E315" s="2">
        <v>1155.9723286191002</v>
      </c>
      <c r="F315" s="2">
        <v>530.76239386573434</v>
      </c>
      <c r="G315" s="2">
        <v>91.297844117507339</v>
      </c>
      <c r="H315" s="2">
        <v>17.063708466012031</v>
      </c>
      <c r="I315" s="2">
        <v>0.82349781297612934</v>
      </c>
      <c r="J315" s="2">
        <v>9</v>
      </c>
      <c r="K315" s="2">
        <v>188.03663242166024</v>
      </c>
      <c r="L315" s="2">
        <v>40</v>
      </c>
      <c r="M315" s="2">
        <v>25</v>
      </c>
      <c r="N315" s="2">
        <v>1.163700036192693</v>
      </c>
      <c r="O315" s="2">
        <v>52.252239727947462</v>
      </c>
      <c r="P315" s="2">
        <v>1393.629800027702</v>
      </c>
      <c r="Q315" s="2">
        <v>1.1658945531126361</v>
      </c>
      <c r="R315" s="2">
        <v>52.087457307730517</v>
      </c>
      <c r="S315" s="2">
        <v>1388.3679465682458</v>
      </c>
      <c r="T315" s="2">
        <v>2.1945169199431014E-3</v>
      </c>
      <c r="U315" s="2">
        <v>-0.16478242021694456</v>
      </c>
      <c r="V315" s="2">
        <v>-5.2618534594562334</v>
      </c>
    </row>
    <row r="316" spans="1:22" ht="15">
      <c r="A316" s="2">
        <v>315</v>
      </c>
      <c r="B316" s="2" t="s">
        <v>79</v>
      </c>
      <c r="C316" s="2" t="s">
        <v>13</v>
      </c>
      <c r="D316" s="2">
        <v>1389.1510349465534</v>
      </c>
      <c r="E316" s="2">
        <v>1084.7033002064563</v>
      </c>
      <c r="F316" s="2">
        <v>420.28943635523319</v>
      </c>
      <c r="G316" s="2">
        <v>216.54773979214951</v>
      </c>
      <c r="H316" s="2">
        <v>24.332317837513983</v>
      </c>
      <c r="I316" s="2">
        <v>0.79808812889037661</v>
      </c>
      <c r="J316" s="2">
        <v>9</v>
      </c>
      <c r="K316" s="2">
        <v>193.39983819664437</v>
      </c>
      <c r="L316" s="2">
        <v>40</v>
      </c>
      <c r="M316" s="2">
        <v>25</v>
      </c>
      <c r="N316" s="2">
        <v>1.1675896740139222</v>
      </c>
      <c r="O316" s="2">
        <v>52.243431198775468</v>
      </c>
      <c r="P316" s="2">
        <v>1389.1510349465534</v>
      </c>
      <c r="Q316" s="2">
        <v>1.1603137284438911</v>
      </c>
      <c r="R316" s="2">
        <v>52.434241751025112</v>
      </c>
      <c r="S316" s="2">
        <v>1370.9384184028675</v>
      </c>
      <c r="T316" s="2">
        <v>-7.2759455700310838E-3</v>
      </c>
      <c r="U316" s="2">
        <v>0.19081055224964416</v>
      </c>
      <c r="V316" s="2">
        <v>-18.212616543685954</v>
      </c>
    </row>
    <row r="317" spans="1:22" ht="15">
      <c r="A317" s="2">
        <v>316</v>
      </c>
      <c r="B317" s="2" t="s">
        <v>79</v>
      </c>
      <c r="C317" s="2" t="s">
        <v>13</v>
      </c>
      <c r="D317" s="2">
        <v>1404.4215996167623</v>
      </c>
      <c r="E317" s="2">
        <v>1026.8865774851292</v>
      </c>
      <c r="F317" s="2">
        <v>616.97391821071506</v>
      </c>
      <c r="G317" s="2">
        <v>114.77304975967854</v>
      </c>
      <c r="H317" s="2">
        <v>22.930803548078984</v>
      </c>
      <c r="I317" s="2">
        <v>0.80581160500645643</v>
      </c>
      <c r="J317" s="2">
        <v>9</v>
      </c>
      <c r="K317" s="2">
        <v>193.65177100001205</v>
      </c>
      <c r="L317" s="2">
        <v>40</v>
      </c>
      <c r="M317" s="2">
        <v>25</v>
      </c>
      <c r="N317" s="2">
        <v>1.1828069438816602</v>
      </c>
      <c r="O317" s="2">
        <v>52.249214935575147</v>
      </c>
      <c r="P317" s="2">
        <v>1404.4215996167623</v>
      </c>
      <c r="Q317" s="2">
        <v>1.1770968427907651</v>
      </c>
      <c r="R317" s="2">
        <v>51.730935103167738</v>
      </c>
      <c r="S317" s="2">
        <v>1389.1781604759963</v>
      </c>
      <c r="T317" s="2">
        <v>-5.7101010908950922E-3</v>
      </c>
      <c r="U317" s="2">
        <v>-0.51827983240740849</v>
      </c>
      <c r="V317" s="2">
        <v>-15.243439140765986</v>
      </c>
    </row>
    <row r="318" spans="1:22" ht="15">
      <c r="A318" s="2">
        <v>317</v>
      </c>
      <c r="B318" s="2" t="s">
        <v>79</v>
      </c>
      <c r="C318" s="2" t="s">
        <v>13</v>
      </c>
      <c r="D318" s="2">
        <v>1388.2224615197629</v>
      </c>
      <c r="E318" s="2">
        <v>938.74264330370352</v>
      </c>
      <c r="F318" s="2">
        <v>351.10109504312277</v>
      </c>
      <c r="G318" s="2">
        <v>139.15865191491321</v>
      </c>
      <c r="H318" s="2">
        <v>18.040418442338705</v>
      </c>
      <c r="I318" s="2">
        <v>0.83041300211334601</v>
      </c>
      <c r="J318" s="2">
        <v>9</v>
      </c>
      <c r="K318" s="2">
        <v>185.74726043103169</v>
      </c>
      <c r="L318" s="2">
        <v>50</v>
      </c>
      <c r="M318" s="2">
        <v>25</v>
      </c>
      <c r="N318" s="2">
        <v>1.154553734316458</v>
      </c>
      <c r="O318" s="2">
        <v>52.197817197701568</v>
      </c>
      <c r="P318" s="2">
        <v>1388.2224615197629</v>
      </c>
      <c r="Q318" s="2">
        <v>1.1417157206964443</v>
      </c>
      <c r="R318" s="2">
        <v>51.864831216641072</v>
      </c>
      <c r="S318" s="2">
        <v>1402.8896150704081</v>
      </c>
      <c r="T318" s="2">
        <v>-1.2838013620013689E-2</v>
      </c>
      <c r="U318" s="2">
        <v>-0.33298598106049582</v>
      </c>
      <c r="V318" s="2">
        <v>14.667153550645253</v>
      </c>
    </row>
    <row r="319" spans="1:22" ht="15">
      <c r="A319" s="2">
        <v>318</v>
      </c>
      <c r="B319" s="2" t="s">
        <v>80</v>
      </c>
      <c r="C319" s="2" t="s">
        <v>13</v>
      </c>
      <c r="D319" s="2">
        <v>1474.6972631779499</v>
      </c>
      <c r="E319" s="2">
        <v>1238.739716517739</v>
      </c>
      <c r="F319" s="2">
        <v>676.20361344888806</v>
      </c>
      <c r="G319" s="2">
        <v>182.56449971348047</v>
      </c>
      <c r="H319" s="2">
        <v>28.495426537934691</v>
      </c>
      <c r="I319" s="2">
        <v>0.85061857182066891</v>
      </c>
      <c r="J319" s="2">
        <v>9</v>
      </c>
      <c r="K319" s="2">
        <v>192.63070063647908</v>
      </c>
      <c r="L319" s="2">
        <v>30</v>
      </c>
      <c r="M319" s="2">
        <v>25</v>
      </c>
      <c r="N319" s="2">
        <v>1.1450768178415074</v>
      </c>
      <c r="O319" s="2">
        <v>52.302053908342863</v>
      </c>
      <c r="P319" s="2">
        <v>1474.6972631779499</v>
      </c>
      <c r="Q319" s="2">
        <v>1.1607186006412304</v>
      </c>
      <c r="R319" s="2">
        <v>53.322708345563974</v>
      </c>
      <c r="S319" s="2">
        <v>1450.4703294681697</v>
      </c>
      <c r="T319" s="2">
        <v>1.5641782799723059E-2</v>
      </c>
      <c r="U319" s="2">
        <v>1.0206544372211113</v>
      </c>
      <c r="V319" s="2">
        <v>-24.226933709780269</v>
      </c>
    </row>
    <row r="320" spans="1:22" ht="15">
      <c r="A320" s="2">
        <v>319</v>
      </c>
      <c r="B320" s="2" t="s">
        <v>80</v>
      </c>
      <c r="C320" s="2" t="s">
        <v>13</v>
      </c>
      <c r="D320" s="2">
        <v>1369.697616272606</v>
      </c>
      <c r="E320" s="2">
        <v>860.59087320463732</v>
      </c>
      <c r="F320" s="2">
        <v>489.48623463511467</v>
      </c>
      <c r="G320" s="2">
        <v>91.958252114709467</v>
      </c>
      <c r="H320" s="2">
        <v>18.438404238782823</v>
      </c>
      <c r="I320" s="2">
        <v>0.80911972166737545</v>
      </c>
      <c r="J320" s="2">
        <v>9</v>
      </c>
      <c r="K320" s="2">
        <v>188.09160122394525</v>
      </c>
      <c r="L320" s="2">
        <v>50</v>
      </c>
      <c r="M320" s="2">
        <v>25</v>
      </c>
      <c r="N320" s="2">
        <v>1.1660905054232988</v>
      </c>
      <c r="O320" s="2">
        <v>52.199849363500896</v>
      </c>
      <c r="P320" s="2">
        <v>1369.697616272606</v>
      </c>
      <c r="Q320" s="2">
        <v>1.1683045139870116</v>
      </c>
      <c r="R320" s="2">
        <v>52.219884759782204</v>
      </c>
      <c r="S320" s="2">
        <v>1381.8139764320647</v>
      </c>
      <c r="T320" s="2">
        <v>2.2140085637127882E-3</v>
      </c>
      <c r="U320" s="2">
        <v>2.0035396281308238E-2</v>
      </c>
      <c r="V320" s="2">
        <v>12.116360159458736</v>
      </c>
    </row>
    <row r="321" spans="1:22" ht="15">
      <c r="A321" s="2">
        <v>320</v>
      </c>
      <c r="B321" s="2" t="s">
        <v>80</v>
      </c>
      <c r="C321" s="2" t="s">
        <v>13</v>
      </c>
      <c r="D321" s="2">
        <v>1446.4588949340396</v>
      </c>
      <c r="E321" s="2">
        <v>935.83453856408596</v>
      </c>
      <c r="F321" s="2">
        <v>712.30619540438056</v>
      </c>
      <c r="G321" s="2">
        <v>213.95791605580598</v>
      </c>
      <c r="H321" s="2">
        <v>17.613100962247699</v>
      </c>
      <c r="I321" s="2">
        <v>0.83477671149186794</v>
      </c>
      <c r="J321" s="2">
        <v>9</v>
      </c>
      <c r="K321" s="2">
        <v>192.52771762816087</v>
      </c>
      <c r="L321" s="2">
        <v>40</v>
      </c>
      <c r="M321" s="2">
        <v>25</v>
      </c>
      <c r="N321" s="2">
        <v>1.2173484948267974</v>
      </c>
      <c r="O321" s="2">
        <v>52.26534773200504</v>
      </c>
      <c r="P321" s="2">
        <v>1446.4588949340396</v>
      </c>
      <c r="Q321" s="2">
        <v>1.2240250672339421</v>
      </c>
      <c r="R321" s="2">
        <v>52.090725811523328</v>
      </c>
      <c r="S321" s="2">
        <v>1435.6728564327132</v>
      </c>
      <c r="T321" s="2">
        <v>6.6765724071446986E-3</v>
      </c>
      <c r="U321" s="2">
        <v>-0.17462192048171232</v>
      </c>
      <c r="V321" s="2">
        <v>-10.786038501326402</v>
      </c>
    </row>
    <row r="322" spans="1:22" ht="15">
      <c r="A322" s="2">
        <v>321</v>
      </c>
      <c r="B322" s="2" t="s">
        <v>78</v>
      </c>
      <c r="C322" s="2" t="s">
        <v>13</v>
      </c>
      <c r="D322" s="2">
        <v>1443.1873711757362</v>
      </c>
      <c r="E322" s="2">
        <v>1225.8047822280787</v>
      </c>
      <c r="F322" s="2">
        <v>724.51223079115152</v>
      </c>
      <c r="G322" s="2">
        <v>245.86551914224401</v>
      </c>
      <c r="H322" s="2">
        <v>17.879516849294305</v>
      </c>
      <c r="I322" s="2">
        <v>0.84083612228976568</v>
      </c>
      <c r="J322" s="2">
        <v>9</v>
      </c>
      <c r="K322" s="2">
        <v>190.70797281660904</v>
      </c>
      <c r="L322" s="2">
        <v>35</v>
      </c>
      <c r="M322" s="2">
        <v>25</v>
      </c>
      <c r="N322" s="2">
        <v>1.2682663069639839</v>
      </c>
      <c r="O322" s="2">
        <v>52.317439761327279</v>
      </c>
      <c r="P322" s="2">
        <v>1443.1873711757362</v>
      </c>
      <c r="Q322" s="2">
        <v>1.2881083613857895</v>
      </c>
      <c r="R322" s="2">
        <v>52.436275097696097</v>
      </c>
      <c r="S322" s="2">
        <v>1433.4898803387218</v>
      </c>
      <c r="T322" s="2">
        <v>1.9842054421805644E-2</v>
      </c>
      <c r="U322" s="2">
        <v>0.11883533636881793</v>
      </c>
      <c r="V322" s="2">
        <v>-9.6974908370143567</v>
      </c>
    </row>
    <row r="323" spans="1:22" ht="15">
      <c r="A323" s="2">
        <v>322</v>
      </c>
      <c r="B323" s="2" t="s">
        <v>78</v>
      </c>
      <c r="C323" s="2" t="s">
        <v>13</v>
      </c>
      <c r="D323" s="2">
        <v>1415.5557570629753</v>
      </c>
      <c r="E323" s="2">
        <v>955.05359463859349</v>
      </c>
      <c r="F323" s="2">
        <v>434.95999211445451</v>
      </c>
      <c r="G323" s="2">
        <v>158.31343845464289</v>
      </c>
      <c r="H323" s="2">
        <v>28.694142275024205</v>
      </c>
      <c r="I323" s="2">
        <v>0.84206673203501858</v>
      </c>
      <c r="J323" s="2">
        <v>9</v>
      </c>
      <c r="K323" s="2">
        <v>186.78326434638956</v>
      </c>
      <c r="L323" s="2">
        <v>45</v>
      </c>
      <c r="M323" s="2">
        <v>25</v>
      </c>
      <c r="N323" s="2">
        <v>1.1859230080156247</v>
      </c>
      <c r="O323" s="2">
        <v>52.216422891405507</v>
      </c>
      <c r="P323" s="2">
        <v>1415.5557570629753</v>
      </c>
      <c r="Q323" s="2">
        <v>1.174563272970935</v>
      </c>
      <c r="R323" s="2">
        <v>53.114681037879834</v>
      </c>
      <c r="S323" s="2">
        <v>1407.3601814203737</v>
      </c>
      <c r="T323" s="2">
        <v>-1.1359735044689678E-2</v>
      </c>
      <c r="U323" s="2">
        <v>0.89825814647432622</v>
      </c>
      <c r="V323" s="2">
        <v>-8.1955756426016251</v>
      </c>
    </row>
    <row r="324" spans="1:22" ht="15">
      <c r="A324" s="2">
        <v>323</v>
      </c>
      <c r="B324" s="2" t="s">
        <v>78</v>
      </c>
      <c r="C324" s="2" t="s">
        <v>13</v>
      </c>
      <c r="D324" s="2">
        <v>1457.1671988582239</v>
      </c>
      <c r="E324" s="2">
        <v>1107.3886176222004</v>
      </c>
      <c r="F324" s="2">
        <v>714.42570798099041</v>
      </c>
      <c r="G324" s="2">
        <v>202.50265449983999</v>
      </c>
      <c r="H324" s="2">
        <v>11.51985386479646</v>
      </c>
      <c r="I324" s="2">
        <v>0.80256116823060442</v>
      </c>
      <c r="J324" s="2">
        <v>10</v>
      </c>
      <c r="K324" s="2">
        <v>181.56462791126816</v>
      </c>
      <c r="L324" s="2">
        <v>35</v>
      </c>
      <c r="M324" s="2">
        <v>25</v>
      </c>
      <c r="N324" s="2">
        <v>1.2500341510909696</v>
      </c>
      <c r="O324" s="2">
        <v>52.32571291680285</v>
      </c>
      <c r="P324" s="2">
        <v>1457.1671988582239</v>
      </c>
      <c r="Q324" s="2">
        <v>1.2618726255572146</v>
      </c>
      <c r="R324" s="2">
        <v>52.766864764571991</v>
      </c>
      <c r="S324" s="2">
        <v>1455.0076499705208</v>
      </c>
      <c r="T324" s="2">
        <v>1.1838474466244975E-2</v>
      </c>
      <c r="U324" s="2">
        <v>0.44115184776914163</v>
      </c>
      <c r="V324" s="2">
        <v>-2.1595488877030675</v>
      </c>
    </row>
    <row r="325" spans="1:22" ht="15">
      <c r="A325" s="2">
        <v>324</v>
      </c>
      <c r="B325" s="2" t="s">
        <v>78</v>
      </c>
      <c r="C325" s="2" t="s">
        <v>13</v>
      </c>
      <c r="D325" s="2">
        <v>1423.2422492816113</v>
      </c>
      <c r="E325" s="2">
        <v>775.04790318198502</v>
      </c>
      <c r="F325" s="2">
        <v>451.22349290177226</v>
      </c>
      <c r="G325" s="2">
        <v>285.5934447562322</v>
      </c>
      <c r="H325" s="2">
        <v>28.913187734317034</v>
      </c>
      <c r="I325" s="2">
        <v>0.84411305284127591</v>
      </c>
      <c r="J325" s="2">
        <v>9</v>
      </c>
      <c r="K325" s="2">
        <v>187.34223711582922</v>
      </c>
      <c r="L325" s="2">
        <v>45</v>
      </c>
      <c r="M325" s="2">
        <v>25</v>
      </c>
      <c r="N325" s="2">
        <v>1.1620606075975637</v>
      </c>
      <c r="O325" s="2">
        <v>52.21073752530797</v>
      </c>
      <c r="P325" s="2">
        <v>1423.2422492816113</v>
      </c>
      <c r="Q325" s="2">
        <v>1.15769921967754</v>
      </c>
      <c r="R325" s="2">
        <v>51.130190501020934</v>
      </c>
      <c r="S325" s="2">
        <v>1412.1192186617975</v>
      </c>
      <c r="T325" s="2">
        <v>-4.3613879200237182E-3</v>
      </c>
      <c r="U325" s="2">
        <v>-1.0805470242870356</v>
      </c>
      <c r="V325" s="2">
        <v>-11.12303061981379</v>
      </c>
    </row>
    <row r="326" spans="1:22" ht="15">
      <c r="A326" s="2">
        <v>325</v>
      </c>
      <c r="B326" s="2" t="s">
        <v>78</v>
      </c>
      <c r="C326" s="2" t="s">
        <v>13</v>
      </c>
      <c r="D326" s="2">
        <v>1484.6258046571165</v>
      </c>
      <c r="E326" s="2">
        <v>829.26402556477115</v>
      </c>
      <c r="F326" s="2">
        <v>476.52146648615599</v>
      </c>
      <c r="G326" s="2">
        <v>229.01878620730713</v>
      </c>
      <c r="H326" s="2">
        <v>12.763326577842236</v>
      </c>
      <c r="I326" s="2">
        <v>0.83252652170369401</v>
      </c>
      <c r="J326" s="2">
        <v>9</v>
      </c>
      <c r="K326" s="2">
        <v>198.14194315648513</v>
      </c>
      <c r="L326" s="2">
        <v>50</v>
      </c>
      <c r="M326" s="2">
        <v>25</v>
      </c>
      <c r="N326" s="2">
        <v>1.2111667551309011</v>
      </c>
      <c r="O326" s="2">
        <v>52.21431435708741</v>
      </c>
      <c r="P326" s="2">
        <v>1484.6258046571165</v>
      </c>
      <c r="Q326" s="2">
        <v>1.2110413027399392</v>
      </c>
      <c r="R326" s="2">
        <v>52.623628616321668</v>
      </c>
      <c r="S326" s="2">
        <v>1490.246509458535</v>
      </c>
      <c r="T326" s="2">
        <v>-1.2545239096195537E-4</v>
      </c>
      <c r="U326" s="2">
        <v>0.40931425923425735</v>
      </c>
      <c r="V326" s="2">
        <v>5.6207048014184693</v>
      </c>
    </row>
    <row r="327" spans="1:22" ht="15">
      <c r="A327" s="2">
        <v>326</v>
      </c>
      <c r="B327" s="2" t="s">
        <v>78</v>
      </c>
      <c r="C327" s="2" t="s">
        <v>13</v>
      </c>
      <c r="D327" s="2">
        <v>1495.5836362321861</v>
      </c>
      <c r="E327" s="2">
        <v>979.20816054102033</v>
      </c>
      <c r="F327" s="2">
        <v>514.22690721228719</v>
      </c>
      <c r="G327" s="2">
        <v>259.47170091792941</v>
      </c>
      <c r="H327" s="2">
        <v>24.894892050419003</v>
      </c>
      <c r="I327" s="2">
        <v>0.83258456075098364</v>
      </c>
      <c r="J327" s="2">
        <v>9</v>
      </c>
      <c r="K327" s="2">
        <v>199.59048896062259</v>
      </c>
      <c r="L327" s="2">
        <v>40</v>
      </c>
      <c r="M327" s="2">
        <v>25</v>
      </c>
      <c r="N327" s="2">
        <v>1.1894757939506773</v>
      </c>
      <c r="O327" s="2">
        <v>52.248321987905065</v>
      </c>
      <c r="P327" s="2">
        <v>1495.5836362321861</v>
      </c>
      <c r="Q327" s="2">
        <v>1.1873834213118355</v>
      </c>
      <c r="R327" s="2">
        <v>52.273881183016059</v>
      </c>
      <c r="S327" s="2">
        <v>1477.5663795973744</v>
      </c>
      <c r="T327" s="2">
        <v>-2.0923726388417663E-3</v>
      </c>
      <c r="U327" s="2">
        <v>2.5559195110993471E-2</v>
      </c>
      <c r="V327" s="2">
        <v>-18.017256634811702</v>
      </c>
    </row>
    <row r="328" spans="1:22" ht="15">
      <c r="A328" s="2">
        <v>327</v>
      </c>
      <c r="B328" s="2" t="s">
        <v>78</v>
      </c>
      <c r="C328" s="2" t="s">
        <v>13</v>
      </c>
      <c r="D328" s="2">
        <v>1398.2881910400465</v>
      </c>
      <c r="E328" s="2">
        <v>758.60489384504035</v>
      </c>
      <c r="F328" s="2">
        <v>697.30559885501862</v>
      </c>
      <c r="G328" s="2">
        <v>171.47583687445149</v>
      </c>
      <c r="H328" s="2">
        <v>19.122358682565391</v>
      </c>
      <c r="I328" s="2">
        <v>0.81952597632771362</v>
      </c>
      <c r="J328" s="2">
        <v>9</v>
      </c>
      <c r="K328" s="2">
        <v>189.57953627802686</v>
      </c>
      <c r="L328" s="2">
        <v>45</v>
      </c>
      <c r="M328" s="2">
        <v>25</v>
      </c>
      <c r="N328" s="2">
        <v>1.1951883506645198</v>
      </c>
      <c r="O328" s="2">
        <v>52.228750213438907</v>
      </c>
      <c r="P328" s="2">
        <v>1398.2881910400465</v>
      </c>
      <c r="Q328" s="2">
        <v>1.1910736618310558</v>
      </c>
      <c r="R328" s="2">
        <v>50.973254792472886</v>
      </c>
      <c r="S328" s="2">
        <v>1393.7320533116904</v>
      </c>
      <c r="T328" s="2">
        <v>-4.1146888334639975E-3</v>
      </c>
      <c r="U328" s="2">
        <v>-1.255495420966021</v>
      </c>
      <c r="V328" s="2">
        <v>-4.5561377283561342</v>
      </c>
    </row>
    <row r="329" spans="1:22" ht="15">
      <c r="A329" s="2">
        <v>328</v>
      </c>
      <c r="B329" s="2" t="s">
        <v>78</v>
      </c>
      <c r="C329" s="2" t="s">
        <v>13</v>
      </c>
      <c r="D329" s="2">
        <v>1390.3713879059069</v>
      </c>
      <c r="E329" s="2">
        <v>1119.4118608720601</v>
      </c>
      <c r="F329" s="2">
        <v>399.9459988437593</v>
      </c>
      <c r="G329" s="2">
        <v>116.34537348989397</v>
      </c>
      <c r="H329" s="2">
        <v>16.080622789915651</v>
      </c>
      <c r="I329" s="2">
        <v>0.85950007193721834</v>
      </c>
      <c r="J329" s="2">
        <v>9</v>
      </c>
      <c r="K329" s="2">
        <v>179.73903064269587</v>
      </c>
      <c r="L329" s="2">
        <v>45</v>
      </c>
      <c r="M329" s="2">
        <v>25</v>
      </c>
      <c r="N329" s="2">
        <v>1.1863005961163438</v>
      </c>
      <c r="O329" s="2">
        <v>52.2300470266376</v>
      </c>
      <c r="P329" s="2">
        <v>1390.3713879059069</v>
      </c>
      <c r="Q329" s="2">
        <v>1.1894488800612353</v>
      </c>
      <c r="R329" s="2">
        <v>53.642545229277964</v>
      </c>
      <c r="S329" s="2">
        <v>1391.3381815992102</v>
      </c>
      <c r="T329" s="2">
        <v>3.1482839448915279E-3</v>
      </c>
      <c r="U329" s="2">
        <v>1.4124982026403643</v>
      </c>
      <c r="V329" s="2">
        <v>0.9667936933033161</v>
      </c>
    </row>
    <row r="330" spans="1:22" ht="15">
      <c r="A330" s="2">
        <v>329</v>
      </c>
      <c r="B330" s="2" t="s">
        <v>78</v>
      </c>
      <c r="C330" s="2" t="s">
        <v>13</v>
      </c>
      <c r="D330" s="2">
        <v>1420.9783399477601</v>
      </c>
      <c r="E330" s="2">
        <v>629.08421236788854</v>
      </c>
      <c r="F330" s="2">
        <v>474.32974893599749</v>
      </c>
      <c r="G330" s="2">
        <v>123.60930022085086</v>
      </c>
      <c r="H330" s="2">
        <v>14.993105238303542</v>
      </c>
      <c r="I330" s="2">
        <v>0.80174180829199038</v>
      </c>
      <c r="J330" s="2">
        <v>9</v>
      </c>
      <c r="K330" s="2">
        <v>196.92933633182358</v>
      </c>
      <c r="L330" s="2">
        <v>60</v>
      </c>
      <c r="M330" s="2">
        <v>25</v>
      </c>
      <c r="N330" s="2">
        <v>1.1630457488319637</v>
      </c>
      <c r="O330" s="2">
        <v>52.166323602053247</v>
      </c>
      <c r="P330" s="2">
        <v>1420.9783399477601</v>
      </c>
      <c r="Q330" s="2">
        <v>1.1667850070934915</v>
      </c>
      <c r="R330" s="2">
        <v>52.007760986860887</v>
      </c>
      <c r="S330" s="2">
        <v>1435.3352188273038</v>
      </c>
      <c r="T330" s="2">
        <v>3.739258261527878E-3</v>
      </c>
      <c r="U330" s="2">
        <v>-0.15856261519235915</v>
      </c>
      <c r="V330" s="2">
        <v>14.356878879543729</v>
      </c>
    </row>
    <row r="331" spans="1:22" ht="15">
      <c r="A331" s="2">
        <v>330</v>
      </c>
      <c r="B331" s="2" t="s">
        <v>78</v>
      </c>
      <c r="C331" s="2" t="s">
        <v>13</v>
      </c>
      <c r="D331" s="2">
        <v>1387.1377327130176</v>
      </c>
      <c r="E331" s="2">
        <v>903.13543679658324</v>
      </c>
      <c r="F331" s="2">
        <v>667.77108618989587</v>
      </c>
      <c r="G331" s="2">
        <v>87.292140973731875</v>
      </c>
      <c r="H331" s="2">
        <v>8.8774738949723542</v>
      </c>
      <c r="I331" s="2">
        <v>0.79772712264675649</v>
      </c>
      <c r="J331" s="2">
        <v>9</v>
      </c>
      <c r="K331" s="2">
        <v>193.20693802477109</v>
      </c>
      <c r="L331" s="2">
        <v>45</v>
      </c>
      <c r="M331" s="2">
        <v>25</v>
      </c>
      <c r="N331" s="2">
        <v>1.1663828280493516</v>
      </c>
      <c r="O331" s="2">
        <v>52.233554626678</v>
      </c>
      <c r="P331" s="2">
        <v>1387.1377327130176</v>
      </c>
      <c r="Q331" s="2">
        <v>1.1846896784682246</v>
      </c>
      <c r="R331" s="2">
        <v>53.326475534440156</v>
      </c>
      <c r="S331" s="2">
        <v>1399.2778203972382</v>
      </c>
      <c r="T331" s="2">
        <v>1.8306850418873033E-2</v>
      </c>
      <c r="U331" s="2">
        <v>1.0929209077621564</v>
      </c>
      <c r="V331" s="2">
        <v>12.140087684220589</v>
      </c>
    </row>
    <row r="332" spans="1:22" ht="15">
      <c r="A332" s="2">
        <v>331</v>
      </c>
      <c r="B332" s="2" t="s">
        <v>78</v>
      </c>
      <c r="C332" s="2" t="s">
        <v>13</v>
      </c>
      <c r="D332" s="2">
        <v>1434.6847454784438</v>
      </c>
      <c r="E332" s="2">
        <v>1082.6367112458684</v>
      </c>
      <c r="F332" s="2">
        <v>365.52659161388874</v>
      </c>
      <c r="G332" s="2">
        <v>138.95831080852076</v>
      </c>
      <c r="H332" s="2">
        <v>20.435768068768084</v>
      </c>
      <c r="I332" s="2">
        <v>0.80921233235625556</v>
      </c>
      <c r="J332" s="2">
        <v>9</v>
      </c>
      <c r="K332" s="2">
        <v>196.99331039617866</v>
      </c>
      <c r="L332" s="2">
        <v>45</v>
      </c>
      <c r="M332" s="2">
        <v>25</v>
      </c>
      <c r="N332" s="2">
        <v>1.1740666783582361</v>
      </c>
      <c r="O332" s="2">
        <v>52.222471937611218</v>
      </c>
      <c r="P332" s="2">
        <v>1434.6847454784438</v>
      </c>
      <c r="Q332" s="2">
        <v>1.1825392055027135</v>
      </c>
      <c r="R332" s="2">
        <v>51.860174205374939</v>
      </c>
      <c r="S332" s="2">
        <v>1437.2576513331978</v>
      </c>
      <c r="T332" s="2">
        <v>8.4725271444774375E-3</v>
      </c>
      <c r="U332" s="2">
        <v>-0.36229773223627859</v>
      </c>
      <c r="V332" s="2">
        <v>2.5729058547540262</v>
      </c>
    </row>
    <row r="333" spans="1:22" ht="15">
      <c r="A333" s="2">
        <v>332</v>
      </c>
      <c r="B333" s="2" t="s">
        <v>78</v>
      </c>
      <c r="C333" s="2" t="s">
        <v>13</v>
      </c>
      <c r="D333" s="2">
        <v>1372.0211321837269</v>
      </c>
      <c r="E333" s="2">
        <v>645.319360261783</v>
      </c>
      <c r="F333" s="2">
        <v>510.97472412511706</v>
      </c>
      <c r="G333" s="2">
        <v>171.93846851121634</v>
      </c>
      <c r="H333" s="2">
        <v>24.571775052230805</v>
      </c>
      <c r="I333" s="2">
        <v>0.82519825872033836</v>
      </c>
      <c r="J333" s="2">
        <v>9</v>
      </c>
      <c r="K333" s="2">
        <v>184.7395954291793</v>
      </c>
      <c r="L333" s="2">
        <v>55</v>
      </c>
      <c r="M333" s="2">
        <v>25</v>
      </c>
      <c r="N333" s="2">
        <v>1.1971303926956542</v>
      </c>
      <c r="O333" s="2">
        <v>52.182104660810637</v>
      </c>
      <c r="P333" s="2">
        <v>1372.0211321837269</v>
      </c>
      <c r="Q333" s="2">
        <v>1.175980304763721</v>
      </c>
      <c r="R333" s="2">
        <v>51.232453372469472</v>
      </c>
      <c r="S333" s="2">
        <v>1370.9762766760916</v>
      </c>
      <c r="T333" s="2">
        <v>-2.1150087931933292E-2</v>
      </c>
      <c r="U333" s="2">
        <v>-0.94965128834116541</v>
      </c>
      <c r="V333" s="2">
        <v>-1.0448555076352477</v>
      </c>
    </row>
    <row r="334" spans="1:22" ht="15">
      <c r="A334" s="2">
        <v>333</v>
      </c>
      <c r="B334" s="2" t="s">
        <v>78</v>
      </c>
      <c r="C334" s="2" t="s">
        <v>13</v>
      </c>
      <c r="D334" s="2">
        <v>1440.4369512107223</v>
      </c>
      <c r="E334" s="2">
        <v>607.0383018697612</v>
      </c>
      <c r="F334" s="2">
        <v>739.4547363743186</v>
      </c>
      <c r="G334" s="2">
        <v>104.68165737809613</v>
      </c>
      <c r="H334" s="2">
        <v>11.939255643635988</v>
      </c>
      <c r="I334" s="2">
        <v>0.80493455916875978</v>
      </c>
      <c r="J334" s="2">
        <v>9</v>
      </c>
      <c r="K334" s="2">
        <v>198.8342385246867</v>
      </c>
      <c r="L334" s="2">
        <v>55</v>
      </c>
      <c r="M334" s="2">
        <v>25</v>
      </c>
      <c r="N334" s="2">
        <v>1.2489489674084309</v>
      </c>
      <c r="O334" s="2">
        <v>52.20127441441489</v>
      </c>
      <c r="P334" s="2">
        <v>1440.4369512107223</v>
      </c>
      <c r="Q334" s="2">
        <v>1.2394541440848938</v>
      </c>
      <c r="R334" s="2">
        <v>50.65199996687123</v>
      </c>
      <c r="S334" s="2">
        <v>1447.1669927985313</v>
      </c>
      <c r="T334" s="2">
        <v>-9.4948233235370161E-3</v>
      </c>
      <c r="U334" s="2">
        <v>-1.5492744475436595</v>
      </c>
      <c r="V334" s="2">
        <v>6.7300415878089552</v>
      </c>
    </row>
    <row r="335" spans="1:22" ht="15">
      <c r="A335" s="2">
        <v>334</v>
      </c>
      <c r="B335" s="2" t="s">
        <v>78</v>
      </c>
      <c r="C335" s="2" t="s">
        <v>13</v>
      </c>
      <c r="D335" s="2">
        <v>1460.00587065937</v>
      </c>
      <c r="E335" s="2">
        <v>631.50109618436545</v>
      </c>
      <c r="F335" s="2">
        <v>544.19720815494657</v>
      </c>
      <c r="G335" s="2">
        <v>206.45706348121166</v>
      </c>
      <c r="H335" s="2">
        <v>8.2295090206898749</v>
      </c>
      <c r="I335" s="2">
        <v>0.85585141568910339</v>
      </c>
      <c r="J335" s="2">
        <v>9</v>
      </c>
      <c r="K335" s="2">
        <v>189.54560516452645</v>
      </c>
      <c r="L335" s="2">
        <v>55</v>
      </c>
      <c r="M335" s="2">
        <v>25</v>
      </c>
      <c r="N335" s="2">
        <v>1.1767523281019725</v>
      </c>
      <c r="O335" s="2">
        <v>52.190512575727411</v>
      </c>
      <c r="P335" s="2">
        <v>1460.00587065937</v>
      </c>
      <c r="Q335" s="2">
        <v>1.1733577116636513</v>
      </c>
      <c r="R335" s="2">
        <v>52.079790923804481</v>
      </c>
      <c r="S335" s="2">
        <v>1481.3415884554468</v>
      </c>
      <c r="T335" s="2">
        <v>-3.3946164383211741E-3</v>
      </c>
      <c r="U335" s="2">
        <v>-0.11072165192292971</v>
      </c>
      <c r="V335" s="2">
        <v>21.335717796076779</v>
      </c>
    </row>
    <row r="336" spans="1:22" ht="15">
      <c r="A336" s="2">
        <v>335</v>
      </c>
      <c r="B336" s="2" t="s">
        <v>79</v>
      </c>
      <c r="C336" s="2" t="s">
        <v>13</v>
      </c>
      <c r="D336" s="2">
        <v>1377.0680433372036</v>
      </c>
      <c r="E336" s="2">
        <v>1121.0662369732745</v>
      </c>
      <c r="F336" s="2">
        <v>615.56438282132149</v>
      </c>
      <c r="G336" s="2">
        <v>235.46428080415353</v>
      </c>
      <c r="H336" s="2">
        <v>29.209982364438474</v>
      </c>
      <c r="I336" s="2">
        <v>0.81255483476212254</v>
      </c>
      <c r="J336" s="2">
        <v>9</v>
      </c>
      <c r="K336" s="2">
        <v>188.30428892296695</v>
      </c>
      <c r="L336" s="2">
        <v>35</v>
      </c>
      <c r="M336" s="2">
        <v>25</v>
      </c>
      <c r="N336" s="2">
        <v>1.2156795657180259</v>
      </c>
      <c r="O336" s="2">
        <v>52.282498897375859</v>
      </c>
      <c r="P336" s="2">
        <v>1377.0680433372036</v>
      </c>
      <c r="Q336" s="2">
        <v>1.2070311574093719</v>
      </c>
      <c r="R336" s="2">
        <v>53.778754506490365</v>
      </c>
      <c r="S336" s="2">
        <v>1352.9244767608029</v>
      </c>
      <c r="T336" s="2">
        <v>-8.6484083086539876E-3</v>
      </c>
      <c r="U336" s="2">
        <v>1.4962556091145061</v>
      </c>
      <c r="V336" s="2">
        <v>-24.143566576400644</v>
      </c>
    </row>
    <row r="337" spans="1:22" ht="15">
      <c r="A337" s="2">
        <v>336</v>
      </c>
      <c r="B337" s="2" t="s">
        <v>79</v>
      </c>
      <c r="C337" s="2" t="s">
        <v>13</v>
      </c>
      <c r="D337" s="2">
        <v>1421.8148127081804</v>
      </c>
      <c r="E337" s="2">
        <v>758.31087958067656</v>
      </c>
      <c r="F337" s="2">
        <v>731.7096664570272</v>
      </c>
      <c r="G337" s="2">
        <v>190.61660770792514</v>
      </c>
      <c r="H337" s="2">
        <v>22.780658402945846</v>
      </c>
      <c r="I337" s="2">
        <v>0.80470527811907233</v>
      </c>
      <c r="J337" s="2">
        <v>9</v>
      </c>
      <c r="K337" s="2">
        <v>196.31960660616673</v>
      </c>
      <c r="L337" s="2">
        <v>45</v>
      </c>
      <c r="M337" s="2">
        <v>25</v>
      </c>
      <c r="N337" s="2">
        <v>1.2486089007328949</v>
      </c>
      <c r="O337" s="2">
        <v>52.237053348197783</v>
      </c>
      <c r="P337" s="2">
        <v>1421.8148127081804</v>
      </c>
      <c r="Q337" s="2">
        <v>1.259369583902922</v>
      </c>
      <c r="R337" s="2">
        <v>51.954001719873645</v>
      </c>
      <c r="S337" s="2">
        <v>1421.4134405829977</v>
      </c>
      <c r="T337" s="2">
        <v>1.0760683170027097E-2</v>
      </c>
      <c r="U337" s="2">
        <v>-0.28305162832413799</v>
      </c>
      <c r="V337" s="2">
        <v>-0.40137212518266097</v>
      </c>
    </row>
    <row r="338" spans="1:22" ht="15">
      <c r="A338" s="2">
        <v>337</v>
      </c>
      <c r="B338" s="2" t="s">
        <v>79</v>
      </c>
      <c r="C338" s="2" t="s">
        <v>13</v>
      </c>
      <c r="D338" s="2">
        <v>1402.2017226554453</v>
      </c>
      <c r="E338" s="2">
        <v>633.8574213325046</v>
      </c>
      <c r="F338" s="2">
        <v>582.42318127304316</v>
      </c>
      <c r="G338" s="2">
        <v>261.39731331029907</v>
      </c>
      <c r="H338" s="2">
        <v>23.132024051621556</v>
      </c>
      <c r="I338" s="2">
        <v>0.83304370246129111</v>
      </c>
      <c r="J338" s="2">
        <v>9</v>
      </c>
      <c r="K338" s="2">
        <v>187.02523162450788</v>
      </c>
      <c r="L338" s="2">
        <v>50</v>
      </c>
      <c r="M338" s="2">
        <v>25</v>
      </c>
      <c r="N338" s="2">
        <v>1.2130448668665661</v>
      </c>
      <c r="O338" s="2">
        <v>52.205406929039178</v>
      </c>
      <c r="P338" s="2">
        <v>1402.2017226554453</v>
      </c>
      <c r="Q338" s="2">
        <v>1.2025616787215507</v>
      </c>
      <c r="R338" s="2">
        <v>51.034799084790137</v>
      </c>
      <c r="S338" s="2">
        <v>1392.8330251810735</v>
      </c>
      <c r="T338" s="2">
        <v>-1.0483188145015365E-2</v>
      </c>
      <c r="U338" s="2">
        <v>-1.1706078442490409</v>
      </c>
      <c r="V338" s="2">
        <v>-9.3686974743718565</v>
      </c>
    </row>
    <row r="339" spans="1:22" ht="15">
      <c r="A339" s="2">
        <v>338</v>
      </c>
      <c r="B339" s="2" t="s">
        <v>80</v>
      </c>
      <c r="C339" s="2" t="s">
        <v>13</v>
      </c>
      <c r="D339" s="2">
        <v>1425.8496153750457</v>
      </c>
      <c r="E339" s="2">
        <v>1104.5834900112823</v>
      </c>
      <c r="F339" s="2">
        <v>557.48013043776155</v>
      </c>
      <c r="G339" s="2">
        <v>304.09006510861218</v>
      </c>
      <c r="H339" s="2">
        <v>14.568487719167024</v>
      </c>
      <c r="I339" s="2">
        <v>0.82568167875055232</v>
      </c>
      <c r="J339" s="2">
        <v>9</v>
      </c>
      <c r="K339" s="2">
        <v>191.87507621751959</v>
      </c>
      <c r="L339" s="2">
        <v>40</v>
      </c>
      <c r="M339" s="2">
        <v>25</v>
      </c>
      <c r="N339" s="2">
        <v>1.2637081577464875</v>
      </c>
      <c r="O339" s="2">
        <v>52.281572513420571</v>
      </c>
      <c r="P339" s="2">
        <v>1425.8496153750457</v>
      </c>
      <c r="Q339" s="2">
        <v>1.2719360440940732</v>
      </c>
      <c r="R339" s="2">
        <v>53.74395216792297</v>
      </c>
      <c r="S339" s="2">
        <v>1429.5589969181685</v>
      </c>
      <c r="T339" s="2">
        <v>8.2278863475857555E-3</v>
      </c>
      <c r="U339" s="2">
        <v>1.4623796545023993</v>
      </c>
      <c r="V339" s="2">
        <v>3.709381543122845</v>
      </c>
    </row>
    <row r="340" spans="1:22" ht="15">
      <c r="A340" s="2">
        <v>339</v>
      </c>
      <c r="B340" s="2" t="s">
        <v>80</v>
      </c>
      <c r="C340" s="2" t="s">
        <v>13</v>
      </c>
      <c r="D340" s="2">
        <v>1460.2381253382191</v>
      </c>
      <c r="E340" s="2">
        <v>820.95144536579028</v>
      </c>
      <c r="F340" s="2">
        <v>508.79487656056881</v>
      </c>
      <c r="G340" s="2">
        <v>165.20885620964691</v>
      </c>
      <c r="H340" s="2">
        <v>15.075143304653466</v>
      </c>
      <c r="I340" s="2">
        <v>0.80305396181298427</v>
      </c>
      <c r="J340" s="2">
        <v>10</v>
      </c>
      <c r="K340" s="2">
        <v>181.83561687953917</v>
      </c>
      <c r="L340" s="2">
        <v>45</v>
      </c>
      <c r="M340" s="2">
        <v>25</v>
      </c>
      <c r="N340" s="2">
        <v>1.1913399869371393</v>
      </c>
      <c r="O340" s="2">
        <v>52.234000984612067</v>
      </c>
      <c r="P340" s="2">
        <v>1460.2381253382191</v>
      </c>
      <c r="Q340" s="2">
        <v>1.191229108593159</v>
      </c>
      <c r="R340" s="2">
        <v>51.922254374518374</v>
      </c>
      <c r="S340" s="2">
        <v>1468.5060492402356</v>
      </c>
      <c r="T340" s="2">
        <v>-1.1087834398026963E-4</v>
      </c>
      <c r="U340" s="2">
        <v>-0.31174661009369231</v>
      </c>
      <c r="V340" s="2">
        <v>8.2679239020164914</v>
      </c>
    </row>
    <row r="341" spans="1:22" ht="15">
      <c r="A341" s="2">
        <v>340</v>
      </c>
      <c r="B341" s="2" t="s">
        <v>80</v>
      </c>
      <c r="C341" s="2" t="s">
        <v>13</v>
      </c>
      <c r="D341" s="2">
        <v>1476.4222917496227</v>
      </c>
      <c r="E341" s="2">
        <v>819.2005252931267</v>
      </c>
      <c r="F341" s="2">
        <v>600.95859942957759</v>
      </c>
      <c r="G341" s="2">
        <v>178.21419173385948</v>
      </c>
      <c r="H341" s="2">
        <v>11.213126018177718</v>
      </c>
      <c r="I341" s="2">
        <v>0.795660144854337</v>
      </c>
      <c r="J341" s="2">
        <v>10</v>
      </c>
      <c r="K341" s="2">
        <v>185.55941268365453</v>
      </c>
      <c r="L341" s="2">
        <v>45</v>
      </c>
      <c r="M341" s="2">
        <v>25</v>
      </c>
      <c r="N341" s="2">
        <v>1.2521140017985328</v>
      </c>
      <c r="O341" s="2">
        <v>52.251918177076099</v>
      </c>
      <c r="P341" s="2">
        <v>1476.4222917496227</v>
      </c>
      <c r="Q341" s="2">
        <v>1.2557142041467571</v>
      </c>
      <c r="R341" s="2">
        <v>52.519831738663285</v>
      </c>
      <c r="S341" s="2">
        <v>1488.8663252367162</v>
      </c>
      <c r="T341" s="2">
        <v>3.600202348224224E-3</v>
      </c>
      <c r="U341" s="2">
        <v>0.26791356158718571</v>
      </c>
      <c r="V341" s="2">
        <v>12.44403348709352</v>
      </c>
    </row>
    <row r="342" spans="1:22" ht="15">
      <c r="A342" s="2">
        <v>341</v>
      </c>
      <c r="B342" s="2" t="s">
        <v>78</v>
      </c>
      <c r="C342" s="2" t="s">
        <v>13</v>
      </c>
      <c r="D342" s="2">
        <v>1381.5949842799455</v>
      </c>
      <c r="E342" s="2">
        <v>932.01467952458188</v>
      </c>
      <c r="F342" s="2">
        <v>742.54143815487623</v>
      </c>
      <c r="G342" s="2">
        <v>287.35745906131342</v>
      </c>
      <c r="H342" s="2">
        <v>28.553370282053947</v>
      </c>
      <c r="I342" s="2">
        <v>0.85319800852099437</v>
      </c>
      <c r="J342" s="2">
        <v>9</v>
      </c>
      <c r="K342" s="2">
        <v>179.92371322454329</v>
      </c>
      <c r="L342" s="2">
        <v>35</v>
      </c>
      <c r="M342" s="2">
        <v>25</v>
      </c>
      <c r="N342" s="2">
        <v>1.2065395122914688</v>
      </c>
      <c r="O342" s="2">
        <v>52.280911374453304</v>
      </c>
      <c r="P342" s="2">
        <v>1381.5949842799455</v>
      </c>
      <c r="Q342" s="2">
        <v>1.2007667637518713</v>
      </c>
      <c r="R342" s="2">
        <v>53.332488074459185</v>
      </c>
      <c r="S342" s="2">
        <v>1366.8475616512872</v>
      </c>
      <c r="T342" s="2">
        <v>-5.7727485395975275E-3</v>
      </c>
      <c r="U342" s="2">
        <v>1.0515767000058815</v>
      </c>
      <c r="V342" s="2">
        <v>-14.747422628658342</v>
      </c>
    </row>
    <row r="343" spans="1:22" ht="15">
      <c r="A343" s="2">
        <v>342</v>
      </c>
      <c r="B343" s="2" t="s">
        <v>78</v>
      </c>
      <c r="C343" s="2" t="s">
        <v>13</v>
      </c>
      <c r="D343" s="2">
        <v>1462.4810067121871</v>
      </c>
      <c r="E343" s="2">
        <v>743.46712955739349</v>
      </c>
      <c r="F343" s="2">
        <v>736.01274015381932</v>
      </c>
      <c r="G343" s="2">
        <v>299.20732827857137</v>
      </c>
      <c r="H343" s="2">
        <v>20.066549635026604</v>
      </c>
      <c r="I343" s="2">
        <v>0.79866962110158057</v>
      </c>
      <c r="J343" s="2">
        <v>10</v>
      </c>
      <c r="K343" s="2">
        <v>183.1146406564246</v>
      </c>
      <c r="L343" s="2">
        <v>35</v>
      </c>
      <c r="M343" s="2">
        <v>25</v>
      </c>
      <c r="N343" s="2">
        <v>1.153131052365959</v>
      </c>
      <c r="O343" s="2">
        <v>52.28315755705173</v>
      </c>
      <c r="P343" s="2">
        <v>1462.4810067121871</v>
      </c>
      <c r="Q343" s="2">
        <v>1.1573445279047285</v>
      </c>
      <c r="R343" s="2">
        <v>51.21449080519065</v>
      </c>
      <c r="S343" s="2">
        <v>1457.0471192122966</v>
      </c>
      <c r="T343" s="2">
        <v>4.2134755387694955E-3</v>
      </c>
      <c r="U343" s="2">
        <v>-1.0686667518610804</v>
      </c>
      <c r="V343" s="2">
        <v>-5.4338874998904885</v>
      </c>
    </row>
    <row r="344" spans="1:22" ht="15">
      <c r="A344" s="2">
        <v>343</v>
      </c>
      <c r="B344" s="2" t="s">
        <v>78</v>
      </c>
      <c r="C344" s="2" t="s">
        <v>13</v>
      </c>
      <c r="D344" s="2">
        <v>1371.8650196911767</v>
      </c>
      <c r="E344" s="2">
        <v>1065.0171579909511</v>
      </c>
      <c r="F344" s="2">
        <v>650.52250474691391</v>
      </c>
      <c r="G344" s="2">
        <v>152.90065375855193</v>
      </c>
      <c r="H344" s="2">
        <v>9.7348713232204318</v>
      </c>
      <c r="I344" s="2">
        <v>0.85962702374672517</v>
      </c>
      <c r="J344" s="2">
        <v>8</v>
      </c>
      <c r="K344" s="2">
        <v>199.48550094898104</v>
      </c>
      <c r="L344" s="2">
        <v>45</v>
      </c>
      <c r="M344" s="2">
        <v>25</v>
      </c>
      <c r="N344" s="2">
        <v>1.1784038024390828</v>
      </c>
      <c r="O344" s="2">
        <v>52.233965827866399</v>
      </c>
      <c r="P344" s="2">
        <v>1371.8650196911767</v>
      </c>
      <c r="Q344" s="2">
        <v>1.184988514913051</v>
      </c>
      <c r="R344" s="2">
        <v>52.539747907396489</v>
      </c>
      <c r="S344" s="2">
        <v>1372.5312903314191</v>
      </c>
      <c r="T344" s="2">
        <v>6.5847124739681906E-3</v>
      </c>
      <c r="U344" s="2">
        <v>0.30578207953008985</v>
      </c>
      <c r="V344" s="2">
        <v>0.6662706402423737</v>
      </c>
    </row>
    <row r="345" spans="1:22" ht="15">
      <c r="A345" s="2">
        <v>344</v>
      </c>
      <c r="B345" s="2" t="s">
        <v>78</v>
      </c>
      <c r="C345" s="2" t="s">
        <v>13</v>
      </c>
      <c r="D345" s="2">
        <v>1435.4763450915925</v>
      </c>
      <c r="E345" s="2">
        <v>1244.4697088561952</v>
      </c>
      <c r="F345" s="2">
        <v>439.58648657426238</v>
      </c>
      <c r="G345" s="2">
        <v>230.62013326678425</v>
      </c>
      <c r="H345" s="2">
        <v>11.198174079414457</v>
      </c>
      <c r="I345" s="2">
        <v>0.84696419511921706</v>
      </c>
      <c r="J345" s="2">
        <v>9</v>
      </c>
      <c r="K345" s="2">
        <v>188.31654584216878</v>
      </c>
      <c r="L345" s="2">
        <v>40</v>
      </c>
      <c r="M345" s="2">
        <v>25</v>
      </c>
      <c r="N345" s="2">
        <v>1.2143023615369239</v>
      </c>
      <c r="O345" s="2">
        <v>52.273545906552116</v>
      </c>
      <c r="P345" s="2">
        <v>1435.4763450915925</v>
      </c>
      <c r="Q345" s="2">
        <v>1.2342029442188127</v>
      </c>
      <c r="R345" s="2">
        <v>53.193224959024136</v>
      </c>
      <c r="S345" s="2">
        <v>1439.8026609956928</v>
      </c>
      <c r="T345" s="2">
        <v>1.9900582681888768E-2</v>
      </c>
      <c r="U345" s="2">
        <v>0.91967905247201998</v>
      </c>
      <c r="V345" s="2">
        <v>4.3263159041002837</v>
      </c>
    </row>
    <row r="346" spans="1:22" ht="15">
      <c r="A346" s="2">
        <v>345</v>
      </c>
      <c r="B346" s="2" t="s">
        <v>78</v>
      </c>
      <c r="C346" s="2" t="s">
        <v>13</v>
      </c>
      <c r="D346" s="2">
        <v>1430.7516194880009</v>
      </c>
      <c r="E346" s="2">
        <v>924.29999582236633</v>
      </c>
      <c r="F346" s="2">
        <v>413.99409640580416</v>
      </c>
      <c r="G346" s="2">
        <v>247.34191268915311</v>
      </c>
      <c r="H346" s="2">
        <v>17.348759708926082</v>
      </c>
      <c r="I346" s="2">
        <v>0.82642544050933797</v>
      </c>
      <c r="J346" s="2">
        <v>9</v>
      </c>
      <c r="K346" s="2">
        <v>192.3614573957893</v>
      </c>
      <c r="L346" s="2">
        <v>45</v>
      </c>
      <c r="M346" s="2">
        <v>25</v>
      </c>
      <c r="N346" s="2">
        <v>1.1584198054509667</v>
      </c>
      <c r="O346" s="2">
        <v>52.222240294066729</v>
      </c>
      <c r="P346" s="2">
        <v>1430.7516194880009</v>
      </c>
      <c r="Q346" s="2">
        <v>1.151638751120762</v>
      </c>
      <c r="R346" s="2">
        <v>52.234205695415433</v>
      </c>
      <c r="S346" s="2">
        <v>1427.6431303121499</v>
      </c>
      <c r="T346" s="2">
        <v>-6.7810543302047055E-3</v>
      </c>
      <c r="U346" s="2">
        <v>1.1965401348703608E-2</v>
      </c>
      <c r="V346" s="2">
        <v>-3.1084891758509912</v>
      </c>
    </row>
    <row r="347" spans="1:22" ht="15">
      <c r="A347" s="2">
        <v>346</v>
      </c>
      <c r="B347" s="2" t="s">
        <v>78</v>
      </c>
      <c r="C347" s="2" t="s">
        <v>13</v>
      </c>
      <c r="D347" s="2">
        <v>1395.3170268447138</v>
      </c>
      <c r="E347" s="2">
        <v>1074.581870646216</v>
      </c>
      <c r="F347" s="2">
        <v>406.41943076625466</v>
      </c>
      <c r="G347" s="2">
        <v>109.6396182384342</v>
      </c>
      <c r="H347" s="2">
        <v>25.121748414356261</v>
      </c>
      <c r="I347" s="2">
        <v>0.83286832377780229</v>
      </c>
      <c r="J347" s="2">
        <v>9</v>
      </c>
      <c r="K347" s="2">
        <v>186.14614192762775</v>
      </c>
      <c r="L347" s="2">
        <v>45</v>
      </c>
      <c r="M347" s="2">
        <v>25</v>
      </c>
      <c r="N347" s="2">
        <v>1.1983401206039146</v>
      </c>
      <c r="O347" s="2">
        <v>52.22302068539657</v>
      </c>
      <c r="P347" s="2">
        <v>1395.3170268447138</v>
      </c>
      <c r="Q347" s="2">
        <v>1.1815377557413722</v>
      </c>
      <c r="R347" s="2">
        <v>52.770304073645129</v>
      </c>
      <c r="S347" s="2">
        <v>1394.0968753172237</v>
      </c>
      <c r="T347" s="2">
        <v>-1.6802364862542385E-2</v>
      </c>
      <c r="U347" s="2">
        <v>0.54728338824855882</v>
      </c>
      <c r="V347" s="2">
        <v>-1.2201515274900885</v>
      </c>
    </row>
    <row r="348" spans="1:22" ht="15">
      <c r="A348" s="2">
        <v>347</v>
      </c>
      <c r="B348" s="2" t="s">
        <v>78</v>
      </c>
      <c r="C348" s="2" t="s">
        <v>13</v>
      </c>
      <c r="D348" s="2">
        <v>1385.5179168982431</v>
      </c>
      <c r="E348" s="2">
        <v>1016.1527243093587</v>
      </c>
      <c r="F348" s="2">
        <v>483.46167244017124</v>
      </c>
      <c r="G348" s="2">
        <v>320.46604073373601</v>
      </c>
      <c r="H348" s="2">
        <v>12.001299732364714</v>
      </c>
      <c r="I348" s="2">
        <v>0.82382434929488235</v>
      </c>
      <c r="J348" s="2">
        <v>9</v>
      </c>
      <c r="K348" s="2">
        <v>186.86803241817248</v>
      </c>
      <c r="L348" s="2">
        <v>40</v>
      </c>
      <c r="M348" s="2">
        <v>25</v>
      </c>
      <c r="N348" s="2">
        <v>1.1617407710649499</v>
      </c>
      <c r="O348" s="2">
        <v>52.258796042214577</v>
      </c>
      <c r="P348" s="2">
        <v>1385.5179168982431</v>
      </c>
      <c r="Q348" s="2">
        <v>1.1607239989201901</v>
      </c>
      <c r="R348" s="2">
        <v>52.927905990235857</v>
      </c>
      <c r="S348" s="2">
        <v>1391.8835017268227</v>
      </c>
      <c r="T348" s="2">
        <v>-1.0167721447598144E-3</v>
      </c>
      <c r="U348" s="2">
        <v>0.66910994802127988</v>
      </c>
      <c r="V348" s="2">
        <v>6.3655848285795855</v>
      </c>
    </row>
    <row r="349" spans="1:22" ht="15">
      <c r="A349" s="2">
        <v>348</v>
      </c>
      <c r="B349" s="2" t="s">
        <v>78</v>
      </c>
      <c r="C349" s="2" t="s">
        <v>13</v>
      </c>
      <c r="D349" s="2">
        <v>1488.9011532417499</v>
      </c>
      <c r="E349" s="2">
        <v>719.20965160243213</v>
      </c>
      <c r="F349" s="2">
        <v>441.55552042648196</v>
      </c>
      <c r="G349" s="2">
        <v>171.91567439120263</v>
      </c>
      <c r="H349" s="2">
        <v>29.730104859452695</v>
      </c>
      <c r="I349" s="2">
        <v>0.85358760513365273</v>
      </c>
      <c r="J349" s="2">
        <v>9</v>
      </c>
      <c r="K349" s="2">
        <v>193.80958729526347</v>
      </c>
      <c r="L349" s="2">
        <v>55</v>
      </c>
      <c r="M349" s="2">
        <v>25</v>
      </c>
      <c r="N349" s="2">
        <v>1.2206153525889718</v>
      </c>
      <c r="O349" s="2">
        <v>52.182798260978053</v>
      </c>
      <c r="P349" s="2">
        <v>1488.9011532417499</v>
      </c>
      <c r="Q349" s="2">
        <v>1.2046471534872625</v>
      </c>
      <c r="R349" s="2">
        <v>52.265566746478605</v>
      </c>
      <c r="S349" s="2">
        <v>1477.939000494885</v>
      </c>
      <c r="T349" s="2">
        <v>-1.5968199101709324E-2</v>
      </c>
      <c r="U349" s="2">
        <v>8.2768485500551492E-2</v>
      </c>
      <c r="V349" s="2">
        <v>-10.962152746864831</v>
      </c>
    </row>
    <row r="350" spans="1:22" ht="15">
      <c r="A350" s="2">
        <v>349</v>
      </c>
      <c r="B350" s="2" t="s">
        <v>78</v>
      </c>
      <c r="C350" s="2" t="s">
        <v>13</v>
      </c>
      <c r="D350" s="2">
        <v>1354.1042945813388</v>
      </c>
      <c r="E350" s="2">
        <v>1190.8421949367039</v>
      </c>
      <c r="F350" s="2">
        <v>539.52073808759451</v>
      </c>
      <c r="G350" s="2">
        <v>143.12027649255469</v>
      </c>
      <c r="H350" s="2">
        <v>15.677627127617598</v>
      </c>
      <c r="I350" s="2">
        <v>0.80746211435878656</v>
      </c>
      <c r="J350" s="2">
        <v>9</v>
      </c>
      <c r="K350" s="2">
        <v>186.33200252464903</v>
      </c>
      <c r="L350" s="2">
        <v>40</v>
      </c>
      <c r="M350" s="2">
        <v>25</v>
      </c>
      <c r="N350" s="2">
        <v>1.2138471319363318</v>
      </c>
      <c r="O350" s="2">
        <v>52.267122869443916</v>
      </c>
      <c r="P350" s="2">
        <v>1354.1042945813388</v>
      </c>
      <c r="Q350" s="2">
        <v>1.2262213503770287</v>
      </c>
      <c r="R350" s="2">
        <v>52.495459547056157</v>
      </c>
      <c r="S350" s="2">
        <v>1349.6489196075577</v>
      </c>
      <c r="T350" s="2">
        <v>1.2374218440696971E-2</v>
      </c>
      <c r="U350" s="2">
        <v>0.22833667761224063</v>
      </c>
      <c r="V350" s="2">
        <v>-4.4553749737810904</v>
      </c>
    </row>
    <row r="351" spans="1:22" ht="15">
      <c r="A351" s="2">
        <v>350</v>
      </c>
      <c r="B351" s="2" t="s">
        <v>78</v>
      </c>
      <c r="C351" s="2" t="s">
        <v>13</v>
      </c>
      <c r="D351" s="2">
        <v>1350.8555524167605</v>
      </c>
      <c r="E351" s="2">
        <v>703.11905134003609</v>
      </c>
      <c r="F351" s="2">
        <v>468.38520364835858</v>
      </c>
      <c r="G351" s="2">
        <v>95.956233255565166</v>
      </c>
      <c r="H351" s="2">
        <v>17.519550728145987</v>
      </c>
      <c r="I351" s="2">
        <v>0.83253856282215566</v>
      </c>
      <c r="J351" s="2">
        <v>9</v>
      </c>
      <c r="K351" s="2">
        <v>180.28601686730866</v>
      </c>
      <c r="L351" s="2">
        <v>60</v>
      </c>
      <c r="M351" s="2">
        <v>25</v>
      </c>
      <c r="N351" s="2">
        <v>1.2088261765228376</v>
      </c>
      <c r="O351" s="2">
        <v>52.172628776629431</v>
      </c>
      <c r="P351" s="2">
        <v>1350.8555524167605</v>
      </c>
      <c r="Q351" s="2">
        <v>1.2067580337525512</v>
      </c>
      <c r="R351" s="2">
        <v>52.724645110054453</v>
      </c>
      <c r="S351" s="2">
        <v>1368.4038367418225</v>
      </c>
      <c r="T351" s="2">
        <v>-2.0681427702864408E-3</v>
      </c>
      <c r="U351" s="2">
        <v>0.55201633342502276</v>
      </c>
      <c r="V351" s="2">
        <v>17.548284325062014</v>
      </c>
    </row>
    <row r="352" spans="1:22" ht="15">
      <c r="A352" s="2">
        <v>351</v>
      </c>
      <c r="B352" s="2" t="s">
        <v>78</v>
      </c>
      <c r="C352" s="2" t="s">
        <v>13</v>
      </c>
      <c r="D352" s="2">
        <v>1465.9111414337531</v>
      </c>
      <c r="E352" s="2">
        <v>1155.122592963744</v>
      </c>
      <c r="F352" s="2">
        <v>526.92132815718651</v>
      </c>
      <c r="G352" s="2">
        <v>122.6112687564455</v>
      </c>
      <c r="H352" s="2">
        <v>15.140655777417123</v>
      </c>
      <c r="I352" s="2">
        <v>0.85125445658108223</v>
      </c>
      <c r="J352" s="2">
        <v>9</v>
      </c>
      <c r="K352" s="2">
        <v>191.33998589450812</v>
      </c>
      <c r="L352" s="2">
        <v>40</v>
      </c>
      <c r="M352" s="2">
        <v>25</v>
      </c>
      <c r="N352" s="2">
        <v>1.1694626076021009</v>
      </c>
      <c r="O352" s="2">
        <v>52.256390860481631</v>
      </c>
      <c r="P352" s="2">
        <v>1465.9111414337531</v>
      </c>
      <c r="Q352" s="2">
        <v>1.1801521331743483</v>
      </c>
      <c r="R352" s="2">
        <v>52.434578736896185</v>
      </c>
      <c r="S352" s="2">
        <v>1466.2148122900285</v>
      </c>
      <c r="T352" s="2">
        <v>1.0689525572247449E-2</v>
      </c>
      <c r="U352" s="2">
        <v>0.17818787641455458</v>
      </c>
      <c r="V352" s="2">
        <v>0.30367085627540291</v>
      </c>
    </row>
    <row r="353" spans="1:22" ht="15">
      <c r="A353" s="2">
        <v>352</v>
      </c>
      <c r="B353" s="2" t="s">
        <v>78</v>
      </c>
      <c r="C353" s="2" t="s">
        <v>13</v>
      </c>
      <c r="D353" s="2">
        <v>1400.2466520178132</v>
      </c>
      <c r="E353" s="2">
        <v>1223.3939677476883</v>
      </c>
      <c r="F353" s="2">
        <v>471.60578658804297</v>
      </c>
      <c r="G353" s="2">
        <v>308.96728210616857</v>
      </c>
      <c r="H353" s="2">
        <v>14.535299183335155</v>
      </c>
      <c r="I353" s="2">
        <v>0.82203020657412706</v>
      </c>
      <c r="J353" s="2">
        <v>9</v>
      </c>
      <c r="K353" s="2">
        <v>189.26672048186197</v>
      </c>
      <c r="L353" s="2">
        <v>35</v>
      </c>
      <c r="M353" s="2">
        <v>25</v>
      </c>
      <c r="N353" s="2">
        <v>1.1464726113413608</v>
      </c>
      <c r="O353" s="2">
        <v>52.287468560157194</v>
      </c>
      <c r="P353" s="2">
        <v>1400.2466520178132</v>
      </c>
      <c r="Q353" s="2">
        <v>1.1530525804489595</v>
      </c>
      <c r="R353" s="2">
        <v>52.791590049359343</v>
      </c>
      <c r="S353" s="2">
        <v>1393.2443812277206</v>
      </c>
      <c r="T353" s="2">
        <v>6.5799691075987266E-3</v>
      </c>
      <c r="U353" s="2">
        <v>0.50412148920214861</v>
      </c>
      <c r="V353" s="2">
        <v>-7.0022707900925525</v>
      </c>
    </row>
    <row r="354" spans="1:22" ht="15">
      <c r="A354" s="2">
        <v>353</v>
      </c>
      <c r="B354" s="2" t="s">
        <v>78</v>
      </c>
      <c r="C354" s="2" t="s">
        <v>13</v>
      </c>
      <c r="D354" s="2">
        <v>1485.3823601268232</v>
      </c>
      <c r="E354" s="2">
        <v>1069.7346172644757</v>
      </c>
      <c r="F354" s="2">
        <v>452.92082075029612</v>
      </c>
      <c r="G354" s="2">
        <v>313.49160986253992</v>
      </c>
      <c r="H354" s="2">
        <v>23.921262497082353</v>
      </c>
      <c r="I354" s="2">
        <v>0.83025461810873824</v>
      </c>
      <c r="J354" s="2">
        <v>9</v>
      </c>
      <c r="K354" s="2">
        <v>198.78538566216122</v>
      </c>
      <c r="L354" s="2">
        <v>40</v>
      </c>
      <c r="M354" s="2">
        <v>25</v>
      </c>
      <c r="N354" s="2">
        <v>1.2348354151822869</v>
      </c>
      <c r="O354" s="2">
        <v>52.26130122844026</v>
      </c>
      <c r="P354" s="2">
        <v>1485.3823601268232</v>
      </c>
      <c r="Q354" s="2">
        <v>1.2468171195605919</v>
      </c>
      <c r="R354" s="2">
        <v>53.222229974007512</v>
      </c>
      <c r="S354" s="2">
        <v>1470.0326844711071</v>
      </c>
      <c r="T354" s="2">
        <v>1.1981704378305036E-2</v>
      </c>
      <c r="U354" s="2">
        <v>0.9609287455672515</v>
      </c>
      <c r="V354" s="2">
        <v>-15.349675655716055</v>
      </c>
    </row>
    <row r="355" spans="1:22" ht="15">
      <c r="A355" s="2">
        <v>354</v>
      </c>
      <c r="B355" s="2" t="s">
        <v>78</v>
      </c>
      <c r="C355" s="2" t="s">
        <v>13</v>
      </c>
      <c r="D355" s="2">
        <v>1484.5165410661139</v>
      </c>
      <c r="E355" s="2">
        <v>1167.3558327602223</v>
      </c>
      <c r="F355" s="2">
        <v>516.75039464607835</v>
      </c>
      <c r="G355" s="2">
        <v>264.42215793766081</v>
      </c>
      <c r="H355" s="2">
        <v>16.928319670725614</v>
      </c>
      <c r="I355" s="2">
        <v>0.85520630440209067</v>
      </c>
      <c r="J355" s="2">
        <v>9</v>
      </c>
      <c r="K355" s="2">
        <v>192.87308979322825</v>
      </c>
      <c r="L355" s="2">
        <v>40</v>
      </c>
      <c r="M355" s="2">
        <v>25</v>
      </c>
      <c r="N355" s="2">
        <v>1.2658156563642542</v>
      </c>
      <c r="O355" s="2">
        <v>52.278824288484756</v>
      </c>
      <c r="P355" s="2">
        <v>1484.5165410661139</v>
      </c>
      <c r="Q355" s="2">
        <v>1.2707638515839592</v>
      </c>
      <c r="R355" s="2">
        <v>53.73534728374689</v>
      </c>
      <c r="S355" s="2">
        <v>1478.3180652832561</v>
      </c>
      <c r="T355" s="2">
        <v>4.9481952197050205E-3</v>
      </c>
      <c r="U355" s="2">
        <v>1.4565229952621337</v>
      </c>
      <c r="V355" s="2">
        <v>-6.1984757828577131</v>
      </c>
    </row>
    <row r="356" spans="1:22" ht="15">
      <c r="A356" s="2">
        <v>355</v>
      </c>
      <c r="B356" s="2" t="s">
        <v>79</v>
      </c>
      <c r="C356" s="2" t="s">
        <v>13</v>
      </c>
      <c r="D356" s="2">
        <v>1451.8356702988967</v>
      </c>
      <c r="E356" s="2">
        <v>1052.8960236930288</v>
      </c>
      <c r="F356" s="2">
        <v>692.94265918433666</v>
      </c>
      <c r="G356" s="2">
        <v>282.62874820036814</v>
      </c>
      <c r="H356" s="2">
        <v>23.498138566501439</v>
      </c>
      <c r="I356" s="2">
        <v>0.85456195839447902</v>
      </c>
      <c r="J356" s="2">
        <v>9</v>
      </c>
      <c r="K356" s="2">
        <v>188.76931379057442</v>
      </c>
      <c r="L356" s="2">
        <v>35</v>
      </c>
      <c r="M356" s="2">
        <v>25</v>
      </c>
      <c r="N356" s="2">
        <v>1.2128410575660369</v>
      </c>
      <c r="O356" s="2">
        <v>52.29128878419079</v>
      </c>
      <c r="P356" s="2">
        <v>1451.8356702988967</v>
      </c>
      <c r="Q356" s="2">
        <v>1.2167936389973999</v>
      </c>
      <c r="R356" s="2">
        <v>53.663821958964817</v>
      </c>
      <c r="S356" s="2">
        <v>1434.941823729831</v>
      </c>
      <c r="T356" s="2">
        <v>3.9525814313630114E-3</v>
      </c>
      <c r="U356" s="2">
        <v>1.372533174774027</v>
      </c>
      <c r="V356" s="2">
        <v>-16.893846569065772</v>
      </c>
    </row>
    <row r="357" spans="1:22" ht="15">
      <c r="A357" s="2">
        <v>356</v>
      </c>
      <c r="B357" s="2" t="s">
        <v>79</v>
      </c>
      <c r="C357" s="2" t="s">
        <v>13</v>
      </c>
      <c r="D357" s="2">
        <v>1392.1224925084971</v>
      </c>
      <c r="E357" s="2">
        <v>934.76257552392781</v>
      </c>
      <c r="F357" s="2">
        <v>675.82655278965831</v>
      </c>
      <c r="G357" s="2">
        <v>165.75587195809931</v>
      </c>
      <c r="H357" s="2">
        <v>16.957348264288157</v>
      </c>
      <c r="I357" s="2">
        <v>0.80690534887835386</v>
      </c>
      <c r="J357" s="2">
        <v>9</v>
      </c>
      <c r="K357" s="2">
        <v>191.69568916652156</v>
      </c>
      <c r="L357" s="2">
        <v>40</v>
      </c>
      <c r="M357" s="2">
        <v>25</v>
      </c>
      <c r="N357" s="2">
        <v>1.1621151840388497</v>
      </c>
      <c r="O357" s="2">
        <v>52.251976594167353</v>
      </c>
      <c r="P357" s="2">
        <v>1392.1224925084971</v>
      </c>
      <c r="Q357" s="2">
        <v>1.1639052491749915</v>
      </c>
      <c r="R357" s="2">
        <v>52.662248831905629</v>
      </c>
      <c r="S357" s="2">
        <v>1383.3009386680874</v>
      </c>
      <c r="T357" s="2">
        <v>1.7900651361417719E-3</v>
      </c>
      <c r="U357" s="2">
        <v>0.41027223773827615</v>
      </c>
      <c r="V357" s="2">
        <v>-8.821553840409706</v>
      </c>
    </row>
    <row r="358" spans="1:22" ht="15">
      <c r="A358" s="2">
        <v>357</v>
      </c>
      <c r="B358" s="2" t="s">
        <v>79</v>
      </c>
      <c r="C358" s="2" t="s">
        <v>13</v>
      </c>
      <c r="D358" s="2">
        <v>1440.3431741986424</v>
      </c>
      <c r="E358" s="2">
        <v>848.92049486516044</v>
      </c>
      <c r="F358" s="2">
        <v>651.63668524473906</v>
      </c>
      <c r="G358" s="2">
        <v>266.20886775897816</v>
      </c>
      <c r="H358" s="2">
        <v>18.966868557035923</v>
      </c>
      <c r="I358" s="2">
        <v>0.79024944061646241</v>
      </c>
      <c r="J358" s="2">
        <v>10</v>
      </c>
      <c r="K358" s="2">
        <v>182.26437124397722</v>
      </c>
      <c r="L358" s="2">
        <v>35</v>
      </c>
      <c r="M358" s="2">
        <v>25</v>
      </c>
      <c r="N358" s="2">
        <v>1.14020058864221</v>
      </c>
      <c r="O358" s="2">
        <v>52.28109221779328</v>
      </c>
      <c r="P358" s="2">
        <v>1440.3431741986424</v>
      </c>
      <c r="Q358" s="2">
        <v>1.1484589651825501</v>
      </c>
      <c r="R358" s="2">
        <v>52.19733497375055</v>
      </c>
      <c r="S358" s="2">
        <v>1431.079607180711</v>
      </c>
      <c r="T358" s="2">
        <v>8.2583765403401177E-3</v>
      </c>
      <c r="U358" s="2">
        <v>-8.375724404272944E-2</v>
      </c>
      <c r="V358" s="2">
        <v>-9.2635670179313365</v>
      </c>
    </row>
    <row r="359" spans="1:22" ht="15">
      <c r="A359" s="2">
        <v>358</v>
      </c>
      <c r="B359" s="2" t="s">
        <v>80</v>
      </c>
      <c r="C359" s="2" t="s">
        <v>13</v>
      </c>
      <c r="D359" s="2">
        <v>1422.6922023226507</v>
      </c>
      <c r="E359" s="2">
        <v>918.4189930325374</v>
      </c>
      <c r="F359" s="2">
        <v>367.12102564051747</v>
      </c>
      <c r="G359" s="2">
        <v>123.5196696780622</v>
      </c>
      <c r="H359" s="2">
        <v>20.07253253320232</v>
      </c>
      <c r="I359" s="2">
        <v>0.84539012180175632</v>
      </c>
      <c r="J359" s="2">
        <v>9</v>
      </c>
      <c r="K359" s="2">
        <v>186.98693927518164</v>
      </c>
      <c r="L359" s="2">
        <v>55</v>
      </c>
      <c r="M359" s="2">
        <v>25</v>
      </c>
      <c r="N359" s="2">
        <v>1.2465777420712183</v>
      </c>
      <c r="O359" s="2">
        <v>52.194707631906141</v>
      </c>
      <c r="P359" s="2">
        <v>1422.6922023226507</v>
      </c>
      <c r="Q359" s="2">
        <v>1.2527204436641186</v>
      </c>
      <c r="R359" s="2">
        <v>52.080439177606756</v>
      </c>
      <c r="S359" s="2">
        <v>1423.880955439759</v>
      </c>
      <c r="T359" s="2">
        <v>6.1427015929003126E-3</v>
      </c>
      <c r="U359" s="2">
        <v>-0.11426845429938481</v>
      </c>
      <c r="V359" s="2">
        <v>1.1887531171082628</v>
      </c>
    </row>
    <row r="360" spans="1:22" ht="15">
      <c r="A360" s="2">
        <v>359</v>
      </c>
      <c r="B360" s="2" t="s">
        <v>80</v>
      </c>
      <c r="C360" s="2" t="s">
        <v>13</v>
      </c>
      <c r="D360" s="2">
        <v>1409.7449484514073</v>
      </c>
      <c r="E360" s="2">
        <v>1231.5021898713894</v>
      </c>
      <c r="F360" s="2">
        <v>710.63991189002991</v>
      </c>
      <c r="G360" s="2">
        <v>232.35371323069558</v>
      </c>
      <c r="H360" s="2">
        <v>18.870843875221908</v>
      </c>
      <c r="I360" s="2">
        <v>0.84280195183819162</v>
      </c>
      <c r="J360" s="2">
        <v>9</v>
      </c>
      <c r="K360" s="2">
        <v>185.85425349819869</v>
      </c>
      <c r="L360" s="2">
        <v>35</v>
      </c>
      <c r="M360" s="2">
        <v>25</v>
      </c>
      <c r="N360" s="2">
        <v>1.2627730124332928</v>
      </c>
      <c r="O360" s="2">
        <v>52.314058259952645</v>
      </c>
      <c r="P360" s="2">
        <v>1409.7449484514073</v>
      </c>
      <c r="Q360" s="2">
        <v>1.2643414268361424</v>
      </c>
      <c r="R360" s="2">
        <v>52.043161670351992</v>
      </c>
      <c r="S360" s="2">
        <v>1390.1574435465761</v>
      </c>
      <c r="T360" s="2">
        <v>1.568414402849605E-3</v>
      </c>
      <c r="U360" s="2">
        <v>-0.27089658960065321</v>
      </c>
      <c r="V360" s="2">
        <v>-19.587504904831121</v>
      </c>
    </row>
    <row r="361" spans="1:22" ht="15">
      <c r="A361" s="2">
        <v>360</v>
      </c>
      <c r="B361" s="2" t="s">
        <v>80</v>
      </c>
      <c r="C361" s="2" t="s">
        <v>13</v>
      </c>
      <c r="D361" s="2">
        <v>1467.3253604094498</v>
      </c>
      <c r="E361" s="2">
        <v>734.09818643704057</v>
      </c>
      <c r="F361" s="2">
        <v>711.3681829534471</v>
      </c>
      <c r="G361" s="2">
        <v>123.22360979858786</v>
      </c>
      <c r="H361" s="2">
        <v>15.754294914659113</v>
      </c>
      <c r="I361" s="2">
        <v>0.85661555842496462</v>
      </c>
      <c r="J361" s="2">
        <v>9</v>
      </c>
      <c r="K361" s="2">
        <v>190.32592807020177</v>
      </c>
      <c r="L361" s="2">
        <v>50</v>
      </c>
      <c r="M361" s="2">
        <v>25</v>
      </c>
      <c r="N361" s="2">
        <v>1.2498180390855398</v>
      </c>
      <c r="O361" s="2">
        <v>52.219597985005052</v>
      </c>
      <c r="P361" s="2">
        <v>1467.3253604094498</v>
      </c>
      <c r="Q361" s="2">
        <v>1.260513273115996</v>
      </c>
      <c r="R361" s="2">
        <v>51.09642203776518</v>
      </c>
      <c r="S361" s="2">
        <v>1480.9976503437547</v>
      </c>
      <c r="T361" s="2">
        <v>1.0695234030456247E-2</v>
      </c>
      <c r="U361" s="2">
        <v>-1.1231759472398721</v>
      </c>
      <c r="V361" s="2">
        <v>13.672289934304899</v>
      </c>
    </row>
    <row r="362" spans="1:22" ht="15">
      <c r="A362" s="2">
        <v>361</v>
      </c>
      <c r="B362" s="2" t="s">
        <v>78</v>
      </c>
      <c r="C362" s="2" t="s">
        <v>13</v>
      </c>
      <c r="D362" s="2">
        <v>1356.9545974954963</v>
      </c>
      <c r="E362" s="2">
        <v>759.49434306239709</v>
      </c>
      <c r="F362" s="2">
        <v>580.66468853503466</v>
      </c>
      <c r="G362" s="2">
        <v>101.94435481214896</v>
      </c>
      <c r="H362" s="2">
        <v>28.786540320143104</v>
      </c>
      <c r="I362" s="2">
        <v>0.83206325964303696</v>
      </c>
      <c r="J362" s="2">
        <v>9</v>
      </c>
      <c r="K362" s="2">
        <v>181.2034497470037</v>
      </c>
      <c r="L362" s="2">
        <v>50</v>
      </c>
      <c r="M362" s="2">
        <v>25</v>
      </c>
      <c r="N362" s="2">
        <v>1.2099314337236635</v>
      </c>
      <c r="O362" s="2">
        <v>52.199859970525914</v>
      </c>
      <c r="P362" s="2">
        <v>1356.9545974954963</v>
      </c>
      <c r="Q362" s="2">
        <v>1.1995256029469186</v>
      </c>
      <c r="R362" s="2">
        <v>52.915727385323954</v>
      </c>
      <c r="S362" s="2">
        <v>1352.4691251227016</v>
      </c>
      <c r="T362" s="2">
        <v>-1.0405830776744951E-2</v>
      </c>
      <c r="U362" s="2">
        <v>0.71586741479804061</v>
      </c>
      <c r="V362" s="2">
        <v>-4.4854723727946748</v>
      </c>
    </row>
    <row r="363" spans="1:22" ht="15">
      <c r="A363" s="2">
        <v>362</v>
      </c>
      <c r="B363" s="2" t="s">
        <v>78</v>
      </c>
      <c r="C363" s="2" t="s">
        <v>13</v>
      </c>
      <c r="D363" s="2">
        <v>1446.3499028817751</v>
      </c>
      <c r="E363" s="2">
        <v>632.5194243574515</v>
      </c>
      <c r="F363" s="2">
        <v>441.24478111043572</v>
      </c>
      <c r="G363" s="2">
        <v>151.06564822606742</v>
      </c>
      <c r="H363" s="2">
        <v>17.427482951898128</v>
      </c>
      <c r="I363" s="2">
        <v>0.84171728428918868</v>
      </c>
      <c r="J363" s="2">
        <v>9</v>
      </c>
      <c r="K363" s="2">
        <v>190.92579867877359</v>
      </c>
      <c r="L363" s="2">
        <v>60</v>
      </c>
      <c r="M363" s="2">
        <v>25</v>
      </c>
      <c r="N363" s="2">
        <v>1.1699836408248434</v>
      </c>
      <c r="O363" s="2">
        <v>52.165981594937229</v>
      </c>
      <c r="P363" s="2">
        <v>1446.3499028817751</v>
      </c>
      <c r="Q363" s="2">
        <v>1.171201067144839</v>
      </c>
      <c r="R363" s="2">
        <v>52.060696143683792</v>
      </c>
      <c r="S363" s="2">
        <v>1461.1547042455686</v>
      </c>
      <c r="T363" s="2">
        <v>1.2174263199955515E-3</v>
      </c>
      <c r="U363" s="2">
        <v>-0.10528545125343669</v>
      </c>
      <c r="V363" s="2">
        <v>14.804801363793558</v>
      </c>
    </row>
    <row r="364" spans="1:22" ht="15">
      <c r="A364" s="2">
        <v>363</v>
      </c>
      <c r="B364" s="2" t="s">
        <v>78</v>
      </c>
      <c r="C364" s="2" t="s">
        <v>13</v>
      </c>
      <c r="D364" s="2">
        <v>1438.4637511102483</v>
      </c>
      <c r="E364" s="2">
        <v>1079.8169216723181</v>
      </c>
      <c r="F364" s="2">
        <v>389.9943370372057</v>
      </c>
      <c r="G364" s="2">
        <v>122.67752746818587</v>
      </c>
      <c r="H364" s="2">
        <v>18.597485826350749</v>
      </c>
      <c r="I364" s="2">
        <v>0.81955464235274122</v>
      </c>
      <c r="J364" s="2">
        <v>9</v>
      </c>
      <c r="K364" s="2">
        <v>195.019706337195</v>
      </c>
      <c r="L364" s="2">
        <v>45</v>
      </c>
      <c r="M364" s="2">
        <v>25</v>
      </c>
      <c r="N364" s="2">
        <v>1.169013702484343</v>
      </c>
      <c r="O364" s="2">
        <v>52.223308813984758</v>
      </c>
      <c r="P364" s="2">
        <v>1438.4637511102483</v>
      </c>
      <c r="Q364" s="2">
        <v>1.1807107584449361</v>
      </c>
      <c r="R364" s="2">
        <v>52.93362378136117</v>
      </c>
      <c r="S364" s="2">
        <v>1444.5390057678339</v>
      </c>
      <c r="T364" s="2">
        <v>1.1697055960593117E-2</v>
      </c>
      <c r="U364" s="2">
        <v>0.7103149673764122</v>
      </c>
      <c r="V364" s="2">
        <v>6.0752546575856741</v>
      </c>
    </row>
    <row r="365" spans="1:22" ht="15">
      <c r="A365" s="2">
        <v>364</v>
      </c>
      <c r="B365" s="2" t="s">
        <v>78</v>
      </c>
      <c r="C365" s="2" t="s">
        <v>13</v>
      </c>
      <c r="D365" s="2">
        <v>1436.7534047341906</v>
      </c>
      <c r="E365" s="2">
        <v>801.17662264965475</v>
      </c>
      <c r="F365" s="2">
        <v>701.54467625543475</v>
      </c>
      <c r="G365" s="2">
        <v>202.91954166721553</v>
      </c>
      <c r="H365" s="2">
        <v>26.401734131854028</v>
      </c>
      <c r="I365" s="2">
        <v>0.83358874458819632</v>
      </c>
      <c r="J365" s="2">
        <v>9</v>
      </c>
      <c r="K365" s="2">
        <v>191.50842454279024</v>
      </c>
      <c r="L365" s="2">
        <v>40</v>
      </c>
      <c r="M365" s="2">
        <v>25</v>
      </c>
      <c r="N365" s="2">
        <v>1.1685387429563807</v>
      </c>
      <c r="O365" s="2">
        <v>52.240952048066234</v>
      </c>
      <c r="P365" s="2">
        <v>1436.7534047341906</v>
      </c>
      <c r="Q365" s="2">
        <v>1.1750283630732958</v>
      </c>
      <c r="R365" s="2">
        <v>51.183451958693908</v>
      </c>
      <c r="S365" s="2">
        <v>1424.6139673461755</v>
      </c>
      <c r="T365" s="2">
        <v>6.489620116915118E-3</v>
      </c>
      <c r="U365" s="2">
        <v>-1.0575000893723256</v>
      </c>
      <c r="V365" s="2">
        <v>-12.13943738801504</v>
      </c>
    </row>
    <row r="366" spans="1:22" ht="15">
      <c r="A366" s="2">
        <v>365</v>
      </c>
      <c r="B366" s="2" t="s">
        <v>78</v>
      </c>
      <c r="C366" s="2" t="s">
        <v>13</v>
      </c>
      <c r="D366" s="2">
        <v>1472.2474103327841</v>
      </c>
      <c r="E366" s="2">
        <v>843.07561767054722</v>
      </c>
      <c r="F366" s="2">
        <v>409.0444615110755</v>
      </c>
      <c r="G366" s="2">
        <v>252.95244504930452</v>
      </c>
      <c r="H366" s="2">
        <v>28.029916439205408</v>
      </c>
      <c r="I366" s="2">
        <v>0.80862783931428572</v>
      </c>
      <c r="J366" s="2">
        <v>10</v>
      </c>
      <c r="K366" s="2">
        <v>182.06736631541725</v>
      </c>
      <c r="L366" s="2">
        <v>45</v>
      </c>
      <c r="M366" s="2">
        <v>25</v>
      </c>
      <c r="N366" s="2">
        <v>1.2543683514289017</v>
      </c>
      <c r="O366" s="2">
        <v>52.235753814823013</v>
      </c>
      <c r="P366" s="2">
        <v>1472.2474103327841</v>
      </c>
      <c r="Q366" s="2">
        <v>1.2408612515784274</v>
      </c>
      <c r="R366" s="2">
        <v>52.73558457353765</v>
      </c>
      <c r="S366" s="2">
        <v>1454.5298953588151</v>
      </c>
      <c r="T366" s="2">
        <v>-1.3507099850474269E-2</v>
      </c>
      <c r="U366" s="2">
        <v>0.49983075871463711</v>
      </c>
      <c r="V366" s="2">
        <v>-17.717514973968946</v>
      </c>
    </row>
    <row r="367" spans="1:22" ht="15">
      <c r="A367" s="2">
        <v>366</v>
      </c>
      <c r="B367" s="2" t="s">
        <v>78</v>
      </c>
      <c r="C367" s="2" t="s">
        <v>13</v>
      </c>
      <c r="D367" s="2">
        <v>1481.0315562528558</v>
      </c>
      <c r="E367" s="2">
        <v>975.18858320545405</v>
      </c>
      <c r="F367" s="2">
        <v>368.40260969474912</v>
      </c>
      <c r="G367" s="2">
        <v>141.45583838224411</v>
      </c>
      <c r="H367" s="2">
        <v>15.779217431787401</v>
      </c>
      <c r="I367" s="2">
        <v>0.83164726785849785</v>
      </c>
      <c r="J367" s="2">
        <v>9</v>
      </c>
      <c r="K367" s="2">
        <v>197.87122277166196</v>
      </c>
      <c r="L367" s="2">
        <v>50</v>
      </c>
      <c r="M367" s="2">
        <v>25</v>
      </c>
      <c r="N367" s="2">
        <v>1.1869560082807145</v>
      </c>
      <c r="O367" s="2">
        <v>52.206555958352716</v>
      </c>
      <c r="P367" s="2">
        <v>1481.0315562528558</v>
      </c>
      <c r="Q367" s="2">
        <v>1.1905562034767334</v>
      </c>
      <c r="R367" s="2">
        <v>52.672931817454604</v>
      </c>
      <c r="S367" s="2">
        <v>1493.9366425163048</v>
      </c>
      <c r="T367" s="2">
        <v>3.6001951960189515E-3</v>
      </c>
      <c r="U367" s="2">
        <v>0.46637585910188761</v>
      </c>
      <c r="V367" s="2">
        <v>12.905086263448993</v>
      </c>
    </row>
    <row r="368" spans="1:22" ht="15">
      <c r="A368" s="2">
        <v>367</v>
      </c>
      <c r="B368" s="2" t="s">
        <v>78</v>
      </c>
      <c r="C368" s="2" t="s">
        <v>13</v>
      </c>
      <c r="D368" s="2">
        <v>1442.9888429353014</v>
      </c>
      <c r="E368" s="2">
        <v>1203.1873398576863</v>
      </c>
      <c r="F368" s="2">
        <v>356.35126009583473</v>
      </c>
      <c r="G368" s="2">
        <v>283.52388027822599</v>
      </c>
      <c r="H368" s="2">
        <v>20.833665444515646</v>
      </c>
      <c r="I368" s="2">
        <v>0.80962395211448901</v>
      </c>
      <c r="J368" s="2">
        <v>9</v>
      </c>
      <c r="K368" s="2">
        <v>198.03279441120753</v>
      </c>
      <c r="L368" s="2">
        <v>40</v>
      </c>
      <c r="M368" s="2">
        <v>25</v>
      </c>
      <c r="N368" s="2">
        <v>1.2229029561432019</v>
      </c>
      <c r="O368" s="2">
        <v>52.26237951723013</v>
      </c>
      <c r="P368" s="2">
        <v>1442.9888429353014</v>
      </c>
      <c r="Q368" s="2">
        <v>1.2342575332164476</v>
      </c>
      <c r="R368" s="2">
        <v>53.9846573369434</v>
      </c>
      <c r="S368" s="2">
        <v>1436.158320726362</v>
      </c>
      <c r="T368" s="2">
        <v>1.135457707324572E-2</v>
      </c>
      <c r="U368" s="2">
        <v>1.7222778197132698</v>
      </c>
      <c r="V368" s="2">
        <v>-6.8305222089393283</v>
      </c>
    </row>
    <row r="369" spans="1:22" ht="15">
      <c r="A369" s="2">
        <v>368</v>
      </c>
      <c r="B369" s="2" t="s">
        <v>78</v>
      </c>
      <c r="C369" s="2" t="s">
        <v>13</v>
      </c>
      <c r="D369" s="2">
        <v>1412.7015259000473</v>
      </c>
      <c r="E369" s="2">
        <v>1002.1722124889493</v>
      </c>
      <c r="F369" s="2">
        <v>722.57683118805289</v>
      </c>
      <c r="G369" s="2">
        <v>295.22530179936439</v>
      </c>
      <c r="H369" s="2">
        <v>25.995523059275001</v>
      </c>
      <c r="I369" s="2">
        <v>0.8320437026675791</v>
      </c>
      <c r="J369" s="2">
        <v>9</v>
      </c>
      <c r="K369" s="2">
        <v>188.65215337592463</v>
      </c>
      <c r="L369" s="2">
        <v>35</v>
      </c>
      <c r="M369" s="2">
        <v>25</v>
      </c>
      <c r="N369" s="2">
        <v>1.2228039808930569</v>
      </c>
      <c r="O369" s="2">
        <v>52.289964499818403</v>
      </c>
      <c r="P369" s="2">
        <v>1412.7015259000473</v>
      </c>
      <c r="Q369" s="2">
        <v>1.2253649427784659</v>
      </c>
      <c r="R369" s="2">
        <v>53.509209753161137</v>
      </c>
      <c r="S369" s="2">
        <v>1388.4918365464857</v>
      </c>
      <c r="T369" s="2">
        <v>2.5609618854089966E-3</v>
      </c>
      <c r="U369" s="2">
        <v>1.2192452533427343</v>
      </c>
      <c r="V369" s="2">
        <v>-24.209689353561544</v>
      </c>
    </row>
    <row r="370" spans="1:22" ht="15">
      <c r="A370" s="2">
        <v>369</v>
      </c>
      <c r="B370" s="2" t="s">
        <v>78</v>
      </c>
      <c r="C370" s="2" t="s">
        <v>13</v>
      </c>
      <c r="D370" s="2">
        <v>1472.5564015097916</v>
      </c>
      <c r="E370" s="2">
        <v>728.41088784625754</v>
      </c>
      <c r="F370" s="2">
        <v>680.1762918010354</v>
      </c>
      <c r="G370" s="2">
        <v>321.58581724623218</v>
      </c>
      <c r="H370" s="2">
        <v>24.849252449348569</v>
      </c>
      <c r="I370" s="2">
        <v>0.82540328695671639</v>
      </c>
      <c r="J370" s="2">
        <v>9</v>
      </c>
      <c r="K370" s="2">
        <v>198.22719454970184</v>
      </c>
      <c r="L370" s="2">
        <v>40</v>
      </c>
      <c r="M370" s="2">
        <v>25</v>
      </c>
      <c r="N370" s="2">
        <v>1.1754726341397883</v>
      </c>
      <c r="O370" s="2">
        <v>52.24477722454062</v>
      </c>
      <c r="P370" s="2">
        <v>1472.5564015097916</v>
      </c>
      <c r="Q370" s="2">
        <v>1.1729283570679059</v>
      </c>
      <c r="R370" s="2">
        <v>51.161878181009129</v>
      </c>
      <c r="S370" s="2">
        <v>1458.7614755586358</v>
      </c>
      <c r="T370" s="2">
        <v>-2.5442770718824281E-3</v>
      </c>
      <c r="U370" s="2">
        <v>-1.0828990435314907</v>
      </c>
      <c r="V370" s="2">
        <v>-13.794925951155847</v>
      </c>
    </row>
    <row r="371" spans="1:22" ht="15">
      <c r="A371" s="2">
        <v>370</v>
      </c>
      <c r="B371" s="2" t="s">
        <v>78</v>
      </c>
      <c r="C371" s="2" t="s">
        <v>13</v>
      </c>
      <c r="D371" s="2">
        <v>1495.5932467826642</v>
      </c>
      <c r="E371" s="2">
        <v>749.54814363736659</v>
      </c>
      <c r="F371" s="2">
        <v>459.06595075502992</v>
      </c>
      <c r="G371" s="2">
        <v>265.06731581874192</v>
      </c>
      <c r="H371" s="2">
        <v>28.49345624493435</v>
      </c>
      <c r="I371" s="2">
        <v>0.84552143784705558</v>
      </c>
      <c r="J371" s="2">
        <v>9</v>
      </c>
      <c r="K371" s="2">
        <v>196.53792320562712</v>
      </c>
      <c r="L371" s="2">
        <v>50</v>
      </c>
      <c r="M371" s="2">
        <v>25</v>
      </c>
      <c r="N371" s="2">
        <v>1.2325826573871186</v>
      </c>
      <c r="O371" s="2">
        <v>52.204783773887172</v>
      </c>
      <c r="P371" s="2">
        <v>1495.5932467826642</v>
      </c>
      <c r="Q371" s="2">
        <v>1.2243936735788665</v>
      </c>
      <c r="R371" s="2">
        <v>51.096594895168181</v>
      </c>
      <c r="S371" s="2">
        <v>1481.4358012812097</v>
      </c>
      <c r="T371" s="2">
        <v>-8.1889838082520594E-3</v>
      </c>
      <c r="U371" s="2">
        <v>-1.1081888787189911</v>
      </c>
      <c r="V371" s="2">
        <v>-14.157445501454504</v>
      </c>
    </row>
    <row r="372" spans="1:22" ht="15">
      <c r="A372" s="2">
        <v>371</v>
      </c>
      <c r="B372" s="2" t="s">
        <v>78</v>
      </c>
      <c r="C372" s="2" t="s">
        <v>13</v>
      </c>
      <c r="D372" s="2">
        <v>1432.8501840820536</v>
      </c>
      <c r="E372" s="2">
        <v>1198.3006301918067</v>
      </c>
      <c r="F372" s="2">
        <v>386.87027655541897</v>
      </c>
      <c r="G372" s="2">
        <v>324.69412368489429</v>
      </c>
      <c r="H372" s="2">
        <v>11.981436085887253</v>
      </c>
      <c r="I372" s="2">
        <v>0.83166386280907323</v>
      </c>
      <c r="J372" s="2">
        <v>9</v>
      </c>
      <c r="K372" s="2">
        <v>191.43019569393775</v>
      </c>
      <c r="L372" s="2">
        <v>40</v>
      </c>
      <c r="M372" s="2">
        <v>25</v>
      </c>
      <c r="N372" s="2">
        <v>1.2157029447559391</v>
      </c>
      <c r="O372" s="2">
        <v>52.272795704870127</v>
      </c>
      <c r="P372" s="2">
        <v>1432.8501840820536</v>
      </c>
      <c r="Q372" s="2">
        <v>1.2224971049339142</v>
      </c>
      <c r="R372" s="2">
        <v>52.335840865833404</v>
      </c>
      <c r="S372" s="2">
        <v>1426.4582197565489</v>
      </c>
      <c r="T372" s="2">
        <v>6.7941601779750727E-3</v>
      </c>
      <c r="U372" s="2">
        <v>6.3045160963277169E-2</v>
      </c>
      <c r="V372" s="2">
        <v>-6.3919643255046594</v>
      </c>
    </row>
    <row r="373" spans="1:22" ht="15">
      <c r="A373" s="2">
        <v>372</v>
      </c>
      <c r="B373" s="2" t="s">
        <v>78</v>
      </c>
      <c r="C373" s="2" t="s">
        <v>13</v>
      </c>
      <c r="D373" s="2">
        <v>1363.6312731890939</v>
      </c>
      <c r="E373" s="2">
        <v>731.79951407946646</v>
      </c>
      <c r="F373" s="2">
        <v>528.22603462263942</v>
      </c>
      <c r="G373" s="2">
        <v>195.44214875902981</v>
      </c>
      <c r="H373" s="2">
        <v>21.347850322257727</v>
      </c>
      <c r="I373" s="2">
        <v>0.83375366369262338</v>
      </c>
      <c r="J373" s="2">
        <v>9</v>
      </c>
      <c r="K373" s="2">
        <v>181.72584122611735</v>
      </c>
      <c r="L373" s="2">
        <v>50</v>
      </c>
      <c r="M373" s="2">
        <v>25</v>
      </c>
      <c r="N373" s="2">
        <v>1.1886963051414074</v>
      </c>
      <c r="O373" s="2">
        <v>52.201943800726632</v>
      </c>
      <c r="P373" s="2">
        <v>1363.6312731890939</v>
      </c>
      <c r="Q373" s="2">
        <v>1.1820987908971998</v>
      </c>
      <c r="R373" s="2">
        <v>51.49353906813343</v>
      </c>
      <c r="S373" s="2">
        <v>1372.3216700704475</v>
      </c>
      <c r="T373" s="2">
        <v>-6.5975142442076251E-3</v>
      </c>
      <c r="U373" s="2">
        <v>-0.70840473259320191</v>
      </c>
      <c r="V373" s="2">
        <v>8.6903968813535357</v>
      </c>
    </row>
    <row r="374" spans="1:22" ht="15">
      <c r="A374" s="2">
        <v>373</v>
      </c>
      <c r="B374" s="2" t="s">
        <v>78</v>
      </c>
      <c r="C374" s="2" t="s">
        <v>13</v>
      </c>
      <c r="D374" s="2">
        <v>1391.368879051879</v>
      </c>
      <c r="E374" s="2">
        <v>1114.8607745650224</v>
      </c>
      <c r="F374" s="2">
        <v>617.21663158386946</v>
      </c>
      <c r="G374" s="2">
        <v>116.32145590381697</v>
      </c>
      <c r="H374" s="2">
        <v>10.675665885210037</v>
      </c>
      <c r="I374" s="2">
        <v>0.84075341930845759</v>
      </c>
      <c r="J374" s="2">
        <v>9</v>
      </c>
      <c r="K374" s="2">
        <v>183.87857672233469</v>
      </c>
      <c r="L374" s="2">
        <v>40</v>
      </c>
      <c r="M374" s="2">
        <v>25</v>
      </c>
      <c r="N374" s="2">
        <v>1.1715270517250214</v>
      </c>
      <c r="O374" s="2">
        <v>52.263211592565561</v>
      </c>
      <c r="P374" s="2">
        <v>1391.368879051879</v>
      </c>
      <c r="Q374" s="2">
        <v>1.1752432616575239</v>
      </c>
      <c r="R374" s="2">
        <v>53.529205988124403</v>
      </c>
      <c r="S374" s="2">
        <v>1394.8908282141053</v>
      </c>
      <c r="T374" s="2">
        <v>3.7162099325025455E-3</v>
      </c>
      <c r="U374" s="2">
        <v>1.2659943955588417</v>
      </c>
      <c r="V374" s="2">
        <v>3.5219491622262922</v>
      </c>
    </row>
    <row r="375" spans="1:22" ht="15">
      <c r="A375" s="2">
        <v>374</v>
      </c>
      <c r="B375" s="2" t="s">
        <v>78</v>
      </c>
      <c r="C375" s="2" t="s">
        <v>13</v>
      </c>
      <c r="D375" s="2">
        <v>1399.5288380538113</v>
      </c>
      <c r="E375" s="2">
        <v>923.14410374965519</v>
      </c>
      <c r="F375" s="2">
        <v>407.06958593800664</v>
      </c>
      <c r="G375" s="2">
        <v>234.35040602460504</v>
      </c>
      <c r="H375" s="2">
        <v>22.837248703930527</v>
      </c>
      <c r="I375" s="2">
        <v>0.8491576534276829</v>
      </c>
      <c r="J375" s="2">
        <v>9</v>
      </c>
      <c r="K375" s="2">
        <v>183.12642369824019</v>
      </c>
      <c r="L375" s="2">
        <v>45</v>
      </c>
      <c r="M375" s="2">
        <v>25</v>
      </c>
      <c r="N375" s="2">
        <v>1.1699970630620613</v>
      </c>
      <c r="O375" s="2">
        <v>52.218954656623929</v>
      </c>
      <c r="P375" s="2">
        <v>1399.5288380538113</v>
      </c>
      <c r="Q375" s="2">
        <v>1.1741705469646464</v>
      </c>
      <c r="R375" s="2">
        <v>52.246447595249393</v>
      </c>
      <c r="S375" s="2">
        <v>1395.7347954682641</v>
      </c>
      <c r="T375" s="2">
        <v>4.1734839025850956E-3</v>
      </c>
      <c r="U375" s="2">
        <v>2.7492938625464092E-2</v>
      </c>
      <c r="V375" s="2">
        <v>-3.7940425855472313</v>
      </c>
    </row>
    <row r="376" spans="1:22" ht="15">
      <c r="A376" s="2">
        <v>375</v>
      </c>
      <c r="B376" s="2" t="s">
        <v>79</v>
      </c>
      <c r="C376" s="2" t="s">
        <v>13</v>
      </c>
      <c r="D376" s="2">
        <v>1438.001433131285</v>
      </c>
      <c r="E376" s="2">
        <v>907.20320848049596</v>
      </c>
      <c r="F376" s="2">
        <v>580.17857223749161</v>
      </c>
      <c r="G376" s="2">
        <v>131.48799991002306</v>
      </c>
      <c r="H376" s="2">
        <v>18.741915742866695</v>
      </c>
      <c r="I376" s="2">
        <v>0.79157624277984728</v>
      </c>
      <c r="J376" s="2">
        <v>10</v>
      </c>
      <c r="K376" s="2">
        <v>181.66303577799783</v>
      </c>
      <c r="L376" s="2">
        <v>40</v>
      </c>
      <c r="M376" s="2">
        <v>25</v>
      </c>
      <c r="N376" s="2">
        <v>1.1751510095801658</v>
      </c>
      <c r="O376" s="2">
        <v>52.255469189493802</v>
      </c>
      <c r="P376" s="2">
        <v>1438.001433131285</v>
      </c>
      <c r="Q376" s="2">
        <v>1.1782572791733001</v>
      </c>
      <c r="R376" s="2">
        <v>51.309307228080641</v>
      </c>
      <c r="S376" s="2">
        <v>1441.100160498132</v>
      </c>
      <c r="T376" s="2">
        <v>3.1062695931343143E-3</v>
      </c>
      <c r="U376" s="2">
        <v>-0.94616196141316067</v>
      </c>
      <c r="V376" s="2">
        <v>3.0987273668470152</v>
      </c>
    </row>
    <row r="377" spans="1:22" ht="15">
      <c r="A377" s="2">
        <v>376</v>
      </c>
      <c r="B377" s="2" t="s">
        <v>79</v>
      </c>
      <c r="C377" s="2" t="s">
        <v>13</v>
      </c>
      <c r="D377" s="2">
        <v>1364.0091015840881</v>
      </c>
      <c r="E377" s="2">
        <v>1185.9726171009243</v>
      </c>
      <c r="F377" s="2">
        <v>518.56867587193847</v>
      </c>
      <c r="G377" s="2">
        <v>123.52057969663292</v>
      </c>
      <c r="H377" s="2">
        <v>21.370414739008993</v>
      </c>
      <c r="I377" s="2">
        <v>0.84977664110250772</v>
      </c>
      <c r="J377" s="2">
        <v>9</v>
      </c>
      <c r="K377" s="2">
        <v>178.34870895726863</v>
      </c>
      <c r="L377" s="2">
        <v>40</v>
      </c>
      <c r="M377" s="2">
        <v>25</v>
      </c>
      <c r="N377" s="2">
        <v>1.2166551210644097</v>
      </c>
      <c r="O377" s="2">
        <v>52.26004054749599</v>
      </c>
      <c r="P377" s="2">
        <v>1364.0091015840881</v>
      </c>
      <c r="Q377" s="2">
        <v>1.2252502816237976</v>
      </c>
      <c r="R377" s="2">
        <v>52.18822543726484</v>
      </c>
      <c r="S377" s="2">
        <v>1359.5751200757672</v>
      </c>
      <c r="T377" s="2">
        <v>8.5951605593879155E-3</v>
      </c>
      <c r="U377" s="2">
        <v>-7.1815110231149504E-2</v>
      </c>
      <c r="V377" s="2">
        <v>-4.4339815083208123</v>
      </c>
    </row>
    <row r="378" spans="1:22" ht="15">
      <c r="A378" s="2">
        <v>377</v>
      </c>
      <c r="B378" s="2" t="s">
        <v>79</v>
      </c>
      <c r="C378" s="2" t="s">
        <v>13</v>
      </c>
      <c r="D378" s="2">
        <v>1366.4993528276682</v>
      </c>
      <c r="E378" s="2">
        <v>1122.9279047227465</v>
      </c>
      <c r="F378" s="2">
        <v>364.80173040181398</v>
      </c>
      <c r="G378" s="2">
        <v>295.45266784960404</v>
      </c>
      <c r="H378" s="2">
        <v>22.165303273126483</v>
      </c>
      <c r="I378" s="2">
        <v>0.81107698810519657</v>
      </c>
      <c r="J378" s="2">
        <v>9</v>
      </c>
      <c r="K378" s="2">
        <v>187.19956755277059</v>
      </c>
      <c r="L378" s="2">
        <v>40</v>
      </c>
      <c r="M378" s="2">
        <v>25</v>
      </c>
      <c r="N378" s="2">
        <v>1.1936775576359466</v>
      </c>
      <c r="O378" s="2">
        <v>52.253042700591244</v>
      </c>
      <c r="P378" s="2">
        <v>1366.4993528276682</v>
      </c>
      <c r="Q378" s="2">
        <v>1.1934018207714832</v>
      </c>
      <c r="R378" s="2">
        <v>52.302425407948739</v>
      </c>
      <c r="S378" s="2">
        <v>1362.8290841023334</v>
      </c>
      <c r="T378" s="2">
        <v>-2.7573686446347168E-4</v>
      </c>
      <c r="U378" s="2">
        <v>4.9382707357494837E-2</v>
      </c>
      <c r="V378" s="2">
        <v>-3.6702687253348358</v>
      </c>
    </row>
    <row r="379" spans="1:22" ht="15">
      <c r="A379" s="2">
        <v>378</v>
      </c>
      <c r="B379" s="2" t="s">
        <v>80</v>
      </c>
      <c r="C379" s="2" t="s">
        <v>13</v>
      </c>
      <c r="D379" s="2">
        <v>1416.2213156581856</v>
      </c>
      <c r="E379" s="2">
        <v>690.37659524474293</v>
      </c>
      <c r="F379" s="2">
        <v>476.55011573806405</v>
      </c>
      <c r="G379" s="2">
        <v>283.64130637608469</v>
      </c>
      <c r="H379" s="2">
        <v>17.197112810332328</v>
      </c>
      <c r="I379" s="2">
        <v>0.85170854397583762</v>
      </c>
      <c r="J379" s="2">
        <v>9</v>
      </c>
      <c r="K379" s="2">
        <v>184.75560105040435</v>
      </c>
      <c r="L379" s="2">
        <v>50</v>
      </c>
      <c r="M379" s="2">
        <v>25</v>
      </c>
      <c r="N379" s="2">
        <v>1.1671541925188047</v>
      </c>
      <c r="O379" s="2">
        <v>52.201179818106681</v>
      </c>
      <c r="P379" s="2">
        <v>1416.2213156581856</v>
      </c>
      <c r="Q379" s="2">
        <v>1.1598885204516804</v>
      </c>
      <c r="R379" s="2">
        <v>51.55667610922567</v>
      </c>
      <c r="S379" s="2">
        <v>1421.6373594597646</v>
      </c>
      <c r="T379" s="2">
        <v>-7.2656720671242514E-3</v>
      </c>
      <c r="U379" s="2">
        <v>-0.64450370888101105</v>
      </c>
      <c r="V379" s="2">
        <v>5.4160438015790078</v>
      </c>
    </row>
    <row r="380" spans="1:22" ht="15">
      <c r="A380" s="2">
        <v>379</v>
      </c>
      <c r="B380" s="2" t="s">
        <v>80</v>
      </c>
      <c r="C380" s="2" t="s">
        <v>13</v>
      </c>
      <c r="D380" s="2">
        <v>1372.7084968937561</v>
      </c>
      <c r="E380" s="2">
        <v>1016.8765262351371</v>
      </c>
      <c r="F380" s="2">
        <v>690.4773686081171</v>
      </c>
      <c r="G380" s="2">
        <v>321.50600953726098</v>
      </c>
      <c r="H380" s="2">
        <v>16.759696223773062</v>
      </c>
      <c r="I380" s="2">
        <v>0.84902390855131671</v>
      </c>
      <c r="J380" s="2">
        <v>9</v>
      </c>
      <c r="K380" s="2">
        <v>179.64531361876206</v>
      </c>
      <c r="L380" s="2">
        <v>35</v>
      </c>
      <c r="M380" s="2">
        <v>25</v>
      </c>
      <c r="N380" s="2">
        <v>1.1731019921733359</v>
      </c>
      <c r="O380" s="2">
        <v>52.291349980590532</v>
      </c>
      <c r="P380" s="2">
        <v>1372.7084968937561</v>
      </c>
      <c r="Q380" s="2">
        <v>1.1860156623115099</v>
      </c>
      <c r="R380" s="2">
        <v>52.825954752678058</v>
      </c>
      <c r="S380" s="2">
        <v>1371.6064246102665</v>
      </c>
      <c r="T380" s="2">
        <v>1.2913670138174016E-2</v>
      </c>
      <c r="U380" s="2">
        <v>0.53460477208752621</v>
      </c>
      <c r="V380" s="2">
        <v>-1.1020722834896333</v>
      </c>
    </row>
    <row r="381" spans="1:22" ht="15">
      <c r="A381" s="2">
        <v>380</v>
      </c>
      <c r="B381" s="2" t="s">
        <v>80</v>
      </c>
      <c r="C381" s="2" t="s">
        <v>13</v>
      </c>
      <c r="D381" s="2">
        <v>1360.3067379794084</v>
      </c>
      <c r="E381" s="2">
        <v>853.26327267102897</v>
      </c>
      <c r="F381" s="2">
        <v>659.16118575260043</v>
      </c>
      <c r="G381" s="2">
        <v>215.71377273183316</v>
      </c>
      <c r="H381" s="2">
        <v>10.338463406544179</v>
      </c>
      <c r="I381" s="2">
        <v>0.85362132430076598</v>
      </c>
      <c r="J381" s="2">
        <v>8</v>
      </c>
      <c r="K381" s="2">
        <v>199.19645562593107</v>
      </c>
      <c r="L381" s="2">
        <v>50</v>
      </c>
      <c r="M381" s="2">
        <v>25</v>
      </c>
      <c r="N381" s="2">
        <v>1.20714505074316</v>
      </c>
      <c r="O381" s="2">
        <v>52.214519958838153</v>
      </c>
      <c r="P381" s="2">
        <v>1360.3067379794084</v>
      </c>
      <c r="Q381" s="2">
        <v>1.2078901720918689</v>
      </c>
      <c r="R381" s="2">
        <v>51.89730161730612</v>
      </c>
      <c r="S381" s="2">
        <v>1362.3643283015533</v>
      </c>
      <c r="T381" s="2">
        <v>7.4512134870885482E-4</v>
      </c>
      <c r="U381" s="2">
        <v>-0.31721834153203332</v>
      </c>
      <c r="V381" s="2">
        <v>2.0575903221449607</v>
      </c>
    </row>
    <row r="382" spans="1:22" ht="15">
      <c r="A382" s="2">
        <v>381</v>
      </c>
      <c r="B382" s="2" t="s">
        <v>78</v>
      </c>
      <c r="C382" s="2" t="s">
        <v>13</v>
      </c>
      <c r="D382" s="2">
        <v>1355.8091390412301</v>
      </c>
      <c r="E382" s="2">
        <v>784.4821308623068</v>
      </c>
      <c r="F382" s="2">
        <v>548.34939297288656</v>
      </c>
      <c r="G382" s="2">
        <v>91.103364464361221</v>
      </c>
      <c r="H382" s="2">
        <v>20.034178998321295</v>
      </c>
      <c r="I382" s="2">
        <v>0.85678851504111664</v>
      </c>
      <c r="J382" s="2">
        <v>8</v>
      </c>
      <c r="K382" s="2">
        <v>197.8039380838581</v>
      </c>
      <c r="L382" s="2">
        <v>60</v>
      </c>
      <c r="M382" s="2">
        <v>25</v>
      </c>
      <c r="N382" s="2">
        <v>1.2254606135719994</v>
      </c>
      <c r="O382" s="2">
        <v>52.17235737551831</v>
      </c>
      <c r="P382" s="2">
        <v>1355.8091390412301</v>
      </c>
      <c r="Q382" s="2">
        <v>1.2214649615995492</v>
      </c>
      <c r="R382" s="2">
        <v>51.74314505486754</v>
      </c>
      <c r="S382" s="2">
        <v>1361.3601136505422</v>
      </c>
      <c r="T382" s="2">
        <v>-3.9956519724502204E-3</v>
      </c>
      <c r="U382" s="2">
        <v>-0.42921232065076964</v>
      </c>
      <c r="V382" s="2">
        <v>5.5509746093121066</v>
      </c>
    </row>
    <row r="383" spans="1:22" ht="15">
      <c r="A383" s="2">
        <v>382</v>
      </c>
      <c r="B383" s="2" t="s">
        <v>78</v>
      </c>
      <c r="C383" s="2" t="s">
        <v>13</v>
      </c>
      <c r="D383" s="2">
        <v>1396.9656143453903</v>
      </c>
      <c r="E383" s="2">
        <v>1140.0566461263224</v>
      </c>
      <c r="F383" s="2">
        <v>529.90006105974317</v>
      </c>
      <c r="G383" s="2">
        <v>232.22666133195162</v>
      </c>
      <c r="H383" s="2">
        <v>20.537409278098494</v>
      </c>
      <c r="I383" s="2">
        <v>0.82300220731180163</v>
      </c>
      <c r="J383" s="2">
        <v>9</v>
      </c>
      <c r="K383" s="2">
        <v>188.60022514511485</v>
      </c>
      <c r="L383" s="2">
        <v>40</v>
      </c>
      <c r="M383" s="2">
        <v>25</v>
      </c>
      <c r="N383" s="2">
        <v>1.2570526950743028</v>
      </c>
      <c r="O383" s="2">
        <v>52.271597941736168</v>
      </c>
      <c r="P383" s="2">
        <v>1396.9656143453903</v>
      </c>
      <c r="Q383" s="2">
        <v>1.2593690810999756</v>
      </c>
      <c r="R383" s="2">
        <v>51.994688552339959</v>
      </c>
      <c r="S383" s="2">
        <v>1393.6097795460439</v>
      </c>
      <c r="T383" s="2">
        <v>2.3163860256727453E-3</v>
      </c>
      <c r="U383" s="2">
        <v>-0.27690938939620935</v>
      </c>
      <c r="V383" s="2">
        <v>-3.3558347993464395</v>
      </c>
    </row>
    <row r="384" spans="1:22" ht="15">
      <c r="A384" s="2">
        <v>383</v>
      </c>
      <c r="B384" s="2" t="s">
        <v>78</v>
      </c>
      <c r="C384" s="2" t="s">
        <v>13</v>
      </c>
      <c r="D384" s="2">
        <v>1365.4048770898953</v>
      </c>
      <c r="E384" s="2">
        <v>983.27576696174219</v>
      </c>
      <c r="F384" s="2">
        <v>657.35149309039116</v>
      </c>
      <c r="G384" s="2">
        <v>291.53967030113563</v>
      </c>
      <c r="H384" s="2">
        <v>19.327799207530916</v>
      </c>
      <c r="I384" s="2">
        <v>0.79690267072757714</v>
      </c>
      <c r="J384" s="2">
        <v>9</v>
      </c>
      <c r="K384" s="2">
        <v>190.37664018803537</v>
      </c>
      <c r="L384" s="2">
        <v>35</v>
      </c>
      <c r="M384" s="2">
        <v>25</v>
      </c>
      <c r="N384" s="2">
        <v>1.1373116356080828</v>
      </c>
      <c r="O384" s="2">
        <v>52.27627312861533</v>
      </c>
      <c r="P384" s="2">
        <v>1365.4048770898953</v>
      </c>
      <c r="Q384" s="2">
        <v>1.1410434318063034</v>
      </c>
      <c r="R384" s="2">
        <v>53.5618676521688</v>
      </c>
      <c r="S384" s="2">
        <v>1353.2113929716381</v>
      </c>
      <c r="T384" s="2">
        <v>3.731796198220616E-3</v>
      </c>
      <c r="U384" s="2">
        <v>1.2855945235534705</v>
      </c>
      <c r="V384" s="2">
        <v>-12.193484118257174</v>
      </c>
    </row>
    <row r="385" spans="1:22" ht="15">
      <c r="A385" s="2">
        <v>384</v>
      </c>
      <c r="B385" s="2" t="s">
        <v>78</v>
      </c>
      <c r="C385" s="2" t="s">
        <v>13</v>
      </c>
      <c r="D385" s="2">
        <v>1411.7574067669921</v>
      </c>
      <c r="E385" s="2">
        <v>1175.9391013532877</v>
      </c>
      <c r="F385" s="2">
        <v>556.84570064768195</v>
      </c>
      <c r="G385" s="2">
        <v>288.93610746134073</v>
      </c>
      <c r="H385" s="2">
        <v>24.129439161624759</v>
      </c>
      <c r="I385" s="2">
        <v>0.8088172690849752</v>
      </c>
      <c r="J385" s="2">
        <v>9</v>
      </c>
      <c r="K385" s="2">
        <v>193.93989233523803</v>
      </c>
      <c r="L385" s="2">
        <v>35</v>
      </c>
      <c r="M385" s="2">
        <v>25</v>
      </c>
      <c r="N385" s="2">
        <v>1.212936672479288</v>
      </c>
      <c r="O385" s="2">
        <v>52.290236832807906</v>
      </c>
      <c r="P385" s="2">
        <v>1411.7574067669921</v>
      </c>
      <c r="Q385" s="2">
        <v>1.2238493766166958</v>
      </c>
      <c r="R385" s="2">
        <v>53.647875979262786</v>
      </c>
      <c r="S385" s="2">
        <v>1390.6008208297155</v>
      </c>
      <c r="T385" s="2">
        <v>1.0912704137407747E-2</v>
      </c>
      <c r="U385" s="2">
        <v>1.3576391464548792</v>
      </c>
      <c r="V385" s="2">
        <v>-21.156585937276532</v>
      </c>
    </row>
    <row r="386" spans="1:22" ht="15">
      <c r="A386" s="2">
        <v>385</v>
      </c>
      <c r="B386" s="2" t="s">
        <v>78</v>
      </c>
      <c r="C386" s="2" t="s">
        <v>13</v>
      </c>
      <c r="D386" s="2">
        <v>1498.1896365992725</v>
      </c>
      <c r="E386" s="2">
        <v>1207.8392665251158</v>
      </c>
      <c r="F386" s="2">
        <v>632.18886200338602</v>
      </c>
      <c r="G386" s="2">
        <v>148.72085953364149</v>
      </c>
      <c r="H386" s="2">
        <v>21.00043604709208</v>
      </c>
      <c r="I386" s="2">
        <v>0.8027424861048349</v>
      </c>
      <c r="J386" s="2">
        <v>10</v>
      </c>
      <c r="K386" s="2">
        <v>186.63390346622504</v>
      </c>
      <c r="L386" s="2">
        <v>30</v>
      </c>
      <c r="M386" s="2">
        <v>25</v>
      </c>
      <c r="N386" s="2">
        <v>1.1331076365751693</v>
      </c>
      <c r="O386" s="2">
        <v>52.319550762181763</v>
      </c>
      <c r="P386" s="2">
        <v>1498.1896365992725</v>
      </c>
      <c r="Q386" s="2">
        <v>1.1501583820944887</v>
      </c>
      <c r="R386" s="2">
        <v>53.002892257324511</v>
      </c>
      <c r="S386" s="2">
        <v>1486.2015613875067</v>
      </c>
      <c r="T386" s="2">
        <v>1.7050745519319399E-2</v>
      </c>
      <c r="U386" s="2">
        <v>0.68334149514274856</v>
      </c>
      <c r="V386" s="2">
        <v>-11.988075211765818</v>
      </c>
    </row>
    <row r="387" spans="1:22" ht="15">
      <c r="A387" s="2">
        <v>386</v>
      </c>
      <c r="B387" s="2" t="s">
        <v>78</v>
      </c>
      <c r="C387" s="2" t="s">
        <v>13</v>
      </c>
      <c r="D387" s="2">
        <v>1478.1066795461811</v>
      </c>
      <c r="E387" s="2">
        <v>1060.1211465196684</v>
      </c>
      <c r="F387" s="2">
        <v>352.98758978024125</v>
      </c>
      <c r="G387" s="2">
        <v>212.69134075380862</v>
      </c>
      <c r="H387" s="2">
        <v>17.942699932027608</v>
      </c>
      <c r="I387" s="2">
        <v>0.80208407981786878</v>
      </c>
      <c r="J387" s="2">
        <v>10</v>
      </c>
      <c r="K387" s="2">
        <v>184.28325866807111</v>
      </c>
      <c r="L387" s="2">
        <v>40</v>
      </c>
      <c r="M387" s="2">
        <v>25</v>
      </c>
      <c r="N387" s="2">
        <v>1.1759506912778133</v>
      </c>
      <c r="O387" s="2">
        <v>52.256669863349551</v>
      </c>
      <c r="P387" s="2">
        <v>1478.1066795461811</v>
      </c>
      <c r="Q387" s="2">
        <v>1.1826899416891257</v>
      </c>
      <c r="R387" s="2">
        <v>51.883931991696947</v>
      </c>
      <c r="S387" s="2">
        <v>1476.426292134315</v>
      </c>
      <c r="T387" s="2">
        <v>6.739250411312403E-3</v>
      </c>
      <c r="U387" s="2">
        <v>-0.3727378716526033</v>
      </c>
      <c r="V387" s="2">
        <v>-1.6803874118661497</v>
      </c>
    </row>
    <row r="388" spans="1:22" ht="15">
      <c r="A388" s="2">
        <v>387</v>
      </c>
      <c r="B388" s="2" t="s">
        <v>78</v>
      </c>
      <c r="C388" s="2" t="s">
        <v>13</v>
      </c>
      <c r="D388" s="2">
        <v>1459.9825639044866</v>
      </c>
      <c r="E388" s="2">
        <v>871.2376830750145</v>
      </c>
      <c r="F388" s="2">
        <v>662.53207437694073</v>
      </c>
      <c r="G388" s="2">
        <v>295.95591650111601</v>
      </c>
      <c r="H388" s="2">
        <v>15.121929173357785</v>
      </c>
      <c r="I388" s="2">
        <v>0.79111611426575112</v>
      </c>
      <c r="J388" s="2">
        <v>10</v>
      </c>
      <c r="K388" s="2">
        <v>184.54719068129742</v>
      </c>
      <c r="L388" s="2">
        <v>35</v>
      </c>
      <c r="M388" s="2">
        <v>25</v>
      </c>
      <c r="N388" s="2">
        <v>1.1561535801190526</v>
      </c>
      <c r="O388" s="2">
        <v>52.291999973012366</v>
      </c>
      <c r="P388" s="2">
        <v>1459.9825639044866</v>
      </c>
      <c r="Q388" s="2">
        <v>1.1587866791058148</v>
      </c>
      <c r="R388" s="2">
        <v>51.889556817721093</v>
      </c>
      <c r="S388" s="2">
        <v>1464.424497374363</v>
      </c>
      <c r="T388" s="2">
        <v>2.6330989867622279E-3</v>
      </c>
      <c r="U388" s="2">
        <v>-0.40244315529127306</v>
      </c>
      <c r="V388" s="2">
        <v>4.4419334698764033</v>
      </c>
    </row>
    <row r="389" spans="1:22" ht="15">
      <c r="A389" s="2">
        <v>388</v>
      </c>
      <c r="B389" s="2" t="s">
        <v>78</v>
      </c>
      <c r="C389" s="2" t="s">
        <v>13</v>
      </c>
      <c r="D389" s="2">
        <v>1451.9616647972725</v>
      </c>
      <c r="E389" s="2">
        <v>1143.8631292898208</v>
      </c>
      <c r="F389" s="2">
        <v>398.44635156914592</v>
      </c>
      <c r="G389" s="2">
        <v>241.1080135917291</v>
      </c>
      <c r="H389" s="2">
        <v>19.029987416695803</v>
      </c>
      <c r="I389" s="2">
        <v>0.83135813495144251</v>
      </c>
      <c r="J389" s="2">
        <v>9</v>
      </c>
      <c r="K389" s="2">
        <v>194.05484481821594</v>
      </c>
      <c r="L389" s="2">
        <v>40</v>
      </c>
      <c r="M389" s="2">
        <v>25</v>
      </c>
      <c r="N389" s="2">
        <v>1.1773783479065185</v>
      </c>
      <c r="O389" s="2">
        <v>52.253079372822221</v>
      </c>
      <c r="P389" s="2">
        <v>1451.9616647972725</v>
      </c>
      <c r="Q389" s="2">
        <v>1.1786324840576317</v>
      </c>
      <c r="R389" s="2">
        <v>53.102786185828023</v>
      </c>
      <c r="S389" s="2">
        <v>1451.4656703669232</v>
      </c>
      <c r="T389" s="2">
        <v>1.2541361511131388E-3</v>
      </c>
      <c r="U389" s="2">
        <v>0.84970681300580253</v>
      </c>
      <c r="V389" s="2">
        <v>-0.49599443034935575</v>
      </c>
    </row>
    <row r="390" spans="1:22" ht="15">
      <c r="A390" s="2">
        <v>389</v>
      </c>
      <c r="B390" s="2" t="s">
        <v>78</v>
      </c>
      <c r="C390" s="2" t="s">
        <v>13</v>
      </c>
      <c r="D390" s="2">
        <v>1444.0280253533274</v>
      </c>
      <c r="E390" s="2">
        <v>965.34958722768351</v>
      </c>
      <c r="F390" s="2">
        <v>457.76882600039244</v>
      </c>
      <c r="G390" s="2">
        <v>329.70343272434548</v>
      </c>
      <c r="H390" s="2">
        <v>22.552778623998165</v>
      </c>
      <c r="I390" s="2">
        <v>0.84419465529033921</v>
      </c>
      <c r="J390" s="2">
        <v>9</v>
      </c>
      <c r="K390" s="2">
        <v>190.05990782707585</v>
      </c>
      <c r="L390" s="2">
        <v>40</v>
      </c>
      <c r="M390" s="2">
        <v>25</v>
      </c>
      <c r="N390" s="2">
        <v>1.1773304915764065</v>
      </c>
      <c r="O390" s="2">
        <v>52.248308746330132</v>
      </c>
      <c r="P390" s="2">
        <v>1444.0280253533274</v>
      </c>
      <c r="Q390" s="2">
        <v>1.1670556418947</v>
      </c>
      <c r="R390" s="2">
        <v>53.012743385007205</v>
      </c>
      <c r="S390" s="2">
        <v>1434.5410252677443</v>
      </c>
      <c r="T390" s="2">
        <v>-1.0274849681706444E-2</v>
      </c>
      <c r="U390" s="2">
        <v>0.76443463867707351</v>
      </c>
      <c r="V390" s="2">
        <v>-9.4870000855830767</v>
      </c>
    </row>
    <row r="391" spans="1:22" ht="15">
      <c r="A391" s="2">
        <v>390</v>
      </c>
      <c r="B391" s="2" t="s">
        <v>78</v>
      </c>
      <c r="C391" s="2" t="s">
        <v>13</v>
      </c>
      <c r="D391" s="2">
        <v>1421.1365132709034</v>
      </c>
      <c r="E391" s="2">
        <v>774.03726761694998</v>
      </c>
      <c r="F391" s="2">
        <v>433.89186831191182</v>
      </c>
      <c r="G391" s="2">
        <v>209.080671351403</v>
      </c>
      <c r="H391" s="2">
        <v>13.587840481195599</v>
      </c>
      <c r="I391" s="2">
        <v>0.82617872843053197</v>
      </c>
      <c r="J391" s="2">
        <v>9</v>
      </c>
      <c r="K391" s="2">
        <v>191.12578379991237</v>
      </c>
      <c r="L391" s="2">
        <v>55</v>
      </c>
      <c r="M391" s="2">
        <v>25</v>
      </c>
      <c r="N391" s="2">
        <v>1.2273364693837598</v>
      </c>
      <c r="O391" s="2">
        <v>52.195947254200178</v>
      </c>
      <c r="P391" s="2">
        <v>1421.1365132709034</v>
      </c>
      <c r="Q391" s="2">
        <v>1.2307286721917361</v>
      </c>
      <c r="R391" s="2">
        <v>51.424894884298276</v>
      </c>
      <c r="S391" s="2">
        <v>1433.8911512738255</v>
      </c>
      <c r="T391" s="2">
        <v>3.3922028079762523E-3</v>
      </c>
      <c r="U391" s="2">
        <v>-0.77105236990190207</v>
      </c>
      <c r="V391" s="2">
        <v>12.754638002922093</v>
      </c>
    </row>
    <row r="392" spans="1:22" ht="15">
      <c r="A392" s="2">
        <v>391</v>
      </c>
      <c r="B392" s="2" t="s">
        <v>78</v>
      </c>
      <c r="C392" s="2" t="s">
        <v>13</v>
      </c>
      <c r="D392" s="2">
        <v>1431.4872264163569</v>
      </c>
      <c r="E392" s="2">
        <v>864.16382343741134</v>
      </c>
      <c r="F392" s="2">
        <v>744.86236274242401</v>
      </c>
      <c r="G392" s="2">
        <v>310.48188904067501</v>
      </c>
      <c r="H392" s="2">
        <v>23.432773205451667</v>
      </c>
      <c r="I392" s="2">
        <v>0.81549686312442649</v>
      </c>
      <c r="J392" s="2">
        <v>9</v>
      </c>
      <c r="K392" s="2">
        <v>195.03954394023955</v>
      </c>
      <c r="L392" s="2">
        <v>35</v>
      </c>
      <c r="M392" s="2">
        <v>25</v>
      </c>
      <c r="N392" s="2">
        <v>1.1546502729444359</v>
      </c>
      <c r="O392" s="2">
        <v>52.274299296628755</v>
      </c>
      <c r="P392" s="2">
        <v>1431.4872264163569</v>
      </c>
      <c r="Q392" s="2">
        <v>1.1537666371078552</v>
      </c>
      <c r="R392" s="2">
        <v>53.126662701412378</v>
      </c>
      <c r="S392" s="2">
        <v>1417.5641421034152</v>
      </c>
      <c r="T392" s="2">
        <v>-8.8363583658068734E-4</v>
      </c>
      <c r="U392" s="2">
        <v>0.85236340478362393</v>
      </c>
      <c r="V392" s="2">
        <v>-13.923084312941683</v>
      </c>
    </row>
    <row r="393" spans="1:22" ht="15">
      <c r="A393" s="2">
        <v>392</v>
      </c>
      <c r="B393" s="2" t="s">
        <v>78</v>
      </c>
      <c r="C393" s="2" t="s">
        <v>13</v>
      </c>
      <c r="D393" s="2">
        <v>1454.9365957151167</v>
      </c>
      <c r="E393" s="2">
        <v>697.03590245917439</v>
      </c>
      <c r="F393" s="2">
        <v>558.60617822036147</v>
      </c>
      <c r="G393" s="2">
        <v>263.26839769724756</v>
      </c>
      <c r="H393" s="2">
        <v>20.205072370823473</v>
      </c>
      <c r="I393" s="2">
        <v>0.84498671927489344</v>
      </c>
      <c r="J393" s="2">
        <v>9</v>
      </c>
      <c r="K393" s="2">
        <v>191.31616871428309</v>
      </c>
      <c r="L393" s="2">
        <v>50</v>
      </c>
      <c r="M393" s="2">
        <v>25</v>
      </c>
      <c r="N393" s="2">
        <v>1.2316289867294967</v>
      </c>
      <c r="O393" s="2">
        <v>52.211836116340898</v>
      </c>
      <c r="P393" s="2">
        <v>1454.9365957151167</v>
      </c>
      <c r="Q393" s="2">
        <v>1.2283611614421575</v>
      </c>
      <c r="R393" s="2">
        <v>52.343436334006903</v>
      </c>
      <c r="S393" s="2">
        <v>1463.6890726642891</v>
      </c>
      <c r="T393" s="2">
        <v>-3.2678252873392655E-3</v>
      </c>
      <c r="U393" s="2">
        <v>0.13160021766600494</v>
      </c>
      <c r="V393" s="2">
        <v>8.7524769491724328</v>
      </c>
    </row>
    <row r="394" spans="1:22" ht="15">
      <c r="A394" s="2">
        <v>393</v>
      </c>
      <c r="B394" s="2" t="s">
        <v>78</v>
      </c>
      <c r="C394" s="2" t="s">
        <v>13</v>
      </c>
      <c r="D394" s="2">
        <v>1366.8741362169385</v>
      </c>
      <c r="E394" s="2">
        <v>1063.6523470631801</v>
      </c>
      <c r="F394" s="2">
        <v>643.19355208426714</v>
      </c>
      <c r="G394" s="2">
        <v>137.31890868628398</v>
      </c>
      <c r="H394" s="2">
        <v>13.763826644048095</v>
      </c>
      <c r="I394" s="2">
        <v>0.83689420768292622</v>
      </c>
      <c r="J394" s="2">
        <v>9</v>
      </c>
      <c r="K394" s="2">
        <v>181.47443563338064</v>
      </c>
      <c r="L394" s="2">
        <v>40</v>
      </c>
      <c r="M394" s="2">
        <v>25</v>
      </c>
      <c r="N394" s="2">
        <v>1.1858402167387425</v>
      </c>
      <c r="O394" s="2">
        <v>52.262551397661476</v>
      </c>
      <c r="P394" s="2">
        <v>1366.8741362169385</v>
      </c>
      <c r="Q394" s="2">
        <v>1.190148524103056</v>
      </c>
      <c r="R394" s="2">
        <v>53.262817783842692</v>
      </c>
      <c r="S394" s="2">
        <v>1360.8303759243183</v>
      </c>
      <c r="T394" s="2">
        <v>4.308307364313535E-3</v>
      </c>
      <c r="U394" s="2">
        <v>1.0002663861812167</v>
      </c>
      <c r="V394" s="2">
        <v>-6.0437602926201635</v>
      </c>
    </row>
    <row r="395" spans="1:22" ht="15">
      <c r="A395" s="2">
        <v>394</v>
      </c>
      <c r="B395" s="2" t="s">
        <v>78</v>
      </c>
      <c r="C395" s="2" t="s">
        <v>13</v>
      </c>
      <c r="D395" s="2">
        <v>1413.09395438293</v>
      </c>
      <c r="E395" s="2">
        <v>815.92758374754339</v>
      </c>
      <c r="F395" s="2">
        <v>451.40403816476464</v>
      </c>
      <c r="G395" s="2">
        <v>111.90837125293911</v>
      </c>
      <c r="H395" s="2">
        <v>15.979557667393237</v>
      </c>
      <c r="I395" s="2">
        <v>0.8167903145076707</v>
      </c>
      <c r="J395" s="2">
        <v>9</v>
      </c>
      <c r="K395" s="2">
        <v>192.22857640093451</v>
      </c>
      <c r="L395" s="2">
        <v>55</v>
      </c>
      <c r="M395" s="2">
        <v>25</v>
      </c>
      <c r="N395" s="2">
        <v>1.2056554503789845</v>
      </c>
      <c r="O395" s="2">
        <v>52.190057995934289</v>
      </c>
      <c r="P395" s="2">
        <v>1413.09395438293</v>
      </c>
      <c r="Q395" s="2">
        <v>1.1957003656418745</v>
      </c>
      <c r="R395" s="2">
        <v>53.028883100740238</v>
      </c>
      <c r="S395" s="2">
        <v>1421.0156054080262</v>
      </c>
      <c r="T395" s="2">
        <v>-9.9550847371099316E-3</v>
      </c>
      <c r="U395" s="2">
        <v>0.83882510480594874</v>
      </c>
      <c r="V395" s="2">
        <v>7.9216510250962529</v>
      </c>
    </row>
    <row r="396" spans="1:22" ht="15">
      <c r="A396" s="2">
        <v>395</v>
      </c>
      <c r="B396" s="2" t="s">
        <v>79</v>
      </c>
      <c r="C396" s="2" t="s">
        <v>13</v>
      </c>
      <c r="D396" s="2">
        <v>1496.6864499030635</v>
      </c>
      <c r="E396" s="2">
        <v>809.88540152320638</v>
      </c>
      <c r="F396" s="2">
        <v>504.71667535603046</v>
      </c>
      <c r="G396" s="2">
        <v>247.79636609135196</v>
      </c>
      <c r="H396" s="2">
        <v>12.86509767267853</v>
      </c>
      <c r="I396" s="2">
        <v>0.83421807928709313</v>
      </c>
      <c r="J396" s="2">
        <v>9</v>
      </c>
      <c r="K396" s="2">
        <v>199.34654805825983</v>
      </c>
      <c r="L396" s="2">
        <v>50</v>
      </c>
      <c r="M396" s="2">
        <v>25</v>
      </c>
      <c r="N396" s="2">
        <v>1.2323779936946861</v>
      </c>
      <c r="O396" s="2">
        <v>52.218616977220179</v>
      </c>
      <c r="P396" s="2">
        <v>1496.6864499030635</v>
      </c>
      <c r="Q396" s="2">
        <v>1.2435774753017916</v>
      </c>
      <c r="R396" s="2">
        <v>52.850223994342265</v>
      </c>
      <c r="S396" s="2">
        <v>1498.1045474626073</v>
      </c>
      <c r="T396" s="2">
        <v>1.1199481607105488E-2</v>
      </c>
      <c r="U396" s="2">
        <v>0.63160701712208578</v>
      </c>
      <c r="V396" s="2">
        <v>1.4180975595438667</v>
      </c>
    </row>
    <row r="397" spans="1:22" ht="15">
      <c r="A397" s="2">
        <v>396</v>
      </c>
      <c r="B397" s="2" t="s">
        <v>79</v>
      </c>
      <c r="C397" s="2" t="s">
        <v>13</v>
      </c>
      <c r="D397" s="2">
        <v>1426.7021136707626</v>
      </c>
      <c r="E397" s="2">
        <v>1125.0614290591329</v>
      </c>
      <c r="F397" s="2">
        <v>583.014668058604</v>
      </c>
      <c r="G397" s="2">
        <v>101.73589810263366</v>
      </c>
      <c r="H397" s="2">
        <v>8.4229525956325233</v>
      </c>
      <c r="I397" s="2">
        <v>0.85479053836315877</v>
      </c>
      <c r="J397" s="2">
        <v>9</v>
      </c>
      <c r="K397" s="2">
        <v>185.45181533956185</v>
      </c>
      <c r="L397" s="2">
        <v>40</v>
      </c>
      <c r="M397" s="2">
        <v>25</v>
      </c>
      <c r="N397" s="2">
        <v>1.1358507957080797</v>
      </c>
      <c r="O397" s="2">
        <v>52.257194935354725</v>
      </c>
      <c r="P397" s="2">
        <v>1426.7021136707626</v>
      </c>
      <c r="Q397" s="2">
        <v>1.1550043026914518</v>
      </c>
      <c r="R397" s="2">
        <v>53.521402422716569</v>
      </c>
      <c r="S397" s="2">
        <v>1425.8667396355129</v>
      </c>
      <c r="T397" s="2">
        <v>1.9153506983372148E-2</v>
      </c>
      <c r="U397" s="2">
        <v>1.2642074873618441</v>
      </c>
      <c r="V397" s="2">
        <v>-0.83537403524974252</v>
      </c>
    </row>
    <row r="398" spans="1:22" ht="15">
      <c r="A398" s="2">
        <v>397</v>
      </c>
      <c r="B398" s="2" t="s">
        <v>79</v>
      </c>
      <c r="C398" s="2" t="s">
        <v>13</v>
      </c>
      <c r="D398" s="2">
        <v>1405.5272431578487</v>
      </c>
      <c r="E398" s="2">
        <v>1119.2525609279983</v>
      </c>
      <c r="F398" s="2">
        <v>425.33714380115271</v>
      </c>
      <c r="G398" s="2">
        <v>238.57050177874044</v>
      </c>
      <c r="H398" s="2">
        <v>18.867142099887133</v>
      </c>
      <c r="I398" s="2">
        <v>0.83740053192013875</v>
      </c>
      <c r="J398" s="2">
        <v>9</v>
      </c>
      <c r="K398" s="2">
        <v>186.49342546524559</v>
      </c>
      <c r="L398" s="2">
        <v>40</v>
      </c>
      <c r="M398" s="2">
        <v>25</v>
      </c>
      <c r="N398" s="2">
        <v>1.176362770360627</v>
      </c>
      <c r="O398" s="2">
        <v>52.253039255199738</v>
      </c>
      <c r="P398" s="2">
        <v>1405.5272431578487</v>
      </c>
      <c r="Q398" s="2">
        <v>1.1709215134524684</v>
      </c>
      <c r="R398" s="2">
        <v>53.190929673686014</v>
      </c>
      <c r="S398" s="2">
        <v>1393.7626735178808</v>
      </c>
      <c r="T398" s="2">
        <v>-5.4412569081585538E-3</v>
      </c>
      <c r="U398" s="2">
        <v>0.93789041848627619</v>
      </c>
      <c r="V398" s="2">
        <v>-11.764569639967931</v>
      </c>
    </row>
    <row r="399" spans="1:22" ht="15">
      <c r="A399" s="2">
        <v>398</v>
      </c>
      <c r="B399" s="2" t="s">
        <v>80</v>
      </c>
      <c r="C399" s="2" t="s">
        <v>13</v>
      </c>
      <c r="D399" s="2">
        <v>1442.1109432470985</v>
      </c>
      <c r="E399" s="2">
        <v>613.94714757334441</v>
      </c>
      <c r="F399" s="2">
        <v>429.54381750896573</v>
      </c>
      <c r="G399" s="2">
        <v>309.54143770039082</v>
      </c>
      <c r="H399" s="2">
        <v>9.8132607885636389</v>
      </c>
      <c r="I399" s="2">
        <v>0.85716047957073904</v>
      </c>
      <c r="J399" s="2">
        <v>9</v>
      </c>
      <c r="K399" s="2">
        <v>186.93646413787314</v>
      </c>
      <c r="L399" s="2">
        <v>55</v>
      </c>
      <c r="M399" s="2">
        <v>25</v>
      </c>
      <c r="N399" s="2">
        <v>1.159129910472255</v>
      </c>
      <c r="O399" s="2">
        <v>52.185971577403883</v>
      </c>
      <c r="P399" s="2">
        <v>1442.1109432470985</v>
      </c>
      <c r="Q399" s="2">
        <v>1.1585828369929054</v>
      </c>
      <c r="R399" s="2">
        <v>52.044708504887858</v>
      </c>
      <c r="S399" s="2">
        <v>1464.3162615002825</v>
      </c>
      <c r="T399" s="2">
        <v>-5.4707347934956907E-4</v>
      </c>
      <c r="U399" s="2">
        <v>-0.14126307251602555</v>
      </c>
      <c r="V399" s="2">
        <v>22.205318253184032</v>
      </c>
    </row>
    <row r="400" spans="1:22" ht="15">
      <c r="A400" s="2">
        <v>399</v>
      </c>
      <c r="B400" s="2" t="s">
        <v>80</v>
      </c>
      <c r="C400" s="2" t="s">
        <v>13</v>
      </c>
      <c r="D400" s="2">
        <v>1437.4797700205818</v>
      </c>
      <c r="E400" s="2">
        <v>1031.6160542075522</v>
      </c>
      <c r="F400" s="2">
        <v>729.12246659398079</v>
      </c>
      <c r="G400" s="2">
        <v>153.83408438181505</v>
      </c>
      <c r="H400" s="2">
        <v>28.972391783259809</v>
      </c>
      <c r="I400" s="2">
        <v>0.80153894616058097</v>
      </c>
      <c r="J400" s="2">
        <v>9</v>
      </c>
      <c r="K400" s="2">
        <v>199.26664226585552</v>
      </c>
      <c r="L400" s="2">
        <v>35</v>
      </c>
      <c r="M400" s="2">
        <v>25</v>
      </c>
      <c r="N400" s="2">
        <v>1.1836900204367149</v>
      </c>
      <c r="O400" s="2">
        <v>52.273529733463207</v>
      </c>
      <c r="P400" s="2">
        <v>1437.4797700205818</v>
      </c>
      <c r="Q400" s="2">
        <v>1.173130977260179</v>
      </c>
      <c r="R400" s="2">
        <v>53.459969504296382</v>
      </c>
      <c r="S400" s="2">
        <v>1413.7124816826142</v>
      </c>
      <c r="T400" s="2">
        <v>-1.0559043176535887E-2</v>
      </c>
      <c r="U400" s="2">
        <v>1.1864397708331751</v>
      </c>
      <c r="V400" s="2">
        <v>-23.767288337967557</v>
      </c>
    </row>
    <row r="401" spans="1:22" ht="15">
      <c r="A401" s="2">
        <v>400</v>
      </c>
      <c r="B401" s="2" t="s">
        <v>80</v>
      </c>
      <c r="C401" s="2" t="s">
        <v>13</v>
      </c>
      <c r="D401" s="2">
        <v>1430.9981264057569</v>
      </c>
      <c r="E401" s="2">
        <v>1214.3182000145316</v>
      </c>
      <c r="F401" s="2">
        <v>353.27592035755515</v>
      </c>
      <c r="G401" s="2">
        <v>171.10021789092571</v>
      </c>
      <c r="H401" s="2">
        <v>21.129765996243805</v>
      </c>
      <c r="I401" s="2">
        <v>0.81207670538686216</v>
      </c>
      <c r="J401" s="2">
        <v>9</v>
      </c>
      <c r="K401" s="2">
        <v>195.79405586707054</v>
      </c>
      <c r="L401" s="2">
        <v>40</v>
      </c>
      <c r="M401" s="2">
        <v>25</v>
      </c>
      <c r="N401" s="2">
        <v>1.1613812396381655</v>
      </c>
      <c r="O401" s="2">
        <v>52.246105914693658</v>
      </c>
      <c r="P401" s="2">
        <v>1430.9981264057569</v>
      </c>
      <c r="Q401" s="2">
        <v>1.1660898654546539</v>
      </c>
      <c r="R401" s="2">
        <v>52.693910186287468</v>
      </c>
      <c r="S401" s="2">
        <v>1429.8953637226066</v>
      </c>
      <c r="T401" s="2">
        <v>4.7086258164883432E-3</v>
      </c>
      <c r="U401" s="2">
        <v>0.4478042715938102</v>
      </c>
      <c r="V401" s="2">
        <v>-1.1027626831503312</v>
      </c>
    </row>
    <row r="402" spans="1:22" ht="15">
      <c r="A402" s="2">
        <v>401</v>
      </c>
      <c r="B402" s="2" t="s">
        <v>78</v>
      </c>
      <c r="C402" s="2" t="s">
        <v>13</v>
      </c>
      <c r="D402" s="2">
        <v>1423.2615270651877</v>
      </c>
      <c r="E402" s="2">
        <v>724.57630237331614</v>
      </c>
      <c r="F402" s="2">
        <v>425.78592393547297</v>
      </c>
      <c r="G402" s="2">
        <v>117.16617642203346</v>
      </c>
      <c r="H402" s="2">
        <v>15.816677303984761</v>
      </c>
      <c r="I402" s="2">
        <v>0.84721835202770313</v>
      </c>
      <c r="J402" s="2">
        <v>9</v>
      </c>
      <c r="K402" s="2">
        <v>186.65810212375894</v>
      </c>
      <c r="L402" s="2">
        <v>60</v>
      </c>
      <c r="M402" s="2">
        <v>25</v>
      </c>
      <c r="N402" s="2">
        <v>1.2026470157594427</v>
      </c>
      <c r="O402" s="2">
        <v>52.172639366195796</v>
      </c>
      <c r="P402" s="2">
        <v>1423.2615270651877</v>
      </c>
      <c r="Q402" s="2">
        <v>1.1936405599701165</v>
      </c>
      <c r="R402" s="2">
        <v>51.214088507113431</v>
      </c>
      <c r="S402" s="2">
        <v>1435.6768669117985</v>
      </c>
      <c r="T402" s="2">
        <v>-9.0064557893261288E-3</v>
      </c>
      <c r="U402" s="2">
        <v>-0.95855085908236504</v>
      </c>
      <c r="V402" s="2">
        <v>12.415339846610777</v>
      </c>
    </row>
    <row r="403" spans="1:22" ht="15">
      <c r="A403" s="2">
        <v>402</v>
      </c>
      <c r="B403" s="2" t="s">
        <v>78</v>
      </c>
      <c r="C403" s="2" t="s">
        <v>13</v>
      </c>
      <c r="D403" s="2">
        <v>1350.4490207531489</v>
      </c>
      <c r="E403" s="2">
        <v>1213.9437684090808</v>
      </c>
      <c r="F403" s="2">
        <v>414.34172773733735</v>
      </c>
      <c r="G403" s="2">
        <v>147.99323786981404</v>
      </c>
      <c r="H403" s="2">
        <v>8.2888375972397625</v>
      </c>
      <c r="I403" s="2">
        <v>0.8428024029219523</v>
      </c>
      <c r="J403" s="2">
        <v>9</v>
      </c>
      <c r="K403" s="2">
        <v>178.03685736369417</v>
      </c>
      <c r="L403" s="2">
        <v>45</v>
      </c>
      <c r="M403" s="2">
        <v>25</v>
      </c>
      <c r="N403" s="2">
        <v>1.2433756648851717</v>
      </c>
      <c r="O403" s="2">
        <v>52.251966261601488</v>
      </c>
      <c r="P403" s="2">
        <v>1350.4490207531489</v>
      </c>
      <c r="Q403" s="2">
        <v>1.2612966087289836</v>
      </c>
      <c r="R403" s="2">
        <v>52.845639391016825</v>
      </c>
      <c r="S403" s="2">
        <v>1356.5394665851795</v>
      </c>
      <c r="T403" s="2">
        <v>1.7920943843811932E-2</v>
      </c>
      <c r="U403" s="2">
        <v>0.59367312941533612</v>
      </c>
      <c r="V403" s="2">
        <v>6.0904458320305821</v>
      </c>
    </row>
    <row r="404" spans="1:22" ht="15">
      <c r="A404" s="2">
        <v>403</v>
      </c>
      <c r="B404" s="2" t="s">
        <v>78</v>
      </c>
      <c r="C404" s="2" t="s">
        <v>13</v>
      </c>
      <c r="D404" s="2">
        <v>1392.6192538579926</v>
      </c>
      <c r="E404" s="2">
        <v>1245.3987411805429</v>
      </c>
      <c r="F404" s="2">
        <v>468.83552335202694</v>
      </c>
      <c r="G404" s="2">
        <v>326.2092011119239</v>
      </c>
      <c r="H404" s="2">
        <v>23.795808014459908</v>
      </c>
      <c r="I404" s="2">
        <v>0.83622788634849721</v>
      </c>
      <c r="J404" s="2">
        <v>9</v>
      </c>
      <c r="K404" s="2">
        <v>185.03983803573158</v>
      </c>
      <c r="L404" s="2">
        <v>35</v>
      </c>
      <c r="M404" s="2">
        <v>25</v>
      </c>
      <c r="N404" s="2">
        <v>1.2209279814760847</v>
      </c>
      <c r="O404" s="2">
        <v>52.293156147380621</v>
      </c>
      <c r="P404" s="2">
        <v>1392.6192538579926</v>
      </c>
      <c r="Q404" s="2">
        <v>1.2351472452604508</v>
      </c>
      <c r="R404" s="2">
        <v>54.138560943537222</v>
      </c>
      <c r="S404" s="2">
        <v>1373.9027980577862</v>
      </c>
      <c r="T404" s="2">
        <v>1.421926378436611E-2</v>
      </c>
      <c r="U404" s="2">
        <v>1.8454047961566005</v>
      </c>
      <c r="V404" s="2">
        <v>-18.716455800206404</v>
      </c>
    </row>
    <row r="405" spans="1:22" ht="15">
      <c r="A405" s="2">
        <v>404</v>
      </c>
      <c r="B405" s="2" t="s">
        <v>78</v>
      </c>
      <c r="C405" s="2" t="s">
        <v>13</v>
      </c>
      <c r="D405" s="2">
        <v>1445.2263077138923</v>
      </c>
      <c r="E405" s="2">
        <v>1056.1165376100689</v>
      </c>
      <c r="F405" s="2">
        <v>739.66743526980281</v>
      </c>
      <c r="G405" s="2">
        <v>131.32478603627533</v>
      </c>
      <c r="H405" s="2">
        <v>25.46747414721176</v>
      </c>
      <c r="I405" s="2">
        <v>0.81099485518410808</v>
      </c>
      <c r="J405" s="2">
        <v>9</v>
      </c>
      <c r="K405" s="2">
        <v>198.00458638007623</v>
      </c>
      <c r="L405" s="2">
        <v>35</v>
      </c>
      <c r="M405" s="2">
        <v>25</v>
      </c>
      <c r="N405" s="2">
        <v>1.1704223841387535</v>
      </c>
      <c r="O405" s="2">
        <v>52.275484433234006</v>
      </c>
      <c r="P405" s="2">
        <v>1445.2263077138923</v>
      </c>
      <c r="Q405" s="2">
        <v>1.1703617428117135</v>
      </c>
      <c r="R405" s="2">
        <v>52.544635767027621</v>
      </c>
      <c r="S405" s="2">
        <v>1433.6188072149218</v>
      </c>
      <c r="T405" s="2">
        <v>-6.0641327040089621E-5</v>
      </c>
      <c r="U405" s="2">
        <v>0.26915133379361578</v>
      </c>
      <c r="V405" s="2">
        <v>-11.607500498970467</v>
      </c>
    </row>
    <row r="406" spans="1:22" ht="15">
      <c r="A406" s="2">
        <v>405</v>
      </c>
      <c r="B406" s="2" t="s">
        <v>78</v>
      </c>
      <c r="C406" s="2" t="s">
        <v>13</v>
      </c>
      <c r="D406" s="2">
        <v>1358.4089614916593</v>
      </c>
      <c r="E406" s="2">
        <v>652.16076708165929</v>
      </c>
      <c r="F406" s="2">
        <v>721.85894232243299</v>
      </c>
      <c r="G406" s="2">
        <v>205.2477730740793</v>
      </c>
      <c r="H406" s="2">
        <v>17.547395005822182</v>
      </c>
      <c r="I406" s="2">
        <v>0.81184496863046662</v>
      </c>
      <c r="J406" s="2">
        <v>9</v>
      </c>
      <c r="K406" s="2">
        <v>185.91521150798766</v>
      </c>
      <c r="L406" s="2">
        <v>45</v>
      </c>
      <c r="M406" s="2">
        <v>25</v>
      </c>
      <c r="N406" s="2">
        <v>1.1550467758386298</v>
      </c>
      <c r="O406" s="2">
        <v>52.221247282205404</v>
      </c>
      <c r="P406" s="2">
        <v>1358.4089614916593</v>
      </c>
      <c r="Q406" s="2">
        <v>1.1479251960577896</v>
      </c>
      <c r="R406" s="2">
        <v>50.62377363399181</v>
      </c>
      <c r="S406" s="2">
        <v>1367.3569818293101</v>
      </c>
      <c r="T406" s="2">
        <v>-7.1215797808401593E-3</v>
      </c>
      <c r="U406" s="2">
        <v>-1.5974736482135938</v>
      </c>
      <c r="V406" s="2">
        <v>8.9480203376508598</v>
      </c>
    </row>
    <row r="407" spans="1:22" ht="15">
      <c r="A407" s="2">
        <v>406</v>
      </c>
      <c r="B407" s="2" t="s">
        <v>78</v>
      </c>
      <c r="C407" s="2" t="s">
        <v>13</v>
      </c>
      <c r="D407" s="2">
        <v>1454.8698117141612</v>
      </c>
      <c r="E407" s="2">
        <v>637.93274366762489</v>
      </c>
      <c r="F407" s="2">
        <v>629.13694502785802</v>
      </c>
      <c r="G407" s="2">
        <v>153.65605281665921</v>
      </c>
      <c r="H407" s="2">
        <v>21.229184573981911</v>
      </c>
      <c r="I407" s="2">
        <v>0.81432978113647558</v>
      </c>
      <c r="J407" s="2">
        <v>9</v>
      </c>
      <c r="K407" s="2">
        <v>198.50950443685392</v>
      </c>
      <c r="L407" s="2">
        <v>50</v>
      </c>
      <c r="M407" s="2">
        <v>25</v>
      </c>
      <c r="N407" s="2">
        <v>1.1619895558722464</v>
      </c>
      <c r="O407" s="2">
        <v>52.196526661245272</v>
      </c>
      <c r="P407" s="2">
        <v>1454.8698117141612</v>
      </c>
      <c r="Q407" s="2">
        <v>1.1517568934251083</v>
      </c>
      <c r="R407" s="2">
        <v>50.723462643152445</v>
      </c>
      <c r="S407" s="2">
        <v>1450.4414862746266</v>
      </c>
      <c r="T407" s="2">
        <v>-1.0232662447138052E-2</v>
      </c>
      <c r="U407" s="2">
        <v>-1.4730640180928276</v>
      </c>
      <c r="V407" s="2">
        <v>-4.4283254395345466</v>
      </c>
    </row>
    <row r="408" spans="1:22" ht="15">
      <c r="A408" s="2">
        <v>407</v>
      </c>
      <c r="B408" s="2" t="s">
        <v>78</v>
      </c>
      <c r="C408" s="2" t="s">
        <v>13</v>
      </c>
      <c r="D408" s="2">
        <v>1460.7093778671697</v>
      </c>
      <c r="E408" s="2">
        <v>1087.9530349862762</v>
      </c>
      <c r="F408" s="2">
        <v>398.61828535795212</v>
      </c>
      <c r="G408" s="2">
        <v>108.66414649179205</v>
      </c>
      <c r="H408" s="2">
        <v>29.7761494172737</v>
      </c>
      <c r="I408" s="2">
        <v>0.83550726379966367</v>
      </c>
      <c r="J408" s="2">
        <v>9</v>
      </c>
      <c r="K408" s="2">
        <v>194.2544954631984</v>
      </c>
      <c r="L408" s="2">
        <v>45</v>
      </c>
      <c r="M408" s="2">
        <v>25</v>
      </c>
      <c r="N408" s="2">
        <v>1.2228196143807673</v>
      </c>
      <c r="O408" s="2">
        <v>52.223737090166402</v>
      </c>
      <c r="P408" s="2">
        <v>1460.7093778671697</v>
      </c>
      <c r="Q408" s="2">
        <v>1.2096701079006307</v>
      </c>
      <c r="R408" s="2">
        <v>52.987142876765596</v>
      </c>
      <c r="S408" s="2">
        <v>1445.9345521361397</v>
      </c>
      <c r="T408" s="2">
        <v>-1.3149506480136575E-2</v>
      </c>
      <c r="U408" s="2">
        <v>0.76340578659919345</v>
      </c>
      <c r="V408" s="2">
        <v>-14.774825731029978</v>
      </c>
    </row>
    <row r="409" spans="1:22" ht="15">
      <c r="A409" s="2">
        <v>408</v>
      </c>
      <c r="B409" s="2" t="s">
        <v>78</v>
      </c>
      <c r="C409" s="2" t="s">
        <v>13</v>
      </c>
      <c r="D409" s="2">
        <v>1480.2102292771451</v>
      </c>
      <c r="E409" s="2">
        <v>891.62352224811912</v>
      </c>
      <c r="F409" s="2">
        <v>748.03952788934112</v>
      </c>
      <c r="G409" s="2">
        <v>104.74199666175991</v>
      </c>
      <c r="H409" s="2">
        <v>28.328916003461927</v>
      </c>
      <c r="I409" s="2">
        <v>0.83487686594016852</v>
      </c>
      <c r="J409" s="2">
        <v>9</v>
      </c>
      <c r="K409" s="2">
        <v>196.99647931651123</v>
      </c>
      <c r="L409" s="2">
        <v>40</v>
      </c>
      <c r="M409" s="2">
        <v>25</v>
      </c>
      <c r="N409" s="2">
        <v>1.2018303791621958</v>
      </c>
      <c r="O409" s="2">
        <v>52.246996356922168</v>
      </c>
      <c r="P409" s="2">
        <v>1480.2102292771451</v>
      </c>
      <c r="Q409" s="2">
        <v>1.1876363269656509</v>
      </c>
      <c r="R409" s="2">
        <v>51.284951303218726</v>
      </c>
      <c r="S409" s="2">
        <v>1455.1105789222881</v>
      </c>
      <c r="T409" s="2">
        <v>-1.4194052196544904E-2</v>
      </c>
      <c r="U409" s="2">
        <v>-0.96204505370344151</v>
      </c>
      <c r="V409" s="2">
        <v>-25.099650354856976</v>
      </c>
    </row>
    <row r="410" spans="1:22" ht="15">
      <c r="A410" s="2">
        <v>409</v>
      </c>
      <c r="B410" s="2" t="s">
        <v>78</v>
      </c>
      <c r="C410" s="2" t="s">
        <v>13</v>
      </c>
      <c r="D410" s="2">
        <v>1428.0183702707291</v>
      </c>
      <c r="E410" s="2">
        <v>657.13535196846351</v>
      </c>
      <c r="F410" s="2">
        <v>703.95660866051912</v>
      </c>
      <c r="G410" s="2">
        <v>154.03614983195439</v>
      </c>
      <c r="H410" s="2">
        <v>15.155810384079814</v>
      </c>
      <c r="I410" s="2">
        <v>0.82332335953833535</v>
      </c>
      <c r="J410" s="2">
        <v>9</v>
      </c>
      <c r="K410" s="2">
        <v>192.71736428908028</v>
      </c>
      <c r="L410" s="2">
        <v>50</v>
      </c>
      <c r="M410" s="2">
        <v>25</v>
      </c>
      <c r="N410" s="2">
        <v>1.2068788059135798</v>
      </c>
      <c r="O410" s="2">
        <v>52.211246350623618</v>
      </c>
      <c r="P410" s="2">
        <v>1428.0183702707291</v>
      </c>
      <c r="Q410" s="2">
        <v>1.1962290793647736</v>
      </c>
      <c r="R410" s="2">
        <v>51.877347003138951</v>
      </c>
      <c r="S410" s="2">
        <v>1428.7537226557472</v>
      </c>
      <c r="T410" s="2">
        <v>-1.0649726548806138E-2</v>
      </c>
      <c r="U410" s="2">
        <v>-0.33389934748466743</v>
      </c>
      <c r="V410" s="2">
        <v>0.73535238501813183</v>
      </c>
    </row>
    <row r="411" spans="1:22" ht="15">
      <c r="A411" s="2">
        <v>410</v>
      </c>
      <c r="B411" s="2" t="s">
        <v>78</v>
      </c>
      <c r="C411" s="2" t="s">
        <v>13</v>
      </c>
      <c r="D411" s="2">
        <v>1411.6832426399924</v>
      </c>
      <c r="E411" s="2">
        <v>1184.417293430306</v>
      </c>
      <c r="F411" s="2">
        <v>564.6407769061625</v>
      </c>
      <c r="G411" s="2">
        <v>226.00432454608381</v>
      </c>
      <c r="H411" s="2">
        <v>21.845221575815231</v>
      </c>
      <c r="I411" s="2">
        <v>0.84929947942961015</v>
      </c>
      <c r="J411" s="2">
        <v>9</v>
      </c>
      <c r="K411" s="2">
        <v>184.68596463995107</v>
      </c>
      <c r="L411" s="2">
        <v>35</v>
      </c>
      <c r="M411" s="2">
        <v>25</v>
      </c>
      <c r="N411" s="2">
        <v>1.1748638838916148</v>
      </c>
      <c r="O411" s="2">
        <v>52.282961603922061</v>
      </c>
      <c r="P411" s="2">
        <v>1411.6832426399924</v>
      </c>
      <c r="Q411" s="2">
        <v>1.1763513097912601</v>
      </c>
      <c r="R411" s="2">
        <v>52.140439721561975</v>
      </c>
      <c r="S411" s="2">
        <v>1401.5914529949039</v>
      </c>
      <c r="T411" s="2">
        <v>1.4874258996453449E-3</v>
      </c>
      <c r="U411" s="2">
        <v>-0.14252188236008578</v>
      </c>
      <c r="V411" s="2">
        <v>-10.091789645088511</v>
      </c>
    </row>
    <row r="412" spans="1:22" ht="15">
      <c r="A412" s="2">
        <v>411</v>
      </c>
      <c r="B412" s="2" t="s">
        <v>78</v>
      </c>
      <c r="C412" s="2" t="s">
        <v>13</v>
      </c>
      <c r="D412" s="2">
        <v>1494.9549526674673</v>
      </c>
      <c r="E412" s="2">
        <v>721.3290516869165</v>
      </c>
      <c r="F412" s="2">
        <v>591.97129048407078</v>
      </c>
      <c r="G412" s="2">
        <v>177.95011690584943</v>
      </c>
      <c r="H412" s="2">
        <v>28.007653796114028</v>
      </c>
      <c r="I412" s="2">
        <v>0.85086332033155487</v>
      </c>
      <c r="J412" s="2">
        <v>9</v>
      </c>
      <c r="K412" s="2">
        <v>195.22066809415929</v>
      </c>
      <c r="L412" s="2">
        <v>50</v>
      </c>
      <c r="M412" s="2">
        <v>25</v>
      </c>
      <c r="N412" s="2">
        <v>1.2438319001251219</v>
      </c>
      <c r="O412" s="2">
        <v>52.207523227831558</v>
      </c>
      <c r="P412" s="2">
        <v>1494.9549526674673</v>
      </c>
      <c r="Q412" s="2">
        <v>1.2421349913794397</v>
      </c>
      <c r="R412" s="2">
        <v>52.713859125019646</v>
      </c>
      <c r="S412" s="2">
        <v>1493.8827278861513</v>
      </c>
      <c r="T412" s="2">
        <v>-1.6969087456821796E-3</v>
      </c>
      <c r="U412" s="2">
        <v>0.50633589718808736</v>
      </c>
      <c r="V412" s="2">
        <v>-1.0722247813159811</v>
      </c>
    </row>
    <row r="413" spans="1:22" ht="15">
      <c r="A413" s="2">
        <v>412</v>
      </c>
      <c r="B413" s="2" t="s">
        <v>78</v>
      </c>
      <c r="C413" s="2" t="s">
        <v>13</v>
      </c>
      <c r="D413" s="2">
        <v>1384.8676018766128</v>
      </c>
      <c r="E413" s="2">
        <v>731.83674733154476</v>
      </c>
      <c r="F413" s="2">
        <v>667.10536731407046</v>
      </c>
      <c r="G413" s="2">
        <v>271.22227642219514</v>
      </c>
      <c r="H413" s="2">
        <v>14.043720986228436</v>
      </c>
      <c r="I413" s="2">
        <v>0.82776212774217128</v>
      </c>
      <c r="J413" s="2">
        <v>9</v>
      </c>
      <c r="K413" s="2">
        <v>185.89178319380486</v>
      </c>
      <c r="L413" s="2">
        <v>45</v>
      </c>
      <c r="M413" s="2">
        <v>25</v>
      </c>
      <c r="N413" s="2">
        <v>1.1998199746579781</v>
      </c>
      <c r="O413" s="2">
        <v>52.235420382677248</v>
      </c>
      <c r="P413" s="2">
        <v>1384.8676018766128</v>
      </c>
      <c r="Q413" s="2">
        <v>1.1977852390474699</v>
      </c>
      <c r="R413" s="2">
        <v>51.127509899361826</v>
      </c>
      <c r="S413" s="2">
        <v>1387.0519341593408</v>
      </c>
      <c r="T413" s="2">
        <v>-2.0347356105081538E-3</v>
      </c>
      <c r="U413" s="2">
        <v>-1.1079104833154219</v>
      </c>
      <c r="V413" s="2">
        <v>2.1843322827280645</v>
      </c>
    </row>
    <row r="414" spans="1:22" ht="15">
      <c r="A414" s="2">
        <v>413</v>
      </c>
      <c r="B414" s="2" t="s">
        <v>78</v>
      </c>
      <c r="C414" s="2" t="s">
        <v>13</v>
      </c>
      <c r="D414" s="2">
        <v>1483.8094070088118</v>
      </c>
      <c r="E414" s="2">
        <v>1200.6499999086373</v>
      </c>
      <c r="F414" s="2">
        <v>500.48745032399893</v>
      </c>
      <c r="G414" s="2">
        <v>216.04858965845779</v>
      </c>
      <c r="H414" s="2">
        <v>15.719204913824797</v>
      </c>
      <c r="I414" s="2">
        <v>0.79239488970721139</v>
      </c>
      <c r="J414" s="2">
        <v>10</v>
      </c>
      <c r="K414" s="2">
        <v>187.25630696041932</v>
      </c>
      <c r="L414" s="2">
        <v>35</v>
      </c>
      <c r="M414" s="2">
        <v>25</v>
      </c>
      <c r="N414" s="2">
        <v>1.2107245278701408</v>
      </c>
      <c r="O414" s="2">
        <v>52.30715248141113</v>
      </c>
      <c r="P414" s="2">
        <v>1483.8094070088118</v>
      </c>
      <c r="Q414" s="2">
        <v>1.2125389199690841</v>
      </c>
      <c r="R414" s="2">
        <v>53.413748149022815</v>
      </c>
      <c r="S414" s="2">
        <v>1476.2164999786521</v>
      </c>
      <c r="T414" s="2">
        <v>1.814392098943296E-3</v>
      </c>
      <c r="U414" s="2">
        <v>1.1065956676116855</v>
      </c>
      <c r="V414" s="2">
        <v>-7.5929070301597221</v>
      </c>
    </row>
    <row r="415" spans="1:22" ht="15">
      <c r="A415" s="2">
        <v>414</v>
      </c>
      <c r="B415" s="2" t="s">
        <v>78</v>
      </c>
      <c r="C415" s="2" t="s">
        <v>13</v>
      </c>
      <c r="D415" s="2">
        <v>1491.3172438857146</v>
      </c>
      <c r="E415" s="2">
        <v>690.08594814222306</v>
      </c>
      <c r="F415" s="2">
        <v>360.01576380804181</v>
      </c>
      <c r="G415" s="2">
        <v>319.79985620826483</v>
      </c>
      <c r="H415" s="2">
        <v>22.491140859667212</v>
      </c>
      <c r="I415" s="2">
        <v>0.80728660489898174</v>
      </c>
      <c r="J415" s="2">
        <v>10</v>
      </c>
      <c r="K415" s="2">
        <v>184.73206849162668</v>
      </c>
      <c r="L415" s="2">
        <v>50</v>
      </c>
      <c r="M415" s="2">
        <v>25</v>
      </c>
      <c r="N415" s="2">
        <v>1.2342014073196226</v>
      </c>
      <c r="O415" s="2">
        <v>52.212335446683468</v>
      </c>
      <c r="P415" s="2">
        <v>1491.3172438857146</v>
      </c>
      <c r="Q415" s="2">
        <v>1.2170468624443944</v>
      </c>
      <c r="R415" s="2">
        <v>52.142330298049579</v>
      </c>
      <c r="S415" s="2">
        <v>1488.2113843412251</v>
      </c>
      <c r="T415" s="2">
        <v>-1.7154544875228162E-2</v>
      </c>
      <c r="U415" s="2">
        <v>-7.0005148633889291E-2</v>
      </c>
      <c r="V415" s="2">
        <v>-3.1058595444894763</v>
      </c>
    </row>
    <row r="416" spans="1:22" ht="15">
      <c r="A416" s="2">
        <v>415</v>
      </c>
      <c r="B416" s="2" t="s">
        <v>79</v>
      </c>
      <c r="C416" s="2" t="s">
        <v>13</v>
      </c>
      <c r="D416" s="2">
        <v>1457.6258447254077</v>
      </c>
      <c r="E416" s="2">
        <v>793.27427215175703</v>
      </c>
      <c r="F416" s="2">
        <v>541.56774505972862</v>
      </c>
      <c r="G416" s="2">
        <v>202.04545870190486</v>
      </c>
      <c r="H416" s="2">
        <v>10.3023247634992</v>
      </c>
      <c r="I416" s="2">
        <v>0.83556509652873501</v>
      </c>
      <c r="J416" s="2">
        <v>9</v>
      </c>
      <c r="K416" s="2">
        <v>193.83101073100201</v>
      </c>
      <c r="L416" s="2">
        <v>50</v>
      </c>
      <c r="M416" s="2">
        <v>25</v>
      </c>
      <c r="N416" s="2">
        <v>1.2018124168398763</v>
      </c>
      <c r="O416" s="2">
        <v>52.214639179681789</v>
      </c>
      <c r="P416" s="2">
        <v>1457.6258447254077</v>
      </c>
      <c r="Q416" s="2">
        <v>1.2039242221397572</v>
      </c>
      <c r="R416" s="2">
        <v>50.898694536975832</v>
      </c>
      <c r="S416" s="2">
        <v>1471.5044064656718</v>
      </c>
      <c r="T416" s="2">
        <v>2.1118052998809755E-3</v>
      </c>
      <c r="U416" s="2">
        <v>-1.3159446427059578</v>
      </c>
      <c r="V416" s="2">
        <v>13.878561740264104</v>
      </c>
    </row>
    <row r="417" spans="1:22" ht="15">
      <c r="A417" s="2">
        <v>416</v>
      </c>
      <c r="B417" s="2" t="s">
        <v>79</v>
      </c>
      <c r="C417" s="2" t="s">
        <v>13</v>
      </c>
      <c r="D417" s="2">
        <v>1444.3883759784512</v>
      </c>
      <c r="E417" s="2">
        <v>803.38815227150917</v>
      </c>
      <c r="F417" s="2">
        <v>422.37164070829749</v>
      </c>
      <c r="G417" s="2">
        <v>142.29823001194745</v>
      </c>
      <c r="H417" s="2">
        <v>9.7888314439915121</v>
      </c>
      <c r="I417" s="2">
        <v>0.83407710800878709</v>
      </c>
      <c r="J417" s="2">
        <v>9</v>
      </c>
      <c r="K417" s="2">
        <v>192.41338215608749</v>
      </c>
      <c r="L417" s="2">
        <v>55</v>
      </c>
      <c r="M417" s="2">
        <v>25</v>
      </c>
      <c r="N417" s="2">
        <v>1.1714592173554426</v>
      </c>
      <c r="O417" s="2">
        <v>52.188314447234987</v>
      </c>
      <c r="P417" s="2">
        <v>1444.3883759784512</v>
      </c>
      <c r="Q417" s="2">
        <v>1.1751691482849389</v>
      </c>
      <c r="R417" s="2">
        <v>50.938535039003625</v>
      </c>
      <c r="S417" s="2">
        <v>1468.5934534064668</v>
      </c>
      <c r="T417" s="2">
        <v>3.7099309294963412E-3</v>
      </c>
      <c r="U417" s="2">
        <v>-1.2497794082313618</v>
      </c>
      <c r="V417" s="2">
        <v>24.205077428015557</v>
      </c>
    </row>
    <row r="418" spans="1:22" ht="15">
      <c r="A418" s="2">
        <v>417</v>
      </c>
      <c r="B418" s="2" t="s">
        <v>79</v>
      </c>
      <c r="C418" s="2" t="s">
        <v>13</v>
      </c>
      <c r="D418" s="2">
        <v>1407.1402064524591</v>
      </c>
      <c r="E418" s="2">
        <v>979.40706008812413</v>
      </c>
      <c r="F418" s="2">
        <v>651.62299517542124</v>
      </c>
      <c r="G418" s="2">
        <v>274.04472323367372</v>
      </c>
      <c r="H418" s="2">
        <v>16.972262108698487</v>
      </c>
      <c r="I418" s="2">
        <v>0.83384538057493052</v>
      </c>
      <c r="J418" s="2">
        <v>9</v>
      </c>
      <c r="K418" s="2">
        <v>187.50348142511689</v>
      </c>
      <c r="L418" s="2">
        <v>40</v>
      </c>
      <c r="M418" s="2">
        <v>25</v>
      </c>
      <c r="N418" s="2">
        <v>1.239846662849865</v>
      </c>
      <c r="O418" s="2">
        <v>52.272048784837175</v>
      </c>
      <c r="P418" s="2">
        <v>1407.1402064524591</v>
      </c>
      <c r="Q418" s="2">
        <v>1.2468002778198399</v>
      </c>
      <c r="R418" s="2">
        <v>52.828448808252084</v>
      </c>
      <c r="S418" s="2">
        <v>1405.4203860919024</v>
      </c>
      <c r="T418" s="2">
        <v>6.9536149699749306E-3</v>
      </c>
      <c r="U418" s="2">
        <v>0.55640002341490913</v>
      </c>
      <c r="V418" s="2">
        <v>-1.719820360556696</v>
      </c>
    </row>
    <row r="419" spans="1:22" ht="15">
      <c r="A419" s="2">
        <v>418</v>
      </c>
      <c r="B419" s="2" t="s">
        <v>80</v>
      </c>
      <c r="C419" s="2" t="s">
        <v>13</v>
      </c>
      <c r="D419" s="2">
        <v>1464.7526861750521</v>
      </c>
      <c r="E419" s="2">
        <v>1034.9181394325569</v>
      </c>
      <c r="F419" s="2">
        <v>731.22040564194322</v>
      </c>
      <c r="G419" s="2">
        <v>198.8302154187113</v>
      </c>
      <c r="H419" s="2">
        <v>23.253640480805188</v>
      </c>
      <c r="I419" s="2">
        <v>0.79991075164172798</v>
      </c>
      <c r="J419" s="2">
        <v>10</v>
      </c>
      <c r="K419" s="2">
        <v>183.11451410908151</v>
      </c>
      <c r="L419" s="2">
        <v>30</v>
      </c>
      <c r="M419" s="2">
        <v>25</v>
      </c>
      <c r="N419" s="2">
        <v>1.1347780790790267</v>
      </c>
      <c r="O419" s="2">
        <v>52.315430837755443</v>
      </c>
      <c r="P419" s="2">
        <v>1464.7526861750521</v>
      </c>
      <c r="Q419" s="2">
        <v>1.1341629050005613</v>
      </c>
      <c r="R419" s="2">
        <v>51.67530694672903</v>
      </c>
      <c r="S419" s="2">
        <v>1442.0067229640842</v>
      </c>
      <c r="T419" s="2">
        <v>-6.1517407846545247E-4</v>
      </c>
      <c r="U419" s="2">
        <v>-0.64012389102641265</v>
      </c>
      <c r="V419" s="2">
        <v>-22.74596321096783</v>
      </c>
    </row>
    <row r="420" spans="1:22" ht="15">
      <c r="A420" s="2">
        <v>419</v>
      </c>
      <c r="B420" s="2" t="s">
        <v>80</v>
      </c>
      <c r="C420" s="2" t="s">
        <v>13</v>
      </c>
      <c r="D420" s="2">
        <v>1389.7072449093685</v>
      </c>
      <c r="E420" s="2">
        <v>1194.7195039712824</v>
      </c>
      <c r="F420" s="2">
        <v>556.6412191838026</v>
      </c>
      <c r="G420" s="2">
        <v>311.11819260520861</v>
      </c>
      <c r="H420" s="2">
        <v>14.033559669740498</v>
      </c>
      <c r="I420" s="2">
        <v>0.84123608701629571</v>
      </c>
      <c r="J420" s="2">
        <v>9</v>
      </c>
      <c r="K420" s="2">
        <v>183.55360461141248</v>
      </c>
      <c r="L420" s="2">
        <v>35</v>
      </c>
      <c r="M420" s="2">
        <v>25</v>
      </c>
      <c r="N420" s="2">
        <v>1.1742903034572505</v>
      </c>
      <c r="O420" s="2">
        <v>52.296592024939926</v>
      </c>
      <c r="P420" s="2">
        <v>1389.7072449093685</v>
      </c>
      <c r="Q420" s="2">
        <v>1.188762002289224</v>
      </c>
      <c r="R420" s="2">
        <v>52.999924779098137</v>
      </c>
      <c r="S420" s="2">
        <v>1377.7634352716152</v>
      </c>
      <c r="T420" s="2">
        <v>1.4471698831973523E-2</v>
      </c>
      <c r="U420" s="2">
        <v>0.70333275415821106</v>
      </c>
      <c r="V420" s="2">
        <v>-11.943809637753247</v>
      </c>
    </row>
    <row r="421" spans="1:22" ht="15">
      <c r="A421" s="2">
        <v>420</v>
      </c>
      <c r="B421" s="2" t="s">
        <v>80</v>
      </c>
      <c r="C421" s="2" t="s">
        <v>13</v>
      </c>
      <c r="D421" s="2">
        <v>1468.0124516948126</v>
      </c>
      <c r="E421" s="2">
        <v>1083.459183620289</v>
      </c>
      <c r="F421" s="2">
        <v>442.95984236523509</v>
      </c>
      <c r="G421" s="2">
        <v>127.5251137977466</v>
      </c>
      <c r="H421" s="2">
        <v>12.317384488414973</v>
      </c>
      <c r="I421" s="2">
        <v>0.82693796379491691</v>
      </c>
      <c r="J421" s="2">
        <v>9</v>
      </c>
      <c r="K421" s="2">
        <v>197.24876807471057</v>
      </c>
      <c r="L421" s="2">
        <v>45</v>
      </c>
      <c r="M421" s="2">
        <v>25</v>
      </c>
      <c r="N421" s="2">
        <v>1.1804268012035664</v>
      </c>
      <c r="O421" s="2">
        <v>52.232891239995709</v>
      </c>
      <c r="P421" s="2">
        <v>1468.0124516948126</v>
      </c>
      <c r="Q421" s="2">
        <v>1.1855953660552605</v>
      </c>
      <c r="R421" s="2">
        <v>53.459694474560301</v>
      </c>
      <c r="S421" s="2">
        <v>1480.0557984778225</v>
      </c>
      <c r="T421" s="2">
        <v>5.1685648516941463E-3</v>
      </c>
      <c r="U421" s="2">
        <v>1.2268032345645921</v>
      </c>
      <c r="V421" s="2">
        <v>12.043346783009838</v>
      </c>
    </row>
    <row r="422" spans="1:22" ht="15">
      <c r="A422" s="2">
        <v>421</v>
      </c>
      <c r="B422" s="2" t="s">
        <v>78</v>
      </c>
      <c r="C422" s="2" t="s">
        <v>13</v>
      </c>
      <c r="D422" s="2">
        <v>1467.2074577305466</v>
      </c>
      <c r="E422" s="2">
        <v>1158.9529139804654</v>
      </c>
      <c r="F422" s="2">
        <v>413.13077937811613</v>
      </c>
      <c r="G422" s="2">
        <v>114.35721743153408</v>
      </c>
      <c r="H422" s="2">
        <v>8.5598751381039619</v>
      </c>
      <c r="I422" s="2">
        <v>0.8261382887721993</v>
      </c>
      <c r="J422" s="2">
        <v>9</v>
      </c>
      <c r="K422" s="2">
        <v>197.33143115934413</v>
      </c>
      <c r="L422" s="2">
        <v>45</v>
      </c>
      <c r="M422" s="2">
        <v>25</v>
      </c>
      <c r="N422" s="2">
        <v>1.1839228398130084</v>
      </c>
      <c r="O422" s="2">
        <v>52.237958299014949</v>
      </c>
      <c r="P422" s="2">
        <v>1467.2074577305466</v>
      </c>
      <c r="Q422" s="2">
        <v>1.1801590400067432</v>
      </c>
      <c r="R422" s="2">
        <v>52.297593138141814</v>
      </c>
      <c r="S422" s="2">
        <v>1478.5977178981909</v>
      </c>
      <c r="T422" s="2">
        <v>-3.7637998062651778E-3</v>
      </c>
      <c r="U422" s="2">
        <v>5.9634839126864847E-2</v>
      </c>
      <c r="V422" s="2">
        <v>11.390260167644328</v>
      </c>
    </row>
    <row r="423" spans="1:22" ht="15">
      <c r="A423" s="2">
        <v>422</v>
      </c>
      <c r="B423" s="2" t="s">
        <v>78</v>
      </c>
      <c r="C423" s="2" t="s">
        <v>13</v>
      </c>
      <c r="D423" s="2">
        <v>1491.6673014988191</v>
      </c>
      <c r="E423" s="2">
        <v>1035.2292440598831</v>
      </c>
      <c r="F423" s="2">
        <v>602.86951335147023</v>
      </c>
      <c r="G423" s="2">
        <v>155.7115907035768</v>
      </c>
      <c r="H423" s="2">
        <v>20.718892066273838</v>
      </c>
      <c r="I423" s="2">
        <v>0.82503216774668553</v>
      </c>
      <c r="J423" s="2">
        <v>10</v>
      </c>
      <c r="K423" s="2">
        <v>180.80110810380117</v>
      </c>
      <c r="L423" s="2">
        <v>35</v>
      </c>
      <c r="M423" s="2">
        <v>25</v>
      </c>
      <c r="N423" s="2">
        <v>1.165522975609518</v>
      </c>
      <c r="O423" s="2">
        <v>52.285777642810906</v>
      </c>
      <c r="P423" s="2">
        <v>1491.6673014988191</v>
      </c>
      <c r="Q423" s="2">
        <v>1.1723093378573255</v>
      </c>
      <c r="R423" s="2">
        <v>52.312452242005726</v>
      </c>
      <c r="S423" s="2">
        <v>1478.0276520072277</v>
      </c>
      <c r="T423" s="2">
        <v>6.786362247807487E-3</v>
      </c>
      <c r="U423" s="2">
        <v>2.6674599194819848E-2</v>
      </c>
      <c r="V423" s="2">
        <v>-13.639649491591399</v>
      </c>
    </row>
    <row r="424" spans="1:22" ht="15">
      <c r="A424" s="2">
        <v>423</v>
      </c>
      <c r="B424" s="2" t="s">
        <v>78</v>
      </c>
      <c r="C424" s="2" t="s">
        <v>13</v>
      </c>
      <c r="D424" s="2">
        <v>1438.7042339192703</v>
      </c>
      <c r="E424" s="2">
        <v>818.29023399623111</v>
      </c>
      <c r="F424" s="2">
        <v>568.57646703720093</v>
      </c>
      <c r="G424" s="2">
        <v>135.1389287575148</v>
      </c>
      <c r="H424" s="2">
        <v>24.227824407629669</v>
      </c>
      <c r="I424" s="2">
        <v>0.79832238010829315</v>
      </c>
      <c r="J424" s="2">
        <v>10</v>
      </c>
      <c r="K424" s="2">
        <v>180.21594656085037</v>
      </c>
      <c r="L424" s="2">
        <v>45</v>
      </c>
      <c r="M424" s="2">
        <v>25</v>
      </c>
      <c r="N424" s="2">
        <v>1.2511395394889555</v>
      </c>
      <c r="O424" s="2">
        <v>52.238687475361282</v>
      </c>
      <c r="P424" s="2">
        <v>1438.7042339192703</v>
      </c>
      <c r="Q424" s="2">
        <v>1.2449109900704691</v>
      </c>
      <c r="R424" s="2">
        <v>51.640596517425408</v>
      </c>
      <c r="S424" s="2">
        <v>1427.9178049975119</v>
      </c>
      <c r="T424" s="2">
        <v>-6.2285494184863843E-3</v>
      </c>
      <c r="U424" s="2">
        <v>-0.59809095793587375</v>
      </c>
      <c r="V424" s="2">
        <v>-10.786428921758443</v>
      </c>
    </row>
    <row r="425" spans="1:22" ht="15">
      <c r="A425" s="2">
        <v>424</v>
      </c>
      <c r="B425" s="2" t="s">
        <v>78</v>
      </c>
      <c r="C425" s="2" t="s">
        <v>13</v>
      </c>
      <c r="D425" s="2">
        <v>1350.0007481197827</v>
      </c>
      <c r="E425" s="2">
        <v>949.58853432908654</v>
      </c>
      <c r="F425" s="2">
        <v>447.5681877695024</v>
      </c>
      <c r="G425" s="2">
        <v>318.85888757649809</v>
      </c>
      <c r="H425" s="2">
        <v>21.099703205283731</v>
      </c>
      <c r="I425" s="2">
        <v>0.84304495097137988</v>
      </c>
      <c r="J425" s="2">
        <v>9</v>
      </c>
      <c r="K425" s="2">
        <v>177.92655415536979</v>
      </c>
      <c r="L425" s="2">
        <v>40</v>
      </c>
      <c r="M425" s="2">
        <v>25</v>
      </c>
      <c r="N425" s="2">
        <v>1.1475135087796002</v>
      </c>
      <c r="O425" s="2">
        <v>52.242569733938588</v>
      </c>
      <c r="P425" s="2">
        <v>1350.0007481197827</v>
      </c>
      <c r="Q425" s="2">
        <v>1.1441792602281298</v>
      </c>
      <c r="R425" s="2">
        <v>52.574551771818115</v>
      </c>
      <c r="S425" s="2">
        <v>1345.8184854572282</v>
      </c>
      <c r="T425" s="2">
        <v>-3.3342485514704645E-3</v>
      </c>
      <c r="U425" s="2">
        <v>0.33198203787952707</v>
      </c>
      <c r="V425" s="2">
        <v>-4.1822626625544217</v>
      </c>
    </row>
    <row r="426" spans="1:22" ht="15">
      <c r="A426" s="2">
        <v>425</v>
      </c>
      <c r="B426" s="2" t="s">
        <v>78</v>
      </c>
      <c r="C426" s="2" t="s">
        <v>13</v>
      </c>
      <c r="D426" s="2">
        <v>1454.1976494714618</v>
      </c>
      <c r="E426" s="2">
        <v>720.88561694836244</v>
      </c>
      <c r="F426" s="2">
        <v>371.53548020869493</v>
      </c>
      <c r="G426" s="2">
        <v>104.76347942138091</v>
      </c>
      <c r="H426" s="2">
        <v>29.084876319393516</v>
      </c>
      <c r="I426" s="2">
        <v>0.84392874420853337</v>
      </c>
      <c r="J426" s="2">
        <v>9</v>
      </c>
      <c r="K426" s="2">
        <v>191.45871937265673</v>
      </c>
      <c r="L426" s="2">
        <v>60</v>
      </c>
      <c r="M426" s="2">
        <v>25</v>
      </c>
      <c r="N426" s="2">
        <v>1.1867413860884395</v>
      </c>
      <c r="O426" s="2">
        <v>52.161671005102988</v>
      </c>
      <c r="P426" s="2">
        <v>1454.1976494714618</v>
      </c>
      <c r="Q426" s="2">
        <v>1.1837614717816949</v>
      </c>
      <c r="R426" s="2">
        <v>52.209765844667672</v>
      </c>
      <c r="S426" s="2">
        <v>1452.4612025958775</v>
      </c>
      <c r="T426" s="2">
        <v>-2.9799143067446021E-3</v>
      </c>
      <c r="U426" s="2">
        <v>4.8094839564683411E-2</v>
      </c>
      <c r="V426" s="2">
        <v>-1.7364468755843063</v>
      </c>
    </row>
    <row r="427" spans="1:22" ht="15">
      <c r="A427" s="2">
        <v>426</v>
      </c>
      <c r="B427" s="2" t="s">
        <v>78</v>
      </c>
      <c r="C427" s="2" t="s">
        <v>13</v>
      </c>
      <c r="D427" s="2">
        <v>1487.6323383883573</v>
      </c>
      <c r="E427" s="2">
        <v>831.68633098248392</v>
      </c>
      <c r="F427" s="2">
        <v>499.86018547788262</v>
      </c>
      <c r="G427" s="2">
        <v>154.78735106997192</v>
      </c>
      <c r="H427" s="2">
        <v>27.760992963332683</v>
      </c>
      <c r="I427" s="2">
        <v>0.8218365941615775</v>
      </c>
      <c r="J427" s="2">
        <v>10</v>
      </c>
      <c r="K427" s="2">
        <v>181.0131538260367</v>
      </c>
      <c r="L427" s="2">
        <v>45</v>
      </c>
      <c r="M427" s="2">
        <v>25</v>
      </c>
      <c r="N427" s="2">
        <v>1.2390858747955251</v>
      </c>
      <c r="O427" s="2">
        <v>52.232507342549631</v>
      </c>
      <c r="P427" s="2">
        <v>1487.6323383883573</v>
      </c>
      <c r="Q427" s="2">
        <v>1.226075241128489</v>
      </c>
      <c r="R427" s="2">
        <v>52.67821552287856</v>
      </c>
      <c r="S427" s="2">
        <v>1475.7964300359099</v>
      </c>
      <c r="T427" s="2">
        <v>-1.3010633667036142E-2</v>
      </c>
      <c r="U427" s="2">
        <v>0.44570818032892845</v>
      </c>
      <c r="V427" s="2">
        <v>-11.835908352447404</v>
      </c>
    </row>
    <row r="428" spans="1:22" ht="15">
      <c r="A428" s="2">
        <v>427</v>
      </c>
      <c r="B428" s="2" t="s">
        <v>78</v>
      </c>
      <c r="C428" s="2" t="s">
        <v>13</v>
      </c>
      <c r="D428" s="2">
        <v>1375.0693945912644</v>
      </c>
      <c r="E428" s="2">
        <v>684.24962150165811</v>
      </c>
      <c r="F428" s="2">
        <v>475.95337219536304</v>
      </c>
      <c r="G428" s="2">
        <v>224.55042238114402</v>
      </c>
      <c r="H428" s="2">
        <v>16.873125092126429</v>
      </c>
      <c r="I428" s="2">
        <v>0.85280103183118627</v>
      </c>
      <c r="J428" s="2">
        <v>9</v>
      </c>
      <c r="K428" s="2">
        <v>179.15725073625671</v>
      </c>
      <c r="L428" s="2">
        <v>55</v>
      </c>
      <c r="M428" s="2">
        <v>25</v>
      </c>
      <c r="N428" s="2">
        <v>1.2137793084278263</v>
      </c>
      <c r="O428" s="2">
        <v>52.19091767640198</v>
      </c>
      <c r="P428" s="2">
        <v>1375.0693945912644</v>
      </c>
      <c r="Q428" s="2">
        <v>1.2100082149053595</v>
      </c>
      <c r="R428" s="2">
        <v>52.522786718420733</v>
      </c>
      <c r="S428" s="2">
        <v>1380.002704397634</v>
      </c>
      <c r="T428" s="2">
        <v>-3.7710935224668507E-3</v>
      </c>
      <c r="U428" s="2">
        <v>0.33186904201875222</v>
      </c>
      <c r="V428" s="2">
        <v>4.933309806369607</v>
      </c>
    </row>
    <row r="429" spans="1:22" ht="15">
      <c r="A429" s="2">
        <v>428</v>
      </c>
      <c r="B429" s="2" t="s">
        <v>78</v>
      </c>
      <c r="C429" s="2" t="s">
        <v>13</v>
      </c>
      <c r="D429" s="2">
        <v>1474.8933820403181</v>
      </c>
      <c r="E429" s="2">
        <v>782.65371113084257</v>
      </c>
      <c r="F429" s="2">
        <v>455.82415265962481</v>
      </c>
      <c r="G429" s="2">
        <v>231.33309445809573</v>
      </c>
      <c r="H429" s="2">
        <v>10.470147240441293</v>
      </c>
      <c r="I429" s="2">
        <v>0.79963738027960063</v>
      </c>
      <c r="J429" s="2">
        <v>10</v>
      </c>
      <c r="K429" s="2">
        <v>184.44527712356418</v>
      </c>
      <c r="L429" s="2">
        <v>45</v>
      </c>
      <c r="M429" s="2">
        <v>25</v>
      </c>
      <c r="N429" s="2">
        <v>1.1521094518893413</v>
      </c>
      <c r="O429" s="2">
        <v>52.229644748516556</v>
      </c>
      <c r="P429" s="2">
        <v>1474.8933820403181</v>
      </c>
      <c r="Q429" s="2">
        <v>1.1625427773486758</v>
      </c>
      <c r="R429" s="2">
        <v>51.812582480238035</v>
      </c>
      <c r="S429" s="2">
        <v>1480.1381507471117</v>
      </c>
      <c r="T429" s="2">
        <v>1.0433325459334508E-2</v>
      </c>
      <c r="U429" s="2">
        <v>-0.41706226827852078</v>
      </c>
      <c r="V429" s="2">
        <v>5.2447687067935931</v>
      </c>
    </row>
    <row r="430" spans="1:22" ht="15">
      <c r="A430" s="2">
        <v>429</v>
      </c>
      <c r="B430" s="2" t="s">
        <v>78</v>
      </c>
      <c r="C430" s="2" t="s">
        <v>13</v>
      </c>
      <c r="D430" s="2">
        <v>1486.6082367952913</v>
      </c>
      <c r="E430" s="2">
        <v>646.63480547023937</v>
      </c>
      <c r="F430" s="2">
        <v>351.85817386955023</v>
      </c>
      <c r="G430" s="2">
        <v>249.5546263945289</v>
      </c>
      <c r="H430" s="2">
        <v>27.669438485056162</v>
      </c>
      <c r="I430" s="2">
        <v>0.81955219753319397</v>
      </c>
      <c r="J430" s="2">
        <v>10</v>
      </c>
      <c r="K430" s="2">
        <v>181.39274609596541</v>
      </c>
      <c r="L430" s="2">
        <v>55</v>
      </c>
      <c r="M430" s="2">
        <v>25</v>
      </c>
      <c r="N430" s="2">
        <v>1.2469352735228809</v>
      </c>
      <c r="O430" s="2">
        <v>52.191224247693469</v>
      </c>
      <c r="P430" s="2">
        <v>1486.6082367952913</v>
      </c>
      <c r="Q430" s="2">
        <v>1.2408666616836506</v>
      </c>
      <c r="R430" s="2">
        <v>51.524546326395622</v>
      </c>
      <c r="S430" s="2">
        <v>1483.7324072435297</v>
      </c>
      <c r="T430" s="2">
        <v>-6.0686118392303534E-3</v>
      </c>
      <c r="U430" s="2">
        <v>-0.66667792129784686</v>
      </c>
      <c r="V430" s="2">
        <v>-2.8758295517616261</v>
      </c>
    </row>
    <row r="431" spans="1:22" ht="15">
      <c r="A431" s="2">
        <v>430</v>
      </c>
      <c r="B431" s="2" t="s">
        <v>78</v>
      </c>
      <c r="C431" s="2" t="s">
        <v>13</v>
      </c>
      <c r="D431" s="2">
        <v>1485.205701563973</v>
      </c>
      <c r="E431" s="2">
        <v>841.82586155366153</v>
      </c>
      <c r="F431" s="2">
        <v>655.01340972259641</v>
      </c>
      <c r="G431" s="2">
        <v>167.65355870127678</v>
      </c>
      <c r="H431" s="2">
        <v>16.695652762893587</v>
      </c>
      <c r="I431" s="2">
        <v>0.81102752543520185</v>
      </c>
      <c r="J431" s="2">
        <v>10</v>
      </c>
      <c r="K431" s="2">
        <v>183.12642357816443</v>
      </c>
      <c r="L431" s="2">
        <v>40</v>
      </c>
      <c r="M431" s="2">
        <v>25</v>
      </c>
      <c r="N431" s="2">
        <v>1.1958416364691882</v>
      </c>
      <c r="O431" s="2">
        <v>52.26337338279361</v>
      </c>
      <c r="P431" s="2">
        <v>1485.205701563973</v>
      </c>
      <c r="Q431" s="2">
        <v>1.193638923699671</v>
      </c>
      <c r="R431" s="2">
        <v>52.263741982827227</v>
      </c>
      <c r="S431" s="2">
        <v>1490.287072451815</v>
      </c>
      <c r="T431" s="2">
        <v>-2.2027127695172233E-3</v>
      </c>
      <c r="U431" s="2">
        <v>3.6860003361738336E-4</v>
      </c>
      <c r="V431" s="2">
        <v>5.081370887842013</v>
      </c>
    </row>
    <row r="432" spans="1:22" ht="15">
      <c r="A432" s="2">
        <v>431</v>
      </c>
      <c r="B432" s="2" t="s">
        <v>78</v>
      </c>
      <c r="C432" s="2" t="s">
        <v>13</v>
      </c>
      <c r="D432" s="2">
        <v>1465.2222210774198</v>
      </c>
      <c r="E432" s="2">
        <v>612.77938197599724</v>
      </c>
      <c r="F432" s="2">
        <v>660.29401794075966</v>
      </c>
      <c r="G432" s="2">
        <v>232.90002006804571</v>
      </c>
      <c r="H432" s="2">
        <v>26.913026615045965</v>
      </c>
      <c r="I432" s="2">
        <v>0.79897242432227367</v>
      </c>
      <c r="J432" s="2">
        <v>10</v>
      </c>
      <c r="K432" s="2">
        <v>183.38833437465516</v>
      </c>
      <c r="L432" s="2">
        <v>45</v>
      </c>
      <c r="M432" s="2">
        <v>25</v>
      </c>
      <c r="N432" s="2">
        <v>1.2503681954571275</v>
      </c>
      <c r="O432" s="2">
        <v>52.235909895012362</v>
      </c>
      <c r="P432" s="2">
        <v>1465.2222210774198</v>
      </c>
      <c r="Q432" s="2">
        <v>1.2514470715059238</v>
      </c>
      <c r="R432" s="2">
        <v>51.222676482170783</v>
      </c>
      <c r="S432" s="2">
        <v>1463.0521653352134</v>
      </c>
      <c r="T432" s="2">
        <v>1.0788760487963067E-3</v>
      </c>
      <c r="U432" s="2">
        <v>-1.0132334128415792</v>
      </c>
      <c r="V432" s="2">
        <v>-2.1700557422063866</v>
      </c>
    </row>
    <row r="433" spans="1:22" ht="15">
      <c r="A433" s="2">
        <v>432</v>
      </c>
      <c r="B433" s="2" t="s">
        <v>78</v>
      </c>
      <c r="C433" s="2" t="s">
        <v>13</v>
      </c>
      <c r="D433" s="2">
        <v>1375.6487060221843</v>
      </c>
      <c r="E433" s="2">
        <v>1023.8076800480485</v>
      </c>
      <c r="F433" s="2">
        <v>431.27763709053397</v>
      </c>
      <c r="G433" s="2">
        <v>300.81581887323409</v>
      </c>
      <c r="H433" s="2">
        <v>8.8735727607272565</v>
      </c>
      <c r="I433" s="2">
        <v>0.85647787026129663</v>
      </c>
      <c r="J433" s="2">
        <v>9</v>
      </c>
      <c r="K433" s="2">
        <v>178.46328729784378</v>
      </c>
      <c r="L433" s="2">
        <v>45</v>
      </c>
      <c r="M433" s="2">
        <v>25</v>
      </c>
      <c r="N433" s="2">
        <v>1.2324926234674072</v>
      </c>
      <c r="O433" s="2">
        <v>52.248788884632638</v>
      </c>
      <c r="P433" s="2">
        <v>1375.6487060221843</v>
      </c>
      <c r="Q433" s="2">
        <v>1.2490260155317159</v>
      </c>
      <c r="R433" s="2">
        <v>53.255489608095715</v>
      </c>
      <c r="S433" s="2">
        <v>1372.6711491946294</v>
      </c>
      <c r="T433" s="2">
        <v>1.6533392064308705E-2</v>
      </c>
      <c r="U433" s="2">
        <v>1.0067007234630765</v>
      </c>
      <c r="V433" s="2">
        <v>-2.9775568275549631</v>
      </c>
    </row>
    <row r="434" spans="1:22" ht="15">
      <c r="A434" s="2">
        <v>433</v>
      </c>
      <c r="B434" s="2" t="s">
        <v>78</v>
      </c>
      <c r="C434" s="2" t="s">
        <v>13</v>
      </c>
      <c r="D434" s="2">
        <v>1429.4574801810086</v>
      </c>
      <c r="E434" s="2">
        <v>1022.9701199918054</v>
      </c>
      <c r="F434" s="2">
        <v>499.18371830135584</v>
      </c>
      <c r="G434" s="2">
        <v>156.9579709158279</v>
      </c>
      <c r="H434" s="2">
        <v>10.248898224905133</v>
      </c>
      <c r="I434" s="2">
        <v>0.8170814269711264</v>
      </c>
      <c r="J434" s="2">
        <v>9</v>
      </c>
      <c r="K434" s="2">
        <v>194.38528849905379</v>
      </c>
      <c r="L434" s="2">
        <v>45</v>
      </c>
      <c r="M434" s="2">
        <v>25</v>
      </c>
      <c r="N434" s="2">
        <v>1.1873187964106482</v>
      </c>
      <c r="O434" s="2">
        <v>52.23681550885091</v>
      </c>
      <c r="P434" s="2">
        <v>1429.4574801810086</v>
      </c>
      <c r="Q434" s="2">
        <v>1.1966286425509107</v>
      </c>
      <c r="R434" s="2">
        <v>53.222423912674216</v>
      </c>
      <c r="S434" s="2">
        <v>1429.8926449744781</v>
      </c>
      <c r="T434" s="2">
        <v>9.3098461402625343E-3</v>
      </c>
      <c r="U434" s="2">
        <v>0.98560840382330639</v>
      </c>
      <c r="V434" s="2">
        <v>0.43516479346953929</v>
      </c>
    </row>
    <row r="435" spans="1:22" ht="15">
      <c r="A435" s="2">
        <v>434</v>
      </c>
      <c r="B435" s="2" t="s">
        <v>78</v>
      </c>
      <c r="C435" s="2" t="s">
        <v>13</v>
      </c>
      <c r="D435" s="2">
        <v>1491.2653259583749</v>
      </c>
      <c r="E435" s="2">
        <v>609.1045928420499</v>
      </c>
      <c r="F435" s="2">
        <v>488.98128950968385</v>
      </c>
      <c r="G435" s="2">
        <v>283.34268477745354</v>
      </c>
      <c r="H435" s="2">
        <v>11.642864197958261</v>
      </c>
      <c r="I435" s="2">
        <v>0.80184464233461772</v>
      </c>
      <c r="J435" s="2">
        <v>10</v>
      </c>
      <c r="K435" s="2">
        <v>185.97933405359777</v>
      </c>
      <c r="L435" s="2">
        <v>50</v>
      </c>
      <c r="M435" s="2">
        <v>25</v>
      </c>
      <c r="N435" s="2">
        <v>1.2011186180398372</v>
      </c>
      <c r="O435" s="2">
        <v>52.214332499255129</v>
      </c>
      <c r="P435" s="2">
        <v>1491.2653259583749</v>
      </c>
      <c r="Q435" s="2">
        <v>1.1922710941777879</v>
      </c>
      <c r="R435" s="2">
        <v>50.683349576630647</v>
      </c>
      <c r="S435" s="2">
        <v>1512.3107478134361</v>
      </c>
      <c r="T435" s="2">
        <v>-8.8475238620493446E-3</v>
      </c>
      <c r="U435" s="2">
        <v>-1.5309829226244815</v>
      </c>
      <c r="V435" s="2">
        <v>21.04542185506125</v>
      </c>
    </row>
    <row r="436" spans="1:22" ht="15">
      <c r="A436" s="2">
        <v>435</v>
      </c>
      <c r="B436" s="2" t="s">
        <v>79</v>
      </c>
      <c r="C436" s="2" t="s">
        <v>13</v>
      </c>
      <c r="D436" s="2">
        <v>1356.6290749004111</v>
      </c>
      <c r="E436" s="2">
        <v>1234.0048115351237</v>
      </c>
      <c r="F436" s="2">
        <v>603.76288257539272</v>
      </c>
      <c r="G436" s="2">
        <v>302.84124669386074</v>
      </c>
      <c r="H436" s="2">
        <v>19.89496807474643</v>
      </c>
      <c r="I436" s="2">
        <v>0.80568035860313103</v>
      </c>
      <c r="J436" s="2">
        <v>9</v>
      </c>
      <c r="K436" s="2">
        <v>187.09226589458731</v>
      </c>
      <c r="L436" s="2">
        <v>35</v>
      </c>
      <c r="M436" s="2">
        <v>25</v>
      </c>
      <c r="N436" s="2">
        <v>1.2509825202801719</v>
      </c>
      <c r="O436" s="2">
        <v>52.308774449094919</v>
      </c>
      <c r="P436" s="2">
        <v>1356.6290749004111</v>
      </c>
      <c r="Q436" s="2">
        <v>1.2581927966845279</v>
      </c>
      <c r="R436" s="2">
        <v>54.062974446584576</v>
      </c>
      <c r="S436" s="2">
        <v>1350.6947157210079</v>
      </c>
      <c r="T436" s="2">
        <v>7.2102764043560086E-3</v>
      </c>
      <c r="U436" s="2">
        <v>1.7541999974896569</v>
      </c>
      <c r="V436" s="2">
        <v>-5.9343591794031454</v>
      </c>
    </row>
    <row r="437" spans="1:22" ht="15">
      <c r="A437" s="2">
        <v>436</v>
      </c>
      <c r="B437" s="2" t="s">
        <v>79</v>
      </c>
      <c r="C437" s="2" t="s">
        <v>13</v>
      </c>
      <c r="D437" s="2">
        <v>1390.7569558708929</v>
      </c>
      <c r="E437" s="2">
        <v>848.65184002555907</v>
      </c>
      <c r="F437" s="2">
        <v>662.28475449606776</v>
      </c>
      <c r="G437" s="2">
        <v>252.12797270622104</v>
      </c>
      <c r="H437" s="2">
        <v>18.805151789914817</v>
      </c>
      <c r="I437" s="2">
        <v>0.82333464706316595</v>
      </c>
      <c r="J437" s="2">
        <v>9</v>
      </c>
      <c r="K437" s="2">
        <v>187.68619929153311</v>
      </c>
      <c r="L437" s="2">
        <v>40</v>
      </c>
      <c r="M437" s="2">
        <v>25</v>
      </c>
      <c r="N437" s="2">
        <v>1.1639012856034257</v>
      </c>
      <c r="O437" s="2">
        <v>52.249905842644992</v>
      </c>
      <c r="P437" s="2">
        <v>1390.7569558708929</v>
      </c>
      <c r="Q437" s="2">
        <v>1.1662529619893487</v>
      </c>
      <c r="R437" s="2">
        <v>52.960747882646231</v>
      </c>
      <c r="S437" s="2">
        <v>1379.4152111720655</v>
      </c>
      <c r="T437" s="2">
        <v>2.3516763859230405E-3</v>
      </c>
      <c r="U437" s="2">
        <v>0.71084204000123918</v>
      </c>
      <c r="V437" s="2">
        <v>-11.34174469882737</v>
      </c>
    </row>
    <row r="438" spans="1:22" ht="15">
      <c r="A438" s="2">
        <v>437</v>
      </c>
      <c r="B438" s="2" t="s">
        <v>79</v>
      </c>
      <c r="C438" s="2" t="s">
        <v>13</v>
      </c>
      <c r="D438" s="2">
        <v>1447.6017062086612</v>
      </c>
      <c r="E438" s="2">
        <v>666.89439340261742</v>
      </c>
      <c r="F438" s="2">
        <v>715.30626099556684</v>
      </c>
      <c r="G438" s="2">
        <v>266.56927190022543</v>
      </c>
      <c r="H438" s="2">
        <v>10.316751003265381</v>
      </c>
      <c r="I438" s="2">
        <v>0.80004565453389664</v>
      </c>
      <c r="J438" s="2">
        <v>10</v>
      </c>
      <c r="K438" s="2">
        <v>180.93988736830624</v>
      </c>
      <c r="L438" s="2">
        <v>40</v>
      </c>
      <c r="M438" s="2">
        <v>25</v>
      </c>
      <c r="N438" s="2">
        <v>1.1539635171394311</v>
      </c>
      <c r="O438" s="2">
        <v>52.260649389731192</v>
      </c>
      <c r="P438" s="2">
        <v>1447.6017062086612</v>
      </c>
      <c r="Q438" s="2">
        <v>1.1520914651248477</v>
      </c>
      <c r="R438" s="2">
        <v>51.896659288927204</v>
      </c>
      <c r="S438" s="2">
        <v>1456.5903807696579</v>
      </c>
      <c r="T438" s="2">
        <v>-1.872052014583403E-3</v>
      </c>
      <c r="U438" s="2">
        <v>-0.36399010080398853</v>
      </c>
      <c r="V438" s="2">
        <v>8.988674560996742</v>
      </c>
    </row>
    <row r="439" spans="1:22" ht="15">
      <c r="A439" s="2">
        <v>438</v>
      </c>
      <c r="B439" s="2" t="s">
        <v>80</v>
      </c>
      <c r="C439" s="2" t="s">
        <v>13</v>
      </c>
      <c r="D439" s="2">
        <v>1480.4265351151116</v>
      </c>
      <c r="E439" s="2">
        <v>1093.0149340769276</v>
      </c>
      <c r="F439" s="2">
        <v>618.66989554837346</v>
      </c>
      <c r="G439" s="2">
        <v>237.6967784203589</v>
      </c>
      <c r="H439" s="2">
        <v>11.442308417055756</v>
      </c>
      <c r="I439" s="2">
        <v>0.7951271663373336</v>
      </c>
      <c r="J439" s="2">
        <v>10</v>
      </c>
      <c r="K439" s="2">
        <v>186.18739212930362</v>
      </c>
      <c r="L439" s="2">
        <v>35</v>
      </c>
      <c r="M439" s="2">
        <v>25</v>
      </c>
      <c r="N439" s="2">
        <v>1.2057289252624375</v>
      </c>
      <c r="O439" s="2">
        <v>52.312730363593907</v>
      </c>
      <c r="P439" s="2">
        <v>1480.4265351151116</v>
      </c>
      <c r="Q439" s="2">
        <v>1.2261529364489332</v>
      </c>
      <c r="R439" s="2">
        <v>52.262771382949424</v>
      </c>
      <c r="S439" s="2">
        <v>1480.2073389015304</v>
      </c>
      <c r="T439" s="2">
        <v>2.0424011186495727E-2</v>
      </c>
      <c r="U439" s="2">
        <v>-4.995898064448312E-2</v>
      </c>
      <c r="V439" s="2">
        <v>-0.21919621358119912</v>
      </c>
    </row>
    <row r="440" spans="1:22" ht="15">
      <c r="A440" s="2">
        <v>439</v>
      </c>
      <c r="B440" s="2" t="s">
        <v>80</v>
      </c>
      <c r="C440" s="2" t="s">
        <v>13</v>
      </c>
      <c r="D440" s="2">
        <v>1467.9124378832057</v>
      </c>
      <c r="E440" s="2">
        <v>1189.6702019614168</v>
      </c>
      <c r="F440" s="2">
        <v>440.07015973329544</v>
      </c>
      <c r="G440" s="2">
        <v>159.41078295698389</v>
      </c>
      <c r="H440" s="2">
        <v>11.741625080816448</v>
      </c>
      <c r="I440" s="2">
        <v>0.82080363172804938</v>
      </c>
      <c r="J440" s="2">
        <v>9</v>
      </c>
      <c r="K440" s="2">
        <v>198.70938149194495</v>
      </c>
      <c r="L440" s="2">
        <v>40</v>
      </c>
      <c r="M440" s="2">
        <v>25</v>
      </c>
      <c r="N440" s="2">
        <v>1.1416944545539611</v>
      </c>
      <c r="O440" s="2">
        <v>52.25397339222981</v>
      </c>
      <c r="P440" s="2">
        <v>1467.9124378832057</v>
      </c>
      <c r="Q440" s="2">
        <v>1.1543682795712671</v>
      </c>
      <c r="R440" s="2">
        <v>52.03351837910629</v>
      </c>
      <c r="S440" s="2">
        <v>1464.5198012946557</v>
      </c>
      <c r="T440" s="2">
        <v>1.2673825017305962E-2</v>
      </c>
      <c r="U440" s="2">
        <v>-0.22045501312351945</v>
      </c>
      <c r="V440" s="2">
        <v>-3.3926365885499763</v>
      </c>
    </row>
    <row r="441" spans="1:22" ht="15">
      <c r="A441" s="2">
        <v>440</v>
      </c>
      <c r="B441" s="2" t="s">
        <v>80</v>
      </c>
      <c r="C441" s="2" t="s">
        <v>13</v>
      </c>
      <c r="D441" s="2">
        <v>1453.9222574676387</v>
      </c>
      <c r="E441" s="2">
        <v>734.4265746884048</v>
      </c>
      <c r="F441" s="2">
        <v>687.03224575147033</v>
      </c>
      <c r="G441" s="2">
        <v>263.30415955279022</v>
      </c>
      <c r="H441" s="2">
        <v>22.53730091964826</v>
      </c>
      <c r="I441" s="2">
        <v>0.84093064111657445</v>
      </c>
      <c r="J441" s="2">
        <v>9</v>
      </c>
      <c r="K441" s="2">
        <v>192.10492470806494</v>
      </c>
      <c r="L441" s="2">
        <v>45</v>
      </c>
      <c r="M441" s="2">
        <v>25</v>
      </c>
      <c r="N441" s="2">
        <v>1.250269007595993</v>
      </c>
      <c r="O441" s="2">
        <v>52.237696667655356</v>
      </c>
      <c r="P441" s="2">
        <v>1453.9222574676387</v>
      </c>
      <c r="Q441" s="2">
        <v>1.2443100285053939</v>
      </c>
      <c r="R441" s="2">
        <v>50.839436566221138</v>
      </c>
      <c r="S441" s="2">
        <v>1439.6409229816798</v>
      </c>
      <c r="T441" s="2">
        <v>-5.9589790905991702E-3</v>
      </c>
      <c r="U441" s="2">
        <v>-1.398260101434218</v>
      </c>
      <c r="V441" s="2">
        <v>-14.281334485958951</v>
      </c>
    </row>
    <row r="442" spans="1:22" ht="15">
      <c r="A442" s="2">
        <v>441</v>
      </c>
      <c r="B442" s="2" t="s">
        <v>78</v>
      </c>
      <c r="C442" s="2" t="s">
        <v>13</v>
      </c>
      <c r="D442" s="2">
        <v>1455.8787401765585</v>
      </c>
      <c r="E442" s="2">
        <v>1230.0778551376425</v>
      </c>
      <c r="F442" s="2">
        <v>531.70287180691957</v>
      </c>
      <c r="G442" s="2">
        <v>246.95100121432915</v>
      </c>
      <c r="H442" s="2">
        <v>23.339568151161075</v>
      </c>
      <c r="I442" s="2">
        <v>0.82140552160562952</v>
      </c>
      <c r="J442" s="2">
        <v>9</v>
      </c>
      <c r="K442" s="2">
        <v>196.93598376092703</v>
      </c>
      <c r="L442" s="2">
        <v>35</v>
      </c>
      <c r="M442" s="2">
        <v>25</v>
      </c>
      <c r="N442" s="2">
        <v>1.2014492500699201</v>
      </c>
      <c r="O442" s="2">
        <v>52.288211494713167</v>
      </c>
      <c r="P442" s="2">
        <v>1455.8787401765585</v>
      </c>
      <c r="Q442" s="2">
        <v>1.2166025771085029</v>
      </c>
      <c r="R442" s="2">
        <v>53.468164548668085</v>
      </c>
      <c r="S442" s="2">
        <v>1441.4137531618592</v>
      </c>
      <c r="T442" s="2">
        <v>1.5153327038582853E-2</v>
      </c>
      <c r="U442" s="2">
        <v>1.1799530539549181</v>
      </c>
      <c r="V442" s="2">
        <v>-14.464987014699318</v>
      </c>
    </row>
    <row r="443" spans="1:22" ht="15">
      <c r="A443" s="2">
        <v>442</v>
      </c>
      <c r="B443" s="2" t="s">
        <v>78</v>
      </c>
      <c r="C443" s="2" t="s">
        <v>13</v>
      </c>
      <c r="D443" s="2">
        <v>1451.8871339620091</v>
      </c>
      <c r="E443" s="2">
        <v>1107.2960062185302</v>
      </c>
      <c r="F443" s="2">
        <v>650.42774239555001</v>
      </c>
      <c r="G443" s="2">
        <v>318.96133876405656</v>
      </c>
      <c r="H443" s="2">
        <v>23.965244632679969</v>
      </c>
      <c r="I443" s="2">
        <v>0.80914088599849499</v>
      </c>
      <c r="J443" s="2">
        <v>9</v>
      </c>
      <c r="K443" s="2">
        <v>199.37293424911113</v>
      </c>
      <c r="L443" s="2">
        <v>35</v>
      </c>
      <c r="M443" s="2">
        <v>25</v>
      </c>
      <c r="N443" s="2">
        <v>1.2411375277625214</v>
      </c>
      <c r="O443" s="2">
        <v>52.298807122249436</v>
      </c>
      <c r="P443" s="2">
        <v>1451.8871339620091</v>
      </c>
      <c r="Q443" s="2">
        <v>1.2597038025703884</v>
      </c>
      <c r="R443" s="2">
        <v>51.791237164575442</v>
      </c>
      <c r="S443" s="2">
        <v>1432.1700719022699</v>
      </c>
      <c r="T443" s="2">
        <v>1.8566274807866989E-2</v>
      </c>
      <c r="U443" s="2">
        <v>-0.5075699576739936</v>
      </c>
      <c r="V443" s="2">
        <v>-19.717062059739192</v>
      </c>
    </row>
    <row r="444" spans="1:22" ht="15">
      <c r="A444" s="2">
        <v>443</v>
      </c>
      <c r="B444" s="2" t="s">
        <v>78</v>
      </c>
      <c r="C444" s="2" t="s">
        <v>13</v>
      </c>
      <c r="D444" s="2">
        <v>1364.4582119537517</v>
      </c>
      <c r="E444" s="2">
        <v>992.87089636782184</v>
      </c>
      <c r="F444" s="2">
        <v>369.82820369303226</v>
      </c>
      <c r="G444" s="2">
        <v>226.98708354262635</v>
      </c>
      <c r="H444" s="2">
        <v>28.61406893376261</v>
      </c>
      <c r="I444" s="2">
        <v>0.81636284830747174</v>
      </c>
      <c r="J444" s="2">
        <v>9</v>
      </c>
      <c r="K444" s="2">
        <v>185.70966122378076</v>
      </c>
      <c r="L444" s="2">
        <v>45</v>
      </c>
      <c r="M444" s="2">
        <v>25</v>
      </c>
      <c r="N444" s="2">
        <v>1.2137424056453481</v>
      </c>
      <c r="O444" s="2">
        <v>52.222871818178369</v>
      </c>
      <c r="P444" s="2">
        <v>1364.4582119537517</v>
      </c>
      <c r="Q444" s="2">
        <v>1.2080595969082568</v>
      </c>
      <c r="R444" s="2">
        <v>51.933140896748881</v>
      </c>
      <c r="S444" s="2">
        <v>1356.4328422961587</v>
      </c>
      <c r="T444" s="2">
        <v>-5.6828087370912606E-3</v>
      </c>
      <c r="U444" s="2">
        <v>-0.28973092142948786</v>
      </c>
      <c r="V444" s="2">
        <v>-8.0253696575930462</v>
      </c>
    </row>
    <row r="445" spans="1:22" ht="15">
      <c r="A445" s="2">
        <v>444</v>
      </c>
      <c r="B445" s="2" t="s">
        <v>78</v>
      </c>
      <c r="C445" s="2" t="s">
        <v>13</v>
      </c>
      <c r="D445" s="2">
        <v>1387.4067429802381</v>
      </c>
      <c r="E445" s="2">
        <v>1008.5006322246045</v>
      </c>
      <c r="F445" s="2">
        <v>668.95251823589206</v>
      </c>
      <c r="G445" s="2">
        <v>164.27736710291356</v>
      </c>
      <c r="H445" s="2">
        <v>16.227469395380467</v>
      </c>
      <c r="I445" s="2">
        <v>0.82082813069224358</v>
      </c>
      <c r="J445" s="2">
        <v>9</v>
      </c>
      <c r="K445" s="2">
        <v>187.80582561854285</v>
      </c>
      <c r="L445" s="2">
        <v>40</v>
      </c>
      <c r="M445" s="2">
        <v>25</v>
      </c>
      <c r="N445" s="2">
        <v>1.1976543809730487</v>
      </c>
      <c r="O445" s="2">
        <v>52.262171830951068</v>
      </c>
      <c r="P445" s="2">
        <v>1387.4067429802381</v>
      </c>
      <c r="Q445" s="2">
        <v>1.1975186198722103</v>
      </c>
      <c r="R445" s="2">
        <v>53.000616119709896</v>
      </c>
      <c r="S445" s="2">
        <v>1385.8426882071233</v>
      </c>
      <c r="T445" s="2">
        <v>-1.3576110083834969E-4</v>
      </c>
      <c r="U445" s="2">
        <v>0.73844428875882784</v>
      </c>
      <c r="V445" s="2">
        <v>-1.5640547731147763</v>
      </c>
    </row>
    <row r="446" spans="1:22" ht="15">
      <c r="A446" s="2">
        <v>445</v>
      </c>
      <c r="B446" s="2" t="s">
        <v>78</v>
      </c>
      <c r="C446" s="2" t="s">
        <v>13</v>
      </c>
      <c r="D446" s="2">
        <v>1465.296260593459</v>
      </c>
      <c r="E446" s="2">
        <v>1005.4896009038202</v>
      </c>
      <c r="F446" s="2">
        <v>400.08530076593161</v>
      </c>
      <c r="G446" s="2">
        <v>286.05287590296939</v>
      </c>
      <c r="H446" s="2">
        <v>27.560585733503103</v>
      </c>
      <c r="I446" s="2">
        <v>0.83187767390394585</v>
      </c>
      <c r="J446" s="2">
        <v>9</v>
      </c>
      <c r="K446" s="2">
        <v>195.71470749712014</v>
      </c>
      <c r="L446" s="2">
        <v>40</v>
      </c>
      <c r="M446" s="2">
        <v>25</v>
      </c>
      <c r="N446" s="2">
        <v>1.1659178633677179</v>
      </c>
      <c r="O446" s="2">
        <v>52.238767061218027</v>
      </c>
      <c r="P446" s="2">
        <v>1465.296260593459</v>
      </c>
      <c r="Q446" s="2">
        <v>1.1611172310840503</v>
      </c>
      <c r="R446" s="2">
        <v>51.692136806487568</v>
      </c>
      <c r="S446" s="2">
        <v>1452.6060571047565</v>
      </c>
      <c r="T446" s="2">
        <v>-4.8006322836675608E-3</v>
      </c>
      <c r="U446" s="2">
        <v>-0.54663025473045934</v>
      </c>
      <c r="V446" s="2">
        <v>-12.690203488702537</v>
      </c>
    </row>
    <row r="447" spans="1:22" ht="15">
      <c r="A447" s="2">
        <v>446</v>
      </c>
      <c r="B447" s="2" t="s">
        <v>78</v>
      </c>
      <c r="C447" s="2" t="s">
        <v>13</v>
      </c>
      <c r="D447" s="2">
        <v>1364.5439859596081</v>
      </c>
      <c r="E447" s="2">
        <v>875.77165465336293</v>
      </c>
      <c r="F447" s="2">
        <v>514.24989001825452</v>
      </c>
      <c r="G447" s="2">
        <v>169.1311401501298</v>
      </c>
      <c r="H447" s="2">
        <v>14.166634144727141</v>
      </c>
      <c r="I447" s="2">
        <v>0.80238760519307106</v>
      </c>
      <c r="J447" s="2">
        <v>9</v>
      </c>
      <c r="K447" s="2">
        <v>188.95605746984901</v>
      </c>
      <c r="L447" s="2">
        <v>50</v>
      </c>
      <c r="M447" s="2">
        <v>25</v>
      </c>
      <c r="N447" s="2">
        <v>1.235674377803778</v>
      </c>
      <c r="O447" s="2">
        <v>52.218110882380834</v>
      </c>
      <c r="P447" s="2">
        <v>1364.5439859596081</v>
      </c>
      <c r="Q447" s="2">
        <v>1.2317250886753959</v>
      </c>
      <c r="R447" s="2">
        <v>51.685836907447616</v>
      </c>
      <c r="S447" s="2">
        <v>1369.6107343467404</v>
      </c>
      <c r="T447" s="2">
        <v>-3.9492891283821052E-3</v>
      </c>
      <c r="U447" s="2">
        <v>-0.5322739749332186</v>
      </c>
      <c r="V447" s="2">
        <v>5.0667483871322929</v>
      </c>
    </row>
    <row r="448" spans="1:22" ht="15">
      <c r="A448" s="2">
        <v>447</v>
      </c>
      <c r="B448" s="2" t="s">
        <v>78</v>
      </c>
      <c r="C448" s="2" t="s">
        <v>13</v>
      </c>
      <c r="D448" s="2">
        <v>1487.4898158246651</v>
      </c>
      <c r="E448" s="2">
        <v>1124.7482354869135</v>
      </c>
      <c r="F448" s="2">
        <v>571.6110996901989</v>
      </c>
      <c r="G448" s="2">
        <v>148.8368859118782</v>
      </c>
      <c r="H448" s="2">
        <v>10.335472679696977</v>
      </c>
      <c r="I448" s="2">
        <v>0.8340862164064311</v>
      </c>
      <c r="J448" s="2">
        <v>9</v>
      </c>
      <c r="K448" s="2">
        <v>198.15295223893861</v>
      </c>
      <c r="L448" s="2">
        <v>40</v>
      </c>
      <c r="M448" s="2">
        <v>25</v>
      </c>
      <c r="N448" s="2">
        <v>1.1677264327968355</v>
      </c>
      <c r="O448" s="2">
        <v>52.262712220773302</v>
      </c>
      <c r="P448" s="2">
        <v>1487.4898158246651</v>
      </c>
      <c r="Q448" s="2">
        <v>1.1728912117705108</v>
      </c>
      <c r="R448" s="2">
        <v>53.623394278785675</v>
      </c>
      <c r="S448" s="2">
        <v>1492.8123169717262</v>
      </c>
      <c r="T448" s="2">
        <v>5.164778973675288E-3</v>
      </c>
      <c r="U448" s="2">
        <v>1.3606820580123724</v>
      </c>
      <c r="V448" s="2">
        <v>5.3225011470610752</v>
      </c>
    </row>
    <row r="449" spans="1:22" ht="15">
      <c r="A449" s="2">
        <v>448</v>
      </c>
      <c r="B449" s="2" t="s">
        <v>78</v>
      </c>
      <c r="C449" s="2" t="s">
        <v>13</v>
      </c>
      <c r="D449" s="2">
        <v>1407.6305264490657</v>
      </c>
      <c r="E449" s="2">
        <v>978.94058339297771</v>
      </c>
      <c r="F449" s="2">
        <v>428.77930989488959</v>
      </c>
      <c r="G449" s="2">
        <v>220.76873764861375</v>
      </c>
      <c r="H449" s="2">
        <v>20.500536577310413</v>
      </c>
      <c r="I449" s="2">
        <v>0.83721768232993787</v>
      </c>
      <c r="J449" s="2">
        <v>9</v>
      </c>
      <c r="K449" s="2">
        <v>186.81329256258729</v>
      </c>
      <c r="L449" s="2">
        <v>45</v>
      </c>
      <c r="M449" s="2">
        <v>25</v>
      </c>
      <c r="N449" s="2">
        <v>1.20246084038762</v>
      </c>
      <c r="O449" s="2">
        <v>52.22892208977877</v>
      </c>
      <c r="P449" s="2">
        <v>1407.6305264490657</v>
      </c>
      <c r="Q449" s="2">
        <v>1.1923502748157662</v>
      </c>
      <c r="R449" s="2">
        <v>51.837080129279535</v>
      </c>
      <c r="S449" s="2">
        <v>1405.5484432669389</v>
      </c>
      <c r="T449" s="2">
        <v>-1.0110565571853858E-2</v>
      </c>
      <c r="U449" s="2">
        <v>-0.39184196049923514</v>
      </c>
      <c r="V449" s="2">
        <v>-2.0820831821267802</v>
      </c>
    </row>
    <row r="450" spans="1:22" ht="15">
      <c r="A450" s="2">
        <v>449</v>
      </c>
      <c r="B450" s="2" t="s">
        <v>78</v>
      </c>
      <c r="C450" s="2" t="s">
        <v>13</v>
      </c>
      <c r="D450" s="2">
        <v>1411.983825545758</v>
      </c>
      <c r="E450" s="2">
        <v>871.3825780316256</v>
      </c>
      <c r="F450" s="2">
        <v>681.77986089140177</v>
      </c>
      <c r="G450" s="2">
        <v>309.61090604076162</v>
      </c>
      <c r="H450" s="2">
        <v>21.410715291276574</v>
      </c>
      <c r="I450" s="2">
        <v>0.79020270581590013</v>
      </c>
      <c r="J450" s="2">
        <v>9</v>
      </c>
      <c r="K450" s="2">
        <v>198.54031196377312</v>
      </c>
      <c r="L450" s="2">
        <v>40</v>
      </c>
      <c r="M450" s="2">
        <v>25</v>
      </c>
      <c r="N450" s="2">
        <v>1.2378412365320159</v>
      </c>
      <c r="O450" s="2">
        <v>52.265452933813478</v>
      </c>
      <c r="P450" s="2">
        <v>1411.983825545758</v>
      </c>
      <c r="Q450" s="2">
        <v>1.2383933399158866</v>
      </c>
      <c r="R450" s="2">
        <v>51.538035653967555</v>
      </c>
      <c r="S450" s="2">
        <v>1405.0734569693373</v>
      </c>
      <c r="T450" s="2">
        <v>5.5210338387068347E-4</v>
      </c>
      <c r="U450" s="2">
        <v>-0.7274172798459233</v>
      </c>
      <c r="V450" s="2">
        <v>-6.9103685764207512</v>
      </c>
    </row>
    <row r="451" spans="1:22" ht="15">
      <c r="A451" s="2">
        <v>450</v>
      </c>
      <c r="B451" s="2" t="s">
        <v>78</v>
      </c>
      <c r="C451" s="2" t="s">
        <v>13</v>
      </c>
      <c r="D451" s="2">
        <v>1402.7248246246018</v>
      </c>
      <c r="E451" s="2">
        <v>1137.8466650145128</v>
      </c>
      <c r="F451" s="2">
        <v>395.24767035618424</v>
      </c>
      <c r="G451" s="2">
        <v>313.07926044799387</v>
      </c>
      <c r="H451" s="2">
        <v>13.721248738933355</v>
      </c>
      <c r="I451" s="2">
        <v>0.80511576323304324</v>
      </c>
      <c r="J451" s="2">
        <v>9</v>
      </c>
      <c r="K451" s="2">
        <v>193.58497369534709</v>
      </c>
      <c r="L451" s="2">
        <v>40</v>
      </c>
      <c r="M451" s="2">
        <v>25</v>
      </c>
      <c r="N451" s="2">
        <v>1.1868197566505601</v>
      </c>
      <c r="O451" s="2">
        <v>52.262864617928024</v>
      </c>
      <c r="P451" s="2">
        <v>1402.7248246246018</v>
      </c>
      <c r="Q451" s="2">
        <v>1.2071848077239955</v>
      </c>
      <c r="R451" s="2">
        <v>53.449933682993048</v>
      </c>
      <c r="S451" s="2">
        <v>1407.8841418404645</v>
      </c>
      <c r="T451" s="2">
        <v>2.0365051073435447E-2</v>
      </c>
      <c r="U451" s="2">
        <v>1.1870690650650246</v>
      </c>
      <c r="V451" s="2">
        <v>5.1593172158627567</v>
      </c>
    </row>
    <row r="452" spans="1:22" ht="15">
      <c r="A452" s="2">
        <v>451</v>
      </c>
      <c r="B452" s="2" t="s">
        <v>78</v>
      </c>
      <c r="C452" s="2" t="s">
        <v>13</v>
      </c>
      <c r="D452" s="2">
        <v>1442.0778285479173</v>
      </c>
      <c r="E452" s="2">
        <v>959.55364458495751</v>
      </c>
      <c r="F452" s="2">
        <v>739.96735922992229</v>
      </c>
      <c r="G452" s="2">
        <v>150.65585971577093</v>
      </c>
      <c r="H452" s="2">
        <v>8.3441140400245786</v>
      </c>
      <c r="I452" s="2">
        <v>0.85877807781798765</v>
      </c>
      <c r="J452" s="2">
        <v>9</v>
      </c>
      <c r="K452" s="2">
        <v>186.58006530136109</v>
      </c>
      <c r="L452" s="2">
        <v>40</v>
      </c>
      <c r="M452" s="2">
        <v>25</v>
      </c>
      <c r="N452" s="2">
        <v>1.1597017140185928</v>
      </c>
      <c r="O452" s="2">
        <v>52.263488827446011</v>
      </c>
      <c r="P452" s="2">
        <v>1442.0778285479173</v>
      </c>
      <c r="Q452" s="2">
        <v>1.165171730494313</v>
      </c>
      <c r="R452" s="2">
        <v>52.131517630153532</v>
      </c>
      <c r="S452" s="2">
        <v>1445.3380362715959</v>
      </c>
      <c r="T452" s="2">
        <v>5.4700164757202074E-3</v>
      </c>
      <c r="U452" s="2">
        <v>-0.1319711972924793</v>
      </c>
      <c r="V452" s="2">
        <v>3.2602077236786045</v>
      </c>
    </row>
    <row r="453" spans="1:22" ht="15">
      <c r="A453" s="2">
        <v>452</v>
      </c>
      <c r="B453" s="2" t="s">
        <v>78</v>
      </c>
      <c r="C453" s="2" t="s">
        <v>13</v>
      </c>
      <c r="D453" s="2">
        <v>1439.1212887479924</v>
      </c>
      <c r="E453" s="2">
        <v>810.44160765595734</v>
      </c>
      <c r="F453" s="2">
        <v>639.49397830292583</v>
      </c>
      <c r="G453" s="2">
        <v>116.66366671677679</v>
      </c>
      <c r="H453" s="2">
        <v>21.099568776320666</v>
      </c>
      <c r="I453" s="2">
        <v>0.83108013814315207</v>
      </c>
      <c r="J453" s="2">
        <v>9</v>
      </c>
      <c r="K453" s="2">
        <v>192.40306449111733</v>
      </c>
      <c r="L453" s="2">
        <v>45</v>
      </c>
      <c r="M453" s="2">
        <v>25</v>
      </c>
      <c r="N453" s="2">
        <v>1.1632506348629383</v>
      </c>
      <c r="O453" s="2">
        <v>52.219271988473452</v>
      </c>
      <c r="P453" s="2">
        <v>1439.1212887479924</v>
      </c>
      <c r="Q453" s="2">
        <v>1.1703617226552092</v>
      </c>
      <c r="R453" s="2">
        <v>51.100165420397907</v>
      </c>
      <c r="S453" s="2">
        <v>1431.4401821664605</v>
      </c>
      <c r="T453" s="2">
        <v>7.111087792270876E-3</v>
      </c>
      <c r="U453" s="2">
        <v>-1.1191065680755443</v>
      </c>
      <c r="V453" s="2">
        <v>-7.6811065815318216</v>
      </c>
    </row>
    <row r="454" spans="1:22" ht="15">
      <c r="A454" s="2">
        <v>453</v>
      </c>
      <c r="B454" s="2" t="s">
        <v>78</v>
      </c>
      <c r="C454" s="2" t="s">
        <v>13</v>
      </c>
      <c r="D454" s="2">
        <v>1493.127320939675</v>
      </c>
      <c r="E454" s="2">
        <v>770.28833645163104</v>
      </c>
      <c r="F454" s="2">
        <v>717.18543600291014</v>
      </c>
      <c r="G454" s="2">
        <v>225.18120820866898</v>
      </c>
      <c r="H454" s="2">
        <v>13.245726458728313</v>
      </c>
      <c r="I454" s="2">
        <v>0.79645021410891792</v>
      </c>
      <c r="J454" s="2">
        <v>10</v>
      </c>
      <c r="K454" s="2">
        <v>187.47277538373334</v>
      </c>
      <c r="L454" s="2">
        <v>40</v>
      </c>
      <c r="M454" s="2">
        <v>25</v>
      </c>
      <c r="N454" s="2">
        <v>1.2112086813808278</v>
      </c>
      <c r="O454" s="2">
        <v>52.271717475399903</v>
      </c>
      <c r="P454" s="2">
        <v>1493.127320939675</v>
      </c>
      <c r="Q454" s="2">
        <v>1.2168205569898995</v>
      </c>
      <c r="R454" s="2">
        <v>51.982385212988184</v>
      </c>
      <c r="S454" s="2">
        <v>1500.6654730078037</v>
      </c>
      <c r="T454" s="2">
        <v>5.6118756090717259E-3</v>
      </c>
      <c r="U454" s="2">
        <v>-0.28933226241171894</v>
      </c>
      <c r="V454" s="2">
        <v>7.5381520681287384</v>
      </c>
    </row>
    <row r="455" spans="1:22" ht="15">
      <c r="A455" s="2">
        <v>454</v>
      </c>
      <c r="B455" s="2" t="s">
        <v>78</v>
      </c>
      <c r="C455" s="2" t="s">
        <v>13</v>
      </c>
      <c r="D455" s="2">
        <v>1412.379049428273</v>
      </c>
      <c r="E455" s="2">
        <v>698.19243212696165</v>
      </c>
      <c r="F455" s="2">
        <v>418.63403888419271</v>
      </c>
      <c r="G455" s="2">
        <v>310.00056250020862</v>
      </c>
      <c r="H455" s="2">
        <v>29.587513460312039</v>
      </c>
      <c r="I455" s="2">
        <v>0.81875097685959197</v>
      </c>
      <c r="J455" s="2">
        <v>9</v>
      </c>
      <c r="K455" s="2">
        <v>191.67122840446089</v>
      </c>
      <c r="L455" s="2">
        <v>50</v>
      </c>
      <c r="M455" s="2">
        <v>25</v>
      </c>
      <c r="N455" s="2">
        <v>1.201700861522407</v>
      </c>
      <c r="O455" s="2">
        <v>52.19747800520026</v>
      </c>
      <c r="P455" s="2">
        <v>1412.379049428273</v>
      </c>
      <c r="Q455" s="2">
        <v>1.195508922234918</v>
      </c>
      <c r="R455" s="2">
        <v>52.546024858227675</v>
      </c>
      <c r="S455" s="2">
        <v>1403.3614881516107</v>
      </c>
      <c r="T455" s="2">
        <v>-6.1919392874889567E-3</v>
      </c>
      <c r="U455" s="2">
        <v>0.34854685302741473</v>
      </c>
      <c r="V455" s="2">
        <v>-9.0175612766622635</v>
      </c>
    </row>
    <row r="456" spans="1:22" ht="15">
      <c r="A456" s="2">
        <v>455</v>
      </c>
      <c r="B456" s="2" t="s">
        <v>79</v>
      </c>
      <c r="C456" s="2" t="s">
        <v>13</v>
      </c>
      <c r="D456" s="2">
        <v>1437.0539299445227</v>
      </c>
      <c r="E456" s="2">
        <v>721.98811100097373</v>
      </c>
      <c r="F456" s="2">
        <v>481.63574039936066</v>
      </c>
      <c r="G456" s="2">
        <v>252.00964683433995</v>
      </c>
      <c r="H456" s="2">
        <v>22.644425216130912</v>
      </c>
      <c r="I456" s="2">
        <v>0.84433392271166674</v>
      </c>
      <c r="J456" s="2">
        <v>9</v>
      </c>
      <c r="K456" s="2">
        <v>189.11079442351348</v>
      </c>
      <c r="L456" s="2">
        <v>50</v>
      </c>
      <c r="M456" s="2">
        <v>25</v>
      </c>
      <c r="N456" s="2">
        <v>1.1943429826896867</v>
      </c>
      <c r="O456" s="2">
        <v>52.201969653212238</v>
      </c>
      <c r="P456" s="2">
        <v>1437.0539299445227</v>
      </c>
      <c r="Q456" s="2">
        <v>1.1922164365932182</v>
      </c>
      <c r="R456" s="2">
        <v>50.993697646662525</v>
      </c>
      <c r="S456" s="2">
        <v>1429.9321504500188</v>
      </c>
      <c r="T456" s="2">
        <v>-2.1265460964685623E-3</v>
      </c>
      <c r="U456" s="2">
        <v>-1.2082720065497128</v>
      </c>
      <c r="V456" s="2">
        <v>-7.1217794945039259</v>
      </c>
    </row>
    <row r="457" spans="1:22" ht="15">
      <c r="A457" s="2">
        <v>456</v>
      </c>
      <c r="B457" s="2" t="s">
        <v>79</v>
      </c>
      <c r="C457" s="2" t="s">
        <v>13</v>
      </c>
      <c r="D457" s="2">
        <v>1470.4072219203226</v>
      </c>
      <c r="E457" s="2">
        <v>671.40085743740201</v>
      </c>
      <c r="F457" s="2">
        <v>390.41241472586989</v>
      </c>
      <c r="G457" s="2">
        <v>310.65547982696444</v>
      </c>
      <c r="H457" s="2">
        <v>18.698685464914888</v>
      </c>
      <c r="I457" s="2">
        <v>0.80469039999879899</v>
      </c>
      <c r="J457" s="2">
        <v>10</v>
      </c>
      <c r="K457" s="2">
        <v>182.72955933393976</v>
      </c>
      <c r="L457" s="2">
        <v>50</v>
      </c>
      <c r="M457" s="2">
        <v>25</v>
      </c>
      <c r="N457" s="2">
        <v>1.2215864763943605</v>
      </c>
      <c r="O457" s="2">
        <v>52.212780211282301</v>
      </c>
      <c r="P457" s="2">
        <v>1470.4072219203226</v>
      </c>
      <c r="Q457" s="2">
        <v>1.2087923582169406</v>
      </c>
      <c r="R457" s="2">
        <v>51.876725229291516</v>
      </c>
      <c r="S457" s="2">
        <v>1486.5315247961191</v>
      </c>
      <c r="T457" s="2">
        <v>-1.2794118177419822E-2</v>
      </c>
      <c r="U457" s="2">
        <v>-0.33605498199078454</v>
      </c>
      <c r="V457" s="2">
        <v>16.124302875796502</v>
      </c>
    </row>
    <row r="458" spans="1:22" ht="15">
      <c r="A458" s="2">
        <v>457</v>
      </c>
      <c r="B458" s="2" t="s">
        <v>79</v>
      </c>
      <c r="C458" s="2" t="s">
        <v>13</v>
      </c>
      <c r="D458" s="2">
        <v>1371.6045806184411</v>
      </c>
      <c r="E458" s="2">
        <v>1033.1777952960692</v>
      </c>
      <c r="F458" s="2">
        <v>456.55961353331804</v>
      </c>
      <c r="G458" s="2">
        <v>101.96483459556475</v>
      </c>
      <c r="H458" s="2">
        <v>14.628351455554366</v>
      </c>
      <c r="I458" s="2">
        <v>0.84695471101673325</v>
      </c>
      <c r="J458" s="2">
        <v>9</v>
      </c>
      <c r="K458" s="2">
        <v>179.93938397798649</v>
      </c>
      <c r="L458" s="2">
        <v>45</v>
      </c>
      <c r="M458" s="2">
        <v>25</v>
      </c>
      <c r="N458" s="2">
        <v>1.1494768029937266</v>
      </c>
      <c r="O458" s="2">
        <v>52.223186172306036</v>
      </c>
      <c r="P458" s="2">
        <v>1371.6045806184411</v>
      </c>
      <c r="Q458" s="2">
        <v>1.1466734728138626</v>
      </c>
      <c r="R458" s="2">
        <v>53.330753236738204</v>
      </c>
      <c r="S458" s="2">
        <v>1372.6285602253122</v>
      </c>
      <c r="T458" s="2">
        <v>-2.8033301798640053E-3</v>
      </c>
      <c r="U458" s="2">
        <v>1.1075670644321676</v>
      </c>
      <c r="V458" s="2">
        <v>1.0239796068710803</v>
      </c>
    </row>
    <row r="459" spans="1:22" ht="15">
      <c r="A459" s="2">
        <v>458</v>
      </c>
      <c r="B459" s="2" t="s">
        <v>80</v>
      </c>
      <c r="C459" s="2" t="s">
        <v>13</v>
      </c>
      <c r="D459" s="2">
        <v>1385.0712560699321</v>
      </c>
      <c r="E459" s="2">
        <v>677.65333207789809</v>
      </c>
      <c r="F459" s="2">
        <v>544.47455117478967</v>
      </c>
      <c r="G459" s="2">
        <v>234.20087869279087</v>
      </c>
      <c r="H459" s="2">
        <v>10.342833761591464</v>
      </c>
      <c r="I459" s="2">
        <v>0.82996525411028421</v>
      </c>
      <c r="J459" s="2">
        <v>9</v>
      </c>
      <c r="K459" s="2">
        <v>185.4256012138346</v>
      </c>
      <c r="L459" s="2">
        <v>55</v>
      </c>
      <c r="M459" s="2">
        <v>25</v>
      </c>
      <c r="N459" s="2">
        <v>1.2467289190299111</v>
      </c>
      <c r="O459" s="2">
        <v>52.202078062206347</v>
      </c>
      <c r="P459" s="2">
        <v>1385.0712560699321</v>
      </c>
      <c r="Q459" s="2">
        <v>1.2404878189976389</v>
      </c>
      <c r="R459" s="2">
        <v>51.884466560757517</v>
      </c>
      <c r="S459" s="2">
        <v>1405.1810268193904</v>
      </c>
      <c r="T459" s="2">
        <v>-6.2411000322721844E-3</v>
      </c>
      <c r="U459" s="2">
        <v>-0.31761150144883032</v>
      </c>
      <c r="V459" s="2">
        <v>20.109770749458221</v>
      </c>
    </row>
    <row r="460" spans="1:22" ht="15">
      <c r="A460" s="2">
        <v>459</v>
      </c>
      <c r="B460" s="2" t="s">
        <v>80</v>
      </c>
      <c r="C460" s="2" t="s">
        <v>13</v>
      </c>
      <c r="D460" s="2">
        <v>1357.2978879092261</v>
      </c>
      <c r="E460" s="2">
        <v>1043.2233023107983</v>
      </c>
      <c r="F460" s="2">
        <v>701.21419318020344</v>
      </c>
      <c r="G460" s="2">
        <v>142.08154204068705</v>
      </c>
      <c r="H460" s="2">
        <v>15.724839569069445</v>
      </c>
      <c r="I460" s="2">
        <v>0.81474563865689564</v>
      </c>
      <c r="J460" s="2">
        <v>9</v>
      </c>
      <c r="K460" s="2">
        <v>185.10179039800627</v>
      </c>
      <c r="L460" s="2">
        <v>40</v>
      </c>
      <c r="M460" s="2">
        <v>25</v>
      </c>
      <c r="N460" s="2">
        <v>1.2219602047960969</v>
      </c>
      <c r="O460" s="2">
        <v>52.269155480927125</v>
      </c>
      <c r="P460" s="2">
        <v>1357.2978879092261</v>
      </c>
      <c r="Q460" s="2">
        <v>1.2196811987652434</v>
      </c>
      <c r="R460" s="2">
        <v>52.222801219570684</v>
      </c>
      <c r="S460" s="2">
        <v>1352.9221976960337</v>
      </c>
      <c r="T460" s="2">
        <v>-2.2790060308535143E-3</v>
      </c>
      <c r="U460" s="2">
        <v>-4.6354261356441384E-2</v>
      </c>
      <c r="V460" s="2">
        <v>-4.3756902131924562</v>
      </c>
    </row>
    <row r="461" spans="1:22" ht="15">
      <c r="A461" s="2">
        <v>460</v>
      </c>
      <c r="B461" s="2" t="s">
        <v>80</v>
      </c>
      <c r="C461" s="2" t="s">
        <v>13</v>
      </c>
      <c r="D461" s="2">
        <v>1472.947082889732</v>
      </c>
      <c r="E461" s="2">
        <v>940.41465050540864</v>
      </c>
      <c r="F461" s="2">
        <v>626.66258318349719</v>
      </c>
      <c r="G461" s="2">
        <v>255.43793737422675</v>
      </c>
      <c r="H461" s="2">
        <v>20.471784863155335</v>
      </c>
      <c r="I461" s="2">
        <v>0.81193176057189709</v>
      </c>
      <c r="J461" s="2">
        <v>10</v>
      </c>
      <c r="K461" s="2">
        <v>181.41266968694984</v>
      </c>
      <c r="L461" s="2">
        <v>35</v>
      </c>
      <c r="M461" s="2">
        <v>25</v>
      </c>
      <c r="N461" s="2">
        <v>1.1810650833069616</v>
      </c>
      <c r="O461" s="2">
        <v>52.290750753386689</v>
      </c>
      <c r="P461" s="2">
        <v>1472.947082889732</v>
      </c>
      <c r="Q461" s="2">
        <v>1.1726029444511219</v>
      </c>
      <c r="R461" s="2">
        <v>52.737570687413331</v>
      </c>
      <c r="S461" s="2">
        <v>1470.6356611207491</v>
      </c>
      <c r="T461" s="2">
        <v>-8.4621388558396848E-3</v>
      </c>
      <c r="U461" s="2">
        <v>0.44681993402664233</v>
      </c>
      <c r="V461" s="2">
        <v>-2.311421768982882</v>
      </c>
    </row>
    <row r="462" spans="1:22" ht="15">
      <c r="A462" s="2">
        <v>461</v>
      </c>
      <c r="B462" s="2" t="s">
        <v>78</v>
      </c>
      <c r="C462" s="2" t="s">
        <v>13</v>
      </c>
      <c r="D462" s="2">
        <v>1448.5409283544868</v>
      </c>
      <c r="E462" s="2">
        <v>921.44427512539551</v>
      </c>
      <c r="F462" s="2">
        <v>433.38294234126806</v>
      </c>
      <c r="G462" s="2">
        <v>259.07986772479489</v>
      </c>
      <c r="H462" s="2">
        <v>27.874061454087496</v>
      </c>
      <c r="I462" s="2">
        <v>0.80697614670032636</v>
      </c>
      <c r="J462" s="2">
        <v>9</v>
      </c>
      <c r="K462" s="2">
        <v>199.44702541394503</v>
      </c>
      <c r="L462" s="2">
        <v>45</v>
      </c>
      <c r="M462" s="2">
        <v>25</v>
      </c>
      <c r="N462" s="2">
        <v>1.2268541512058566</v>
      </c>
      <c r="O462" s="2">
        <v>52.226648462258474</v>
      </c>
      <c r="P462" s="2">
        <v>1448.5409283544868</v>
      </c>
      <c r="Q462" s="2">
        <v>1.2291218896259541</v>
      </c>
      <c r="R462" s="2">
        <v>52.179249898691374</v>
      </c>
      <c r="S462" s="2">
        <v>1432.8303329883529</v>
      </c>
      <c r="T462" s="2">
        <v>2.2677384200975315E-3</v>
      </c>
      <c r="U462" s="2">
        <v>-4.7398563567099927E-2</v>
      </c>
      <c r="V462" s="2">
        <v>-15.71059536613393</v>
      </c>
    </row>
    <row r="463" spans="1:22" ht="15">
      <c r="A463" s="2">
        <v>462</v>
      </c>
      <c r="B463" s="2" t="s">
        <v>78</v>
      </c>
      <c r="C463" s="2" t="s">
        <v>13</v>
      </c>
      <c r="D463" s="2">
        <v>1454.6212511253543</v>
      </c>
      <c r="E463" s="2">
        <v>1134.9050474120304</v>
      </c>
      <c r="F463" s="2">
        <v>428.45396446064115</v>
      </c>
      <c r="G463" s="2">
        <v>254.763148650527</v>
      </c>
      <c r="H463" s="2">
        <v>24.634157026652247</v>
      </c>
      <c r="I463" s="2">
        <v>0.81360363006126135</v>
      </c>
      <c r="J463" s="2">
        <v>9</v>
      </c>
      <c r="K463" s="2">
        <v>198.65273148572723</v>
      </c>
      <c r="L463" s="2">
        <v>40</v>
      </c>
      <c r="M463" s="2">
        <v>25</v>
      </c>
      <c r="N463" s="2">
        <v>1.2276163122008432</v>
      </c>
      <c r="O463" s="2">
        <v>52.258490697879573</v>
      </c>
      <c r="P463" s="2">
        <v>1454.6212511253543</v>
      </c>
      <c r="Q463" s="2">
        <v>1.2223542292633565</v>
      </c>
      <c r="R463" s="2">
        <v>53.952721822975171</v>
      </c>
      <c r="S463" s="2">
        <v>1445.0255148863587</v>
      </c>
      <c r="T463" s="2">
        <v>-5.2620829374867562E-3</v>
      </c>
      <c r="U463" s="2">
        <v>1.6942311250955981</v>
      </c>
      <c r="V463" s="2">
        <v>-9.5957362389956415</v>
      </c>
    </row>
    <row r="464" spans="1:22" ht="15">
      <c r="A464" s="2">
        <v>463</v>
      </c>
      <c r="B464" s="2" t="s">
        <v>78</v>
      </c>
      <c r="C464" s="2" t="s">
        <v>13</v>
      </c>
      <c r="D464" s="2">
        <v>1436.3663425901905</v>
      </c>
      <c r="E464" s="2">
        <v>694.51057511614636</v>
      </c>
      <c r="F464" s="2">
        <v>607.53192976117134</v>
      </c>
      <c r="G464" s="2">
        <v>98.633064290042967</v>
      </c>
      <c r="H464" s="2">
        <v>8.9111851742491126</v>
      </c>
      <c r="I464" s="2">
        <v>0.83994074402144181</v>
      </c>
      <c r="J464" s="2">
        <v>9</v>
      </c>
      <c r="K464" s="2">
        <v>190.00895173115308</v>
      </c>
      <c r="L464" s="2">
        <v>55</v>
      </c>
      <c r="M464" s="2">
        <v>25</v>
      </c>
      <c r="N464" s="2">
        <v>1.1948576308037442</v>
      </c>
      <c r="O464" s="2">
        <v>52.193400338122416</v>
      </c>
      <c r="P464" s="2">
        <v>1436.3663425901905</v>
      </c>
      <c r="Q464" s="2">
        <v>1.1988683015483279</v>
      </c>
      <c r="R464" s="2">
        <v>50.718506927574161</v>
      </c>
      <c r="S464" s="2">
        <v>1443.6834549581931</v>
      </c>
      <c r="T464" s="2">
        <v>4.010670744583722E-3</v>
      </c>
      <c r="U464" s="2">
        <v>-1.4748934105482547</v>
      </c>
      <c r="V464" s="2">
        <v>7.317112368002654</v>
      </c>
    </row>
    <row r="465" spans="1:22" ht="15">
      <c r="A465" s="2">
        <v>464</v>
      </c>
      <c r="B465" s="2" t="s">
        <v>78</v>
      </c>
      <c r="C465" s="2" t="s">
        <v>13</v>
      </c>
      <c r="D465" s="2">
        <v>1391.6911065462045</v>
      </c>
      <c r="E465" s="2">
        <v>922.98074048012495</v>
      </c>
      <c r="F465" s="2">
        <v>670.30268451198936</v>
      </c>
      <c r="G465" s="2">
        <v>280.22781763691455</v>
      </c>
      <c r="H465" s="2">
        <v>9.5108788996003568</v>
      </c>
      <c r="I465" s="2">
        <v>0.8373895312752575</v>
      </c>
      <c r="J465" s="2">
        <v>9</v>
      </c>
      <c r="K465" s="2">
        <v>184.65999322479163</v>
      </c>
      <c r="L465" s="2">
        <v>40</v>
      </c>
      <c r="M465" s="2">
        <v>25</v>
      </c>
      <c r="N465" s="2">
        <v>1.1802170112498434</v>
      </c>
      <c r="O465" s="2">
        <v>52.26712724050693</v>
      </c>
      <c r="P465" s="2">
        <v>1391.6911065462045</v>
      </c>
      <c r="Q465" s="2">
        <v>1.1932946027812388</v>
      </c>
      <c r="R465" s="2">
        <v>53.383971191887497</v>
      </c>
      <c r="S465" s="2">
        <v>1387.9022752941689</v>
      </c>
      <c r="T465" s="2">
        <v>1.3077591531395427E-2</v>
      </c>
      <c r="U465" s="2">
        <v>1.1168439513805666</v>
      </c>
      <c r="V465" s="2">
        <v>-3.7888312520356067</v>
      </c>
    </row>
    <row r="466" spans="1:22" ht="15">
      <c r="A466" s="2">
        <v>465</v>
      </c>
      <c r="B466" s="2" t="s">
        <v>78</v>
      </c>
      <c r="C466" s="2" t="s">
        <v>13</v>
      </c>
      <c r="D466" s="2">
        <v>1490.5033917166293</v>
      </c>
      <c r="E466" s="2">
        <v>1221.8650457798503</v>
      </c>
      <c r="F466" s="2">
        <v>361.55131552368402</v>
      </c>
      <c r="G466" s="2">
        <v>297.43703080574051</v>
      </c>
      <c r="H466" s="2">
        <v>24.079264821484685</v>
      </c>
      <c r="I466" s="2">
        <v>0.79467879108386119</v>
      </c>
      <c r="J466" s="2">
        <v>10</v>
      </c>
      <c r="K466" s="2">
        <v>187.56048461841218</v>
      </c>
      <c r="L466" s="2">
        <v>35</v>
      </c>
      <c r="M466" s="2">
        <v>25</v>
      </c>
      <c r="N466" s="2">
        <v>1.2346497361566982</v>
      </c>
      <c r="O466" s="2">
        <v>52.300857850182929</v>
      </c>
      <c r="P466" s="2">
        <v>1490.5033917166293</v>
      </c>
      <c r="Q466" s="2">
        <v>1.2462916506510127</v>
      </c>
      <c r="R466" s="2">
        <v>53.623142818612976</v>
      </c>
      <c r="S466" s="2">
        <v>1483.6416838762068</v>
      </c>
      <c r="T466" s="2">
        <v>1.1641914494314509E-2</v>
      </c>
      <c r="U466" s="2">
        <v>1.3222849684300471</v>
      </c>
      <c r="V466" s="2">
        <v>-6.8617078404224685</v>
      </c>
    </row>
    <row r="467" spans="1:22" ht="15">
      <c r="A467" s="2">
        <v>466</v>
      </c>
      <c r="B467" s="2" t="s">
        <v>78</v>
      </c>
      <c r="C467" s="2" t="s">
        <v>13</v>
      </c>
      <c r="D467" s="2">
        <v>1408.734301070217</v>
      </c>
      <c r="E467" s="2">
        <v>1240.8960954518989</v>
      </c>
      <c r="F467" s="2">
        <v>704.90846419706941</v>
      </c>
      <c r="G467" s="2">
        <v>146.12176005728543</v>
      </c>
      <c r="H467" s="2">
        <v>19.587518468964845</v>
      </c>
      <c r="I467" s="2">
        <v>0.82618697444442668</v>
      </c>
      <c r="J467" s="2">
        <v>9</v>
      </c>
      <c r="K467" s="2">
        <v>189.45594434904157</v>
      </c>
      <c r="L467" s="2">
        <v>35</v>
      </c>
      <c r="M467" s="2">
        <v>25</v>
      </c>
      <c r="N467" s="2">
        <v>1.2233968703889115</v>
      </c>
      <c r="O467" s="2">
        <v>52.301183611400198</v>
      </c>
      <c r="P467" s="2">
        <v>1408.734301070217</v>
      </c>
      <c r="Q467" s="2">
        <v>1.2389857284723187</v>
      </c>
      <c r="R467" s="2">
        <v>53.560175641624106</v>
      </c>
      <c r="S467" s="2">
        <v>1392.3902783120766</v>
      </c>
      <c r="T467" s="2">
        <v>1.5588858083407153E-2</v>
      </c>
      <c r="U467" s="2">
        <v>1.2589920302239079</v>
      </c>
      <c r="V467" s="2">
        <v>-16.344022758140454</v>
      </c>
    </row>
    <row r="468" spans="1:22" ht="15">
      <c r="A468" s="2">
        <v>467</v>
      </c>
      <c r="B468" s="2" t="s">
        <v>78</v>
      </c>
      <c r="C468" s="2" t="s">
        <v>13</v>
      </c>
      <c r="D468" s="2">
        <v>1484.932137443684</v>
      </c>
      <c r="E468" s="2">
        <v>1039.7841244586743</v>
      </c>
      <c r="F468" s="2">
        <v>671.97461985051632</v>
      </c>
      <c r="G468" s="2">
        <v>141.5836686338298</v>
      </c>
      <c r="H468" s="2">
        <v>18.124375251121819</v>
      </c>
      <c r="I468" s="2">
        <v>0.84379935574484999</v>
      </c>
      <c r="J468" s="2">
        <v>9</v>
      </c>
      <c r="K468" s="2">
        <v>195.53518095580969</v>
      </c>
      <c r="L468" s="2">
        <v>40</v>
      </c>
      <c r="M468" s="2">
        <v>25</v>
      </c>
      <c r="N468" s="2">
        <v>1.2147879892763083</v>
      </c>
      <c r="O468" s="2">
        <v>52.263982415738134</v>
      </c>
      <c r="P468" s="2">
        <v>1484.932137443684</v>
      </c>
      <c r="Q468" s="2">
        <v>1.2160934844150768</v>
      </c>
      <c r="R468" s="2">
        <v>52.683547222360417</v>
      </c>
      <c r="S468" s="2">
        <v>1487.1123166976658</v>
      </c>
      <c r="T468" s="2">
        <v>1.3054951387685421E-3</v>
      </c>
      <c r="U468" s="2">
        <v>0.41956480662228302</v>
      </c>
      <c r="V468" s="2">
        <v>2.1801792539818052</v>
      </c>
    </row>
    <row r="469" spans="1:22" ht="15">
      <c r="A469" s="2">
        <v>468</v>
      </c>
      <c r="B469" s="2" t="s">
        <v>78</v>
      </c>
      <c r="C469" s="2" t="s">
        <v>13</v>
      </c>
      <c r="D469" s="2">
        <v>1453.3665282069705</v>
      </c>
      <c r="E469" s="2">
        <v>841.68691546656191</v>
      </c>
      <c r="F469" s="2">
        <v>729.32994542643428</v>
      </c>
      <c r="G469" s="2">
        <v>249.89882790949196</v>
      </c>
      <c r="H469" s="2">
        <v>21.687787547241896</v>
      </c>
      <c r="I469" s="2">
        <v>0.81469271706417201</v>
      </c>
      <c r="J469" s="2">
        <v>9</v>
      </c>
      <c r="K469" s="2">
        <v>198.21604688293115</v>
      </c>
      <c r="L469" s="2">
        <v>40</v>
      </c>
      <c r="M469" s="2">
        <v>25</v>
      </c>
      <c r="N469" s="2">
        <v>1.2139971941471379</v>
      </c>
      <c r="O469" s="2">
        <v>52.258926278776521</v>
      </c>
      <c r="P469" s="2">
        <v>1453.3665282069705</v>
      </c>
      <c r="Q469" s="2">
        <v>1.21904723344198</v>
      </c>
      <c r="R469" s="2">
        <v>52.625569112150217</v>
      </c>
      <c r="S469" s="2">
        <v>1451.6854025138523</v>
      </c>
      <c r="T469" s="2">
        <v>5.0500392948420458E-3</v>
      </c>
      <c r="U469" s="2">
        <v>0.36664283337369596</v>
      </c>
      <c r="V469" s="2">
        <v>-1.681125693118247</v>
      </c>
    </row>
    <row r="470" spans="1:22" ht="15">
      <c r="A470" s="2">
        <v>469</v>
      </c>
      <c r="B470" s="2" t="s">
        <v>78</v>
      </c>
      <c r="C470" s="2" t="s">
        <v>13</v>
      </c>
      <c r="D470" s="2">
        <v>1385.5523378122598</v>
      </c>
      <c r="E470" s="2">
        <v>992.19763985602185</v>
      </c>
      <c r="F470" s="2">
        <v>737.64647822827101</v>
      </c>
      <c r="G470" s="2">
        <v>172.87506371038035</v>
      </c>
      <c r="H470" s="2">
        <v>23.350677236914635</v>
      </c>
      <c r="I470" s="2">
        <v>0.85752222506562248</v>
      </c>
      <c r="J470" s="2">
        <v>9</v>
      </c>
      <c r="K470" s="2">
        <v>179.52917750340129</v>
      </c>
      <c r="L470" s="2">
        <v>35</v>
      </c>
      <c r="M470" s="2">
        <v>25</v>
      </c>
      <c r="N470" s="2">
        <v>1.1452629617465366</v>
      </c>
      <c r="O470" s="2">
        <v>52.271681488421329</v>
      </c>
      <c r="P470" s="2">
        <v>1385.5523378122598</v>
      </c>
      <c r="Q470" s="2">
        <v>1.1460771837682793</v>
      </c>
      <c r="R470" s="2">
        <v>52.032194601697412</v>
      </c>
      <c r="S470" s="2">
        <v>1380.0829042208197</v>
      </c>
      <c r="T470" s="2">
        <v>8.142220217426388E-4</v>
      </c>
      <c r="U470" s="2">
        <v>-0.23948688672391683</v>
      </c>
      <c r="V470" s="2">
        <v>-5.4694335914400654</v>
      </c>
    </row>
    <row r="471" spans="1:22" ht="15">
      <c r="A471" s="2">
        <v>470</v>
      </c>
      <c r="B471" s="2" t="s">
        <v>78</v>
      </c>
      <c r="C471" s="2" t="s">
        <v>13</v>
      </c>
      <c r="D471" s="2">
        <v>1405.4653656785376</v>
      </c>
      <c r="E471" s="2">
        <v>700.60380974318832</v>
      </c>
      <c r="F471" s="2">
        <v>448.37351562455297</v>
      </c>
      <c r="G471" s="2">
        <v>124.07634260132909</v>
      </c>
      <c r="H471" s="2">
        <v>28.520321405027062</v>
      </c>
      <c r="I471" s="2">
        <v>0.8192097211396322</v>
      </c>
      <c r="J471" s="2">
        <v>9</v>
      </c>
      <c r="K471" s="2">
        <v>190.62617835086562</v>
      </c>
      <c r="L471" s="2">
        <v>55</v>
      </c>
      <c r="M471" s="2">
        <v>25</v>
      </c>
      <c r="N471" s="2">
        <v>1.166460449802214</v>
      </c>
      <c r="O471" s="2">
        <v>52.17350089317808</v>
      </c>
      <c r="P471" s="2">
        <v>1405.4653656785376</v>
      </c>
      <c r="Q471" s="2">
        <v>1.1428365929198252</v>
      </c>
      <c r="R471" s="2">
        <v>52.648685184279742</v>
      </c>
      <c r="S471" s="2">
        <v>1405.0307720404949</v>
      </c>
      <c r="T471" s="2">
        <v>-2.3623856882388772E-2</v>
      </c>
      <c r="U471" s="2">
        <v>0.47518429110166238</v>
      </c>
      <c r="V471" s="2">
        <v>-0.43459363804277018</v>
      </c>
    </row>
    <row r="472" spans="1:22" ht="15">
      <c r="A472" s="2">
        <v>471</v>
      </c>
      <c r="B472" s="2" t="s">
        <v>78</v>
      </c>
      <c r="C472" s="2" t="s">
        <v>13</v>
      </c>
      <c r="D472" s="2">
        <v>1368.0029471637681</v>
      </c>
      <c r="E472" s="2">
        <v>1211.1645238590427</v>
      </c>
      <c r="F472" s="2">
        <v>370.01271098852158</v>
      </c>
      <c r="G472" s="2">
        <v>175.11584875872359</v>
      </c>
      <c r="H472" s="2">
        <v>9.5111454678699374</v>
      </c>
      <c r="I472" s="2">
        <v>0.84919264148687945</v>
      </c>
      <c r="J472" s="2">
        <v>9</v>
      </c>
      <c r="K472" s="2">
        <v>178.99392910011386</v>
      </c>
      <c r="L472" s="2">
        <v>45</v>
      </c>
      <c r="M472" s="2">
        <v>25</v>
      </c>
      <c r="N472" s="2">
        <v>1.2359204332979961</v>
      </c>
      <c r="O472" s="2">
        <v>52.248849999061299</v>
      </c>
      <c r="P472" s="2">
        <v>1368.0029471637681</v>
      </c>
      <c r="Q472" s="2">
        <v>1.2541217639551654</v>
      </c>
      <c r="R472" s="2">
        <v>53.86228157422282</v>
      </c>
      <c r="S472" s="2">
        <v>1373.4300517985907</v>
      </c>
      <c r="T472" s="2">
        <v>1.8201330657169335E-2</v>
      </c>
      <c r="U472" s="2">
        <v>1.6134315751615205</v>
      </c>
      <c r="V472" s="2">
        <v>5.4271046348226264</v>
      </c>
    </row>
    <row r="473" spans="1:22" ht="15">
      <c r="A473" s="2">
        <v>472</v>
      </c>
      <c r="B473" s="2" t="s">
        <v>78</v>
      </c>
      <c r="C473" s="2" t="s">
        <v>13</v>
      </c>
      <c r="D473" s="2">
        <v>1426.0814654524438</v>
      </c>
      <c r="E473" s="2">
        <v>975.6671748124063</v>
      </c>
      <c r="F473" s="2">
        <v>600.8300325833261</v>
      </c>
      <c r="G473" s="2">
        <v>176.50809376034886</v>
      </c>
      <c r="H473" s="2">
        <v>25.052942534442991</v>
      </c>
      <c r="I473" s="2">
        <v>0.84207248811610047</v>
      </c>
      <c r="J473" s="2">
        <v>9</v>
      </c>
      <c r="K473" s="2">
        <v>188.17085036928071</v>
      </c>
      <c r="L473" s="2">
        <v>40</v>
      </c>
      <c r="M473" s="2">
        <v>25</v>
      </c>
      <c r="N473" s="2">
        <v>1.1903471680324902</v>
      </c>
      <c r="O473" s="2">
        <v>52.248337351582755</v>
      </c>
      <c r="P473" s="2">
        <v>1426.0814654524438</v>
      </c>
      <c r="Q473" s="2">
        <v>1.181852244282559</v>
      </c>
      <c r="R473" s="2">
        <v>51.468757785036992</v>
      </c>
      <c r="S473" s="2">
        <v>1418.7406370437386</v>
      </c>
      <c r="T473" s="2">
        <v>-8.4949237499312158E-3</v>
      </c>
      <c r="U473" s="2">
        <v>-0.77957956654576321</v>
      </c>
      <c r="V473" s="2">
        <v>-7.3408284087051925</v>
      </c>
    </row>
    <row r="474" spans="1:22" ht="15">
      <c r="A474" s="2">
        <v>473</v>
      </c>
      <c r="B474" s="2" t="s">
        <v>78</v>
      </c>
      <c r="C474" s="2" t="s">
        <v>13</v>
      </c>
      <c r="D474" s="2">
        <v>1489.8692809045315</v>
      </c>
      <c r="E474" s="2">
        <v>817.56718180840835</v>
      </c>
      <c r="F474" s="2">
        <v>729.53466046601534</v>
      </c>
      <c r="G474" s="2">
        <v>220.71211457485333</v>
      </c>
      <c r="H474" s="2">
        <v>20.454613683745265</v>
      </c>
      <c r="I474" s="2">
        <v>0.79965819110395386</v>
      </c>
      <c r="J474" s="2">
        <v>10</v>
      </c>
      <c r="K474" s="2">
        <v>186.3132645271499</v>
      </c>
      <c r="L474" s="2">
        <v>35</v>
      </c>
      <c r="M474" s="2">
        <v>25</v>
      </c>
      <c r="N474" s="2">
        <v>1.1488249558989549</v>
      </c>
      <c r="O474" s="2">
        <v>52.281273768024136</v>
      </c>
      <c r="P474" s="2">
        <v>1489.8692809045315</v>
      </c>
      <c r="Q474" s="2">
        <v>1.1557848301416522</v>
      </c>
      <c r="R474" s="2">
        <v>52.168835681444833</v>
      </c>
      <c r="S474" s="2">
        <v>1482.5184975846944</v>
      </c>
      <c r="T474" s="2">
        <v>6.9598742426972837E-3</v>
      </c>
      <c r="U474" s="2">
        <v>-0.11243808657930288</v>
      </c>
      <c r="V474" s="2">
        <v>-7.3507833198370918</v>
      </c>
    </row>
    <row r="475" spans="1:22" ht="15">
      <c r="A475" s="2">
        <v>474</v>
      </c>
      <c r="B475" s="2" t="s">
        <v>78</v>
      </c>
      <c r="C475" s="2" t="s">
        <v>13</v>
      </c>
      <c r="D475" s="2">
        <v>1421.8610657961108</v>
      </c>
      <c r="E475" s="2">
        <v>929.13602462504059</v>
      </c>
      <c r="F475" s="2">
        <v>469.89734033122659</v>
      </c>
      <c r="G475" s="2">
        <v>214.27626504562795</v>
      </c>
      <c r="H475" s="2">
        <v>8.8001019028015435</v>
      </c>
      <c r="I475" s="2">
        <v>0.79895126954186713</v>
      </c>
      <c r="J475" s="2">
        <v>9</v>
      </c>
      <c r="K475" s="2">
        <v>197.73992343341001</v>
      </c>
      <c r="L475" s="2">
        <v>50</v>
      </c>
      <c r="M475" s="2">
        <v>25</v>
      </c>
      <c r="N475" s="2">
        <v>1.2525598237817699</v>
      </c>
      <c r="O475" s="2">
        <v>52.226555304058046</v>
      </c>
      <c r="P475" s="2">
        <v>1421.8610657961108</v>
      </c>
      <c r="Q475" s="2">
        <v>1.2672477320433113</v>
      </c>
      <c r="R475" s="2">
        <v>51.343197063837472</v>
      </c>
      <c r="S475" s="2">
        <v>1427.0763198972943</v>
      </c>
      <c r="T475" s="2">
        <v>1.4687908261541427E-2</v>
      </c>
      <c r="U475" s="2">
        <v>-0.88335824022057352</v>
      </c>
      <c r="V475" s="2">
        <v>5.2152541011835183</v>
      </c>
    </row>
    <row r="476" spans="1:22" ht="15">
      <c r="A476" s="2">
        <v>475</v>
      </c>
      <c r="B476" s="2" t="s">
        <v>79</v>
      </c>
      <c r="C476" s="2" t="s">
        <v>13</v>
      </c>
      <c r="D476" s="2">
        <v>1411.3879524869844</v>
      </c>
      <c r="E476" s="2">
        <v>673.76890598097816</v>
      </c>
      <c r="F476" s="2">
        <v>437.18287386000156</v>
      </c>
      <c r="G476" s="2">
        <v>184.71188015071675</v>
      </c>
      <c r="H476" s="2">
        <v>16.91658812109381</v>
      </c>
      <c r="I476" s="2">
        <v>0.81238650615094232</v>
      </c>
      <c r="J476" s="2">
        <v>9</v>
      </c>
      <c r="K476" s="2">
        <v>193.03728265093491</v>
      </c>
      <c r="L476" s="2">
        <v>60</v>
      </c>
      <c r="M476" s="2">
        <v>25</v>
      </c>
      <c r="N476" s="2">
        <v>1.2320903777142518</v>
      </c>
      <c r="O476" s="2">
        <v>52.1770263561842</v>
      </c>
      <c r="P476" s="2">
        <v>1411.3879524869844</v>
      </c>
      <c r="Q476" s="2">
        <v>1.2232926169862632</v>
      </c>
      <c r="R476" s="2">
        <v>52.265630209419086</v>
      </c>
      <c r="S476" s="2">
        <v>1431.2163266254645</v>
      </c>
      <c r="T476" s="2">
        <v>-8.7977607279885461E-3</v>
      </c>
      <c r="U476" s="2">
        <v>8.8603853234886287E-2</v>
      </c>
      <c r="V476" s="2">
        <v>19.828374138480058</v>
      </c>
    </row>
    <row r="477" spans="1:22" ht="15">
      <c r="A477" s="2">
        <v>476</v>
      </c>
      <c r="B477" s="2" t="s">
        <v>79</v>
      </c>
      <c r="C477" s="2" t="s">
        <v>13</v>
      </c>
      <c r="D477" s="2">
        <v>1401.3409093371592</v>
      </c>
      <c r="E477" s="2">
        <v>1087.6067339908332</v>
      </c>
      <c r="F477" s="2">
        <v>474.51709164306521</v>
      </c>
      <c r="G477" s="2">
        <v>271.49647641461343</v>
      </c>
      <c r="H477" s="2">
        <v>28.365050430875272</v>
      </c>
      <c r="I477" s="2">
        <v>0.83060619838535787</v>
      </c>
      <c r="J477" s="2">
        <v>9</v>
      </c>
      <c r="K477" s="2">
        <v>187.45892552281174</v>
      </c>
      <c r="L477" s="2">
        <v>40</v>
      </c>
      <c r="M477" s="2">
        <v>25</v>
      </c>
      <c r="N477" s="2">
        <v>1.2561277855885151</v>
      </c>
      <c r="O477" s="2">
        <v>52.260907245596911</v>
      </c>
      <c r="P477" s="2">
        <v>1401.3409093371592</v>
      </c>
      <c r="Q477" s="2">
        <v>1.246598082562262</v>
      </c>
      <c r="R477" s="2">
        <v>53.726311550687349</v>
      </c>
      <c r="S477" s="2">
        <v>1378.6881954174316</v>
      </c>
      <c r="T477" s="2">
        <v>-9.5297030262531113E-3</v>
      </c>
      <c r="U477" s="2">
        <v>1.4654043050904377</v>
      </c>
      <c r="V477" s="2">
        <v>-22.652713919727603</v>
      </c>
    </row>
    <row r="478" spans="1:22" ht="15">
      <c r="A478" s="2">
        <v>477</v>
      </c>
      <c r="B478" s="2" t="s">
        <v>79</v>
      </c>
      <c r="C478" s="2" t="s">
        <v>13</v>
      </c>
      <c r="D478" s="2">
        <v>1414.1796119045466</v>
      </c>
      <c r="E478" s="2">
        <v>1050.3009826759808</v>
      </c>
      <c r="F478" s="2">
        <v>532.5433349236846</v>
      </c>
      <c r="G478" s="2">
        <v>104.36939702602103</v>
      </c>
      <c r="H478" s="2">
        <v>10.604952316731215</v>
      </c>
      <c r="I478" s="2">
        <v>0.82642705317819498</v>
      </c>
      <c r="J478" s="2">
        <v>9</v>
      </c>
      <c r="K478" s="2">
        <v>190.13301583620026</v>
      </c>
      <c r="L478" s="2">
        <v>45</v>
      </c>
      <c r="M478" s="2">
        <v>25</v>
      </c>
      <c r="N478" s="2">
        <v>1.1945583649959408</v>
      </c>
      <c r="O478" s="2">
        <v>52.238078798453003</v>
      </c>
      <c r="P478" s="2">
        <v>1414.1796119045466</v>
      </c>
      <c r="Q478" s="2">
        <v>1.2034652744726175</v>
      </c>
      <c r="R478" s="2">
        <v>52.494208295200465</v>
      </c>
      <c r="S478" s="2">
        <v>1421.0267822823421</v>
      </c>
      <c r="T478" s="2">
        <v>8.9069094766767165E-3</v>
      </c>
      <c r="U478" s="2">
        <v>0.25612949674746233</v>
      </c>
      <c r="V478" s="2">
        <v>6.8471703777954644</v>
      </c>
    </row>
    <row r="479" spans="1:22" ht="15">
      <c r="A479" s="2">
        <v>478</v>
      </c>
      <c r="B479" s="2" t="s">
        <v>80</v>
      </c>
      <c r="C479" s="2" t="s">
        <v>13</v>
      </c>
      <c r="D479" s="2">
        <v>1499.623135488946</v>
      </c>
      <c r="E479" s="2">
        <v>751.70971292536706</v>
      </c>
      <c r="F479" s="2">
        <v>604.37001781538129</v>
      </c>
      <c r="G479" s="2">
        <v>172.70708542317152</v>
      </c>
      <c r="H479" s="2">
        <v>14.19352780515328</v>
      </c>
      <c r="I479" s="2">
        <v>0.85701980780344456</v>
      </c>
      <c r="J479" s="2">
        <v>9</v>
      </c>
      <c r="K479" s="2">
        <v>194.42350260161092</v>
      </c>
      <c r="L479" s="2">
        <v>50</v>
      </c>
      <c r="M479" s="2">
        <v>25</v>
      </c>
      <c r="N479" s="2">
        <v>1.2129397441128478</v>
      </c>
      <c r="O479" s="2">
        <v>52.213376084310354</v>
      </c>
      <c r="P479" s="2">
        <v>1499.623135488946</v>
      </c>
      <c r="Q479" s="2">
        <v>1.2142848640662227</v>
      </c>
      <c r="R479" s="2">
        <v>52.427315391538343</v>
      </c>
      <c r="S479" s="2">
        <v>1512.6444294911846</v>
      </c>
      <c r="T479" s="2">
        <v>1.3451199533749403E-3</v>
      </c>
      <c r="U479" s="2">
        <v>0.21393930722798871</v>
      </c>
      <c r="V479" s="2">
        <v>13.021294002238619</v>
      </c>
    </row>
    <row r="480" spans="1:22" ht="15">
      <c r="A480" s="2">
        <v>479</v>
      </c>
      <c r="B480" s="2" t="s">
        <v>80</v>
      </c>
      <c r="C480" s="2" t="s">
        <v>13</v>
      </c>
      <c r="D480" s="2">
        <v>1455.3813118720427</v>
      </c>
      <c r="E480" s="2">
        <v>658.73403392033651</v>
      </c>
      <c r="F480" s="2">
        <v>670.77257260680199</v>
      </c>
      <c r="G480" s="2">
        <v>118.02845388418064</v>
      </c>
      <c r="H480" s="2">
        <v>18.667233190499246</v>
      </c>
      <c r="I480" s="2">
        <v>0.82665426278254017</v>
      </c>
      <c r="J480" s="2">
        <v>9</v>
      </c>
      <c r="K480" s="2">
        <v>195.61870292440312</v>
      </c>
      <c r="L480" s="2">
        <v>50</v>
      </c>
      <c r="M480" s="2">
        <v>25</v>
      </c>
      <c r="N480" s="2">
        <v>1.171220935712288</v>
      </c>
      <c r="O480" s="2">
        <v>52.200706904294627</v>
      </c>
      <c r="P480" s="2">
        <v>1455.3813118720427</v>
      </c>
      <c r="Q480" s="2">
        <v>1.1633588547834595</v>
      </c>
      <c r="R480" s="2">
        <v>52.317557979753559</v>
      </c>
      <c r="S480" s="2">
        <v>1461.8622439175356</v>
      </c>
      <c r="T480" s="2">
        <v>-7.8620809288285631E-3</v>
      </c>
      <c r="U480" s="2">
        <v>0.11685107545893203</v>
      </c>
      <c r="V480" s="2">
        <v>6.4809320454928638</v>
      </c>
    </row>
    <row r="481" spans="1:22" ht="15">
      <c r="A481" s="2">
        <v>480</v>
      </c>
      <c r="B481" s="2" t="s">
        <v>80</v>
      </c>
      <c r="C481" s="2" t="s">
        <v>13</v>
      </c>
      <c r="D481" s="2">
        <v>1457.0685749757104</v>
      </c>
      <c r="E481" s="2">
        <v>839.07710760831833</v>
      </c>
      <c r="F481" s="2">
        <v>642.91441133245826</v>
      </c>
      <c r="G481" s="2">
        <v>239.34396826196462</v>
      </c>
      <c r="H481" s="2">
        <v>14.845365108456463</v>
      </c>
      <c r="I481" s="2">
        <v>0.79811570103280249</v>
      </c>
      <c r="J481" s="2">
        <v>10</v>
      </c>
      <c r="K481" s="2">
        <v>182.56357732220894</v>
      </c>
      <c r="L481" s="2">
        <v>40</v>
      </c>
      <c r="M481" s="2">
        <v>25</v>
      </c>
      <c r="N481" s="2">
        <v>1.2248786558024105</v>
      </c>
      <c r="O481" s="2">
        <v>52.273221373157867</v>
      </c>
      <c r="P481" s="2">
        <v>1457.0685749757104</v>
      </c>
      <c r="Q481" s="2">
        <v>1.241962197044612</v>
      </c>
      <c r="R481" s="2">
        <v>51.214573840206683</v>
      </c>
      <c r="S481" s="2">
        <v>1468.3306762887692</v>
      </c>
      <c r="T481" s="2">
        <v>1.7083541242201461E-2</v>
      </c>
      <c r="U481" s="2">
        <v>-1.0586475329511842</v>
      </c>
      <c r="V481" s="2">
        <v>11.262101313058793</v>
      </c>
    </row>
    <row r="482" spans="1:22" ht="15">
      <c r="A482" s="2">
        <v>481</v>
      </c>
      <c r="B482" s="2" t="s">
        <v>78</v>
      </c>
      <c r="C482" s="2" t="s">
        <v>13</v>
      </c>
      <c r="D482" s="2">
        <v>1386.6889997385442</v>
      </c>
      <c r="E482" s="2">
        <v>1218.3666504337452</v>
      </c>
      <c r="F482" s="2">
        <v>474.46609977632761</v>
      </c>
      <c r="G482" s="2">
        <v>223.22336303303018</v>
      </c>
      <c r="H482" s="2">
        <v>23.608520204201341</v>
      </c>
      <c r="I482" s="2">
        <v>0.81954761612461879</v>
      </c>
      <c r="J482" s="2">
        <v>9</v>
      </c>
      <c r="K482" s="2">
        <v>188.00195680524843</v>
      </c>
      <c r="L482" s="2">
        <v>35</v>
      </c>
      <c r="M482" s="2">
        <v>25</v>
      </c>
      <c r="N482" s="2">
        <v>1.1538358502582429</v>
      </c>
      <c r="O482" s="2">
        <v>52.273761049457427</v>
      </c>
      <c r="P482" s="2">
        <v>1386.6889997385442</v>
      </c>
      <c r="Q482" s="2">
        <v>1.1669106769997815</v>
      </c>
      <c r="R482" s="2">
        <v>53.426721841780932</v>
      </c>
      <c r="S482" s="2">
        <v>1378.3714074279187</v>
      </c>
      <c r="T482" s="2">
        <v>1.3074826741538592E-2</v>
      </c>
      <c r="U482" s="2">
        <v>1.1529607923235048</v>
      </c>
      <c r="V482" s="2">
        <v>-8.3175923106255141</v>
      </c>
    </row>
    <row r="483" spans="1:22" ht="15">
      <c r="A483" s="2">
        <v>482</v>
      </c>
      <c r="B483" s="2" t="s">
        <v>78</v>
      </c>
      <c r="C483" s="2" t="s">
        <v>13</v>
      </c>
      <c r="D483" s="2">
        <v>1440.1371085667051</v>
      </c>
      <c r="E483" s="2">
        <v>1059.5378267811611</v>
      </c>
      <c r="F483" s="2">
        <v>445.11821204796433</v>
      </c>
      <c r="G483" s="2">
        <v>290.21020435728133</v>
      </c>
      <c r="H483" s="2">
        <v>25.549382128287107</v>
      </c>
      <c r="I483" s="2">
        <v>0.8233473079511896</v>
      </c>
      <c r="J483" s="2">
        <v>9</v>
      </c>
      <c r="K483" s="2">
        <v>194.34718828846357</v>
      </c>
      <c r="L483" s="2">
        <v>40</v>
      </c>
      <c r="M483" s="2">
        <v>25</v>
      </c>
      <c r="N483" s="2">
        <v>1.2182492829887797</v>
      </c>
      <c r="O483" s="2">
        <v>52.254864518968844</v>
      </c>
      <c r="P483" s="2">
        <v>1440.1371085667051</v>
      </c>
      <c r="Q483" s="2">
        <v>1.2174900158446786</v>
      </c>
      <c r="R483" s="2">
        <v>52.234079124237908</v>
      </c>
      <c r="S483" s="2">
        <v>1432.8296559014027</v>
      </c>
      <c r="T483" s="2">
        <v>-7.5926714410101681E-4</v>
      </c>
      <c r="U483" s="2">
        <v>-2.0785394730935991E-2</v>
      </c>
      <c r="V483" s="2">
        <v>-7.307452665302435</v>
      </c>
    </row>
    <row r="484" spans="1:22" ht="15">
      <c r="A484" s="2">
        <v>483</v>
      </c>
      <c r="B484" s="2" t="s">
        <v>78</v>
      </c>
      <c r="C484" s="2" t="s">
        <v>13</v>
      </c>
      <c r="D484" s="2">
        <v>1361.1311800545081</v>
      </c>
      <c r="E484" s="2">
        <v>655.85851311916485</v>
      </c>
      <c r="F484" s="2">
        <v>408.4577601402998</v>
      </c>
      <c r="G484" s="2">
        <v>141.01545103592798</v>
      </c>
      <c r="H484" s="2">
        <v>12.633426268585026</v>
      </c>
      <c r="I484" s="2">
        <v>0.81244203784270219</v>
      </c>
      <c r="J484" s="2">
        <v>9</v>
      </c>
      <c r="K484" s="2">
        <v>186.15087691106817</v>
      </c>
      <c r="L484" s="2">
        <v>65</v>
      </c>
      <c r="M484" s="2">
        <v>25</v>
      </c>
      <c r="N484" s="2">
        <v>1.2217982511206995</v>
      </c>
      <c r="O484" s="2">
        <v>52.162941349110753</v>
      </c>
      <c r="P484" s="2">
        <v>1361.1311800545081</v>
      </c>
      <c r="Q484" s="2">
        <v>1.2265393209560065</v>
      </c>
      <c r="R484" s="2">
        <v>51.104032971664836</v>
      </c>
      <c r="S484" s="2">
        <v>1376.5634328014653</v>
      </c>
      <c r="T484" s="2">
        <v>4.7410698353069769E-3</v>
      </c>
      <c r="U484" s="2">
        <v>-1.0589083774459169</v>
      </c>
      <c r="V484" s="2">
        <v>15.432252746957147</v>
      </c>
    </row>
    <row r="485" spans="1:22" ht="15">
      <c r="A485" s="2">
        <v>484</v>
      </c>
      <c r="B485" s="2" t="s">
        <v>78</v>
      </c>
      <c r="C485" s="2" t="s">
        <v>13</v>
      </c>
      <c r="D485" s="2">
        <v>1497.7283615036868</v>
      </c>
      <c r="E485" s="2">
        <v>757.48252053745091</v>
      </c>
      <c r="F485" s="2">
        <v>624.42571250721812</v>
      </c>
      <c r="G485" s="2">
        <v>175.96141648944467</v>
      </c>
      <c r="H485" s="2">
        <v>28.750319577287883</v>
      </c>
      <c r="I485" s="2">
        <v>0.79918871073052289</v>
      </c>
      <c r="J485" s="2">
        <v>10</v>
      </c>
      <c r="K485" s="2">
        <v>187.40609588123965</v>
      </c>
      <c r="L485" s="2">
        <v>40</v>
      </c>
      <c r="M485" s="2">
        <v>25</v>
      </c>
      <c r="N485" s="2">
        <v>1.1812064543050751</v>
      </c>
      <c r="O485" s="2">
        <v>52.244900916781781</v>
      </c>
      <c r="P485" s="2">
        <v>1497.7283615036868</v>
      </c>
      <c r="Q485" s="2">
        <v>1.1849480938324766</v>
      </c>
      <c r="R485" s="2">
        <v>51.011512975408039</v>
      </c>
      <c r="S485" s="2">
        <v>1489.3137161170507</v>
      </c>
      <c r="T485" s="2">
        <v>3.7416395274014747E-3</v>
      </c>
      <c r="U485" s="2">
        <v>-1.2333879413737421</v>
      </c>
      <c r="V485" s="2">
        <v>-8.4146453866360389</v>
      </c>
    </row>
    <row r="486" spans="1:22" ht="15">
      <c r="A486" s="2">
        <v>485</v>
      </c>
      <c r="B486" s="2" t="s">
        <v>78</v>
      </c>
      <c r="C486" s="2" t="s">
        <v>13</v>
      </c>
      <c r="D486" s="2">
        <v>1366.7522145900875</v>
      </c>
      <c r="E486" s="2">
        <v>1100.0699659693055</v>
      </c>
      <c r="F486" s="2">
        <v>450.64568649977446</v>
      </c>
      <c r="G486" s="2">
        <v>177.34264138387516</v>
      </c>
      <c r="H486" s="2">
        <v>14.08665094524622</v>
      </c>
      <c r="I486" s="2">
        <v>0.83409405434736983</v>
      </c>
      <c r="J486" s="2">
        <v>9</v>
      </c>
      <c r="K486" s="2">
        <v>182.06742559206839</v>
      </c>
      <c r="L486" s="2">
        <v>45</v>
      </c>
      <c r="M486" s="2">
        <v>25</v>
      </c>
      <c r="N486" s="2">
        <v>1.2392541671641848</v>
      </c>
      <c r="O486" s="2">
        <v>52.24444748946901</v>
      </c>
      <c r="P486" s="2">
        <v>1366.7522145900875</v>
      </c>
      <c r="Q486" s="2">
        <v>1.2494095242273167</v>
      </c>
      <c r="R486" s="2">
        <v>52.112096881125268</v>
      </c>
      <c r="S486" s="2">
        <v>1374.7216400345633</v>
      </c>
      <c r="T486" s="2">
        <v>1.0155357063131865E-2</v>
      </c>
      <c r="U486" s="2">
        <v>-0.13235060834374224</v>
      </c>
      <c r="V486" s="2">
        <v>7.9694254444757462</v>
      </c>
    </row>
    <row r="487" spans="1:22" ht="15">
      <c r="A487" s="2">
        <v>486</v>
      </c>
      <c r="B487" s="2" t="s">
        <v>78</v>
      </c>
      <c r="C487" s="2" t="s">
        <v>13</v>
      </c>
      <c r="D487" s="2">
        <v>1488.7099894811399</v>
      </c>
      <c r="E487" s="2">
        <v>1166.1555915838107</v>
      </c>
      <c r="F487" s="2">
        <v>682.01552303507924</v>
      </c>
      <c r="G487" s="2">
        <v>225.56697150692344</v>
      </c>
      <c r="H487" s="2">
        <v>23.1592808351852</v>
      </c>
      <c r="I487" s="2">
        <v>0.85085444287862633</v>
      </c>
      <c r="J487" s="2">
        <v>9</v>
      </c>
      <c r="K487" s="2">
        <v>194.40718966435003</v>
      </c>
      <c r="L487" s="2">
        <v>35</v>
      </c>
      <c r="M487" s="2">
        <v>25</v>
      </c>
      <c r="N487" s="2">
        <v>1.2348652022262239</v>
      </c>
      <c r="O487" s="2">
        <v>52.298347611079166</v>
      </c>
      <c r="P487" s="2">
        <v>1488.7099894811399</v>
      </c>
      <c r="Q487" s="2">
        <v>1.246189412013367</v>
      </c>
      <c r="R487" s="2">
        <v>52.812695278241172</v>
      </c>
      <c r="S487" s="2">
        <v>1470.1630613745201</v>
      </c>
      <c r="T487" s="2">
        <v>1.1324209787143102E-2</v>
      </c>
      <c r="U487" s="2">
        <v>0.51434766716200642</v>
      </c>
      <c r="V487" s="2">
        <v>-18.546928106619816</v>
      </c>
    </row>
    <row r="488" spans="1:22" ht="15">
      <c r="A488" s="2">
        <v>487</v>
      </c>
      <c r="B488" s="2" t="s">
        <v>78</v>
      </c>
      <c r="C488" s="2" t="s">
        <v>13</v>
      </c>
      <c r="D488" s="2">
        <v>1462.6630234764889</v>
      </c>
      <c r="E488" s="2">
        <v>619.77039390476421</v>
      </c>
      <c r="F488" s="2">
        <v>515.1436984539032</v>
      </c>
      <c r="G488" s="2">
        <v>273.18510772427544</v>
      </c>
      <c r="H488" s="2">
        <v>8.0397533653303981</v>
      </c>
      <c r="I488" s="2">
        <v>0.85893066085642211</v>
      </c>
      <c r="J488" s="2">
        <v>9</v>
      </c>
      <c r="K488" s="2">
        <v>189.2098176557889</v>
      </c>
      <c r="L488" s="2">
        <v>55</v>
      </c>
      <c r="M488" s="2">
        <v>25</v>
      </c>
      <c r="N488" s="2">
        <v>1.1974303131942572</v>
      </c>
      <c r="O488" s="2">
        <v>52.194557867772929</v>
      </c>
      <c r="P488" s="2">
        <v>1462.6630234764889</v>
      </c>
      <c r="Q488" s="2">
        <v>1.1983804401191362</v>
      </c>
      <c r="R488" s="2">
        <v>52.419203148366236</v>
      </c>
      <c r="S488" s="2">
        <v>1473.1140347337457</v>
      </c>
      <c r="T488" s="2">
        <v>9.5012692487905781E-4</v>
      </c>
      <c r="U488" s="2">
        <v>0.22464528059330746</v>
      </c>
      <c r="V488" s="2">
        <v>10.451011257256823</v>
      </c>
    </row>
    <row r="489" spans="1:22" ht="15">
      <c r="A489" s="2">
        <v>488</v>
      </c>
      <c r="B489" s="2" t="s">
        <v>78</v>
      </c>
      <c r="C489" s="2" t="s">
        <v>13</v>
      </c>
      <c r="D489" s="2">
        <v>1405.1391714136116</v>
      </c>
      <c r="E489" s="2">
        <v>880.3988971747458</v>
      </c>
      <c r="F489" s="2">
        <v>705.54706221446395</v>
      </c>
      <c r="G489" s="2">
        <v>247.59982483927161</v>
      </c>
      <c r="H489" s="2">
        <v>21.856267196591944</v>
      </c>
      <c r="I489" s="2">
        <v>0.82929196284152573</v>
      </c>
      <c r="J489" s="2">
        <v>9</v>
      </c>
      <c r="K489" s="2">
        <v>188.26490741156204</v>
      </c>
      <c r="L489" s="2">
        <v>40</v>
      </c>
      <c r="M489" s="2">
        <v>25</v>
      </c>
      <c r="N489" s="2">
        <v>1.2225120097370485</v>
      </c>
      <c r="O489" s="2">
        <v>52.260895626405819</v>
      </c>
      <c r="P489" s="2">
        <v>1405.1391714136116</v>
      </c>
      <c r="Q489" s="2">
        <v>1.213269391649819</v>
      </c>
      <c r="R489" s="2">
        <v>51.500274417055778</v>
      </c>
      <c r="S489" s="2">
        <v>1393.8747825615922</v>
      </c>
      <c r="T489" s="2">
        <v>-9.2426180872295927E-3</v>
      </c>
      <c r="U489" s="2">
        <v>-0.76062120935004174</v>
      </c>
      <c r="V489" s="2">
        <v>-11.264388852019465</v>
      </c>
    </row>
    <row r="490" spans="1:22" ht="15">
      <c r="A490" s="2">
        <v>489</v>
      </c>
      <c r="B490" s="2" t="s">
        <v>78</v>
      </c>
      <c r="C490" s="2" t="s">
        <v>13</v>
      </c>
      <c r="D490" s="2">
        <v>1370.9931230172515</v>
      </c>
      <c r="E490" s="2">
        <v>875.16877468442544</v>
      </c>
      <c r="F490" s="2">
        <v>570.38509268313646</v>
      </c>
      <c r="G490" s="2">
        <v>199.26599178696051</v>
      </c>
      <c r="H490" s="2">
        <v>10.991664161905646</v>
      </c>
      <c r="I490" s="2">
        <v>0.80585369990440092</v>
      </c>
      <c r="J490" s="2">
        <v>9</v>
      </c>
      <c r="K490" s="2">
        <v>189.03253685155306</v>
      </c>
      <c r="L490" s="2">
        <v>45</v>
      </c>
      <c r="M490" s="2">
        <v>25</v>
      </c>
      <c r="N490" s="2">
        <v>1.1677549640261691</v>
      </c>
      <c r="O490" s="2">
        <v>52.231468536538671</v>
      </c>
      <c r="P490" s="2">
        <v>1370.9931230172515</v>
      </c>
      <c r="Q490" s="2">
        <v>1.1680446576727814</v>
      </c>
      <c r="R490" s="2">
        <v>51.200775874936291</v>
      </c>
      <c r="S490" s="2">
        <v>1381.3814104902667</v>
      </c>
      <c r="T490" s="2">
        <v>2.8969364661235453E-4</v>
      </c>
      <c r="U490" s="2">
        <v>-1.0306926616023802</v>
      </c>
      <c r="V490" s="2">
        <v>10.388287473015225</v>
      </c>
    </row>
    <row r="491" spans="1:22" ht="15">
      <c r="A491" s="2">
        <v>490</v>
      </c>
      <c r="B491" s="2" t="s">
        <v>78</v>
      </c>
      <c r="C491" s="2" t="s">
        <v>13</v>
      </c>
      <c r="D491" s="2">
        <v>1385.3606585995294</v>
      </c>
      <c r="E491" s="2">
        <v>971.21750304941088</v>
      </c>
      <c r="F491" s="2">
        <v>699.35846338048577</v>
      </c>
      <c r="G491" s="2">
        <v>324.17849513702095</v>
      </c>
      <c r="H491" s="2">
        <v>9.6398749840445817</v>
      </c>
      <c r="I491" s="2">
        <v>0.82850417521316566</v>
      </c>
      <c r="J491" s="2">
        <v>9</v>
      </c>
      <c r="K491" s="2">
        <v>185.79141381757071</v>
      </c>
      <c r="L491" s="2">
        <v>40</v>
      </c>
      <c r="M491" s="2">
        <v>25</v>
      </c>
      <c r="N491" s="2">
        <v>1.253898943708418</v>
      </c>
      <c r="O491" s="2">
        <v>52.28603208941982</v>
      </c>
      <c r="P491" s="2">
        <v>1385.3606585995294</v>
      </c>
      <c r="Q491" s="2">
        <v>1.2632952196572016</v>
      </c>
      <c r="R491" s="2">
        <v>51.967446356633538</v>
      </c>
      <c r="S491" s="2">
        <v>1387.7993946460033</v>
      </c>
      <c r="T491" s="2">
        <v>9.3962759487835612E-3</v>
      </c>
      <c r="U491" s="2">
        <v>-0.31858573278628199</v>
      </c>
      <c r="V491" s="2">
        <v>2.4387360464738776</v>
      </c>
    </row>
    <row r="492" spans="1:22" ht="15">
      <c r="A492" s="2">
        <v>491</v>
      </c>
      <c r="B492" s="2" t="s">
        <v>78</v>
      </c>
      <c r="C492" s="2" t="s">
        <v>13</v>
      </c>
      <c r="D492" s="2">
        <v>1495.0259825913236</v>
      </c>
      <c r="E492" s="2">
        <v>856.026414653752</v>
      </c>
      <c r="F492" s="2">
        <v>609.25890393555164</v>
      </c>
      <c r="G492" s="2">
        <v>218.43782077310607</v>
      </c>
      <c r="H492" s="2">
        <v>9.9922625878825784</v>
      </c>
      <c r="I492" s="2">
        <v>0.80933778843609616</v>
      </c>
      <c r="J492" s="2">
        <v>10</v>
      </c>
      <c r="K492" s="2">
        <v>184.72212763970902</v>
      </c>
      <c r="L492" s="2">
        <v>40</v>
      </c>
      <c r="M492" s="2">
        <v>25</v>
      </c>
      <c r="N492" s="2">
        <v>1.1757182942535771</v>
      </c>
      <c r="O492" s="2">
        <v>52.266705033894532</v>
      </c>
      <c r="P492" s="2">
        <v>1495.0259825913236</v>
      </c>
      <c r="Q492" s="2">
        <v>1.1744846335189825</v>
      </c>
      <c r="R492" s="2">
        <v>52.17224644339538</v>
      </c>
      <c r="S492" s="2">
        <v>1494.5419522556749</v>
      </c>
      <c r="T492" s="2">
        <v>-1.2336607345946327E-3</v>
      </c>
      <c r="U492" s="2">
        <v>-9.4458590499151285E-2</v>
      </c>
      <c r="V492" s="2">
        <v>-0.48403033564864018</v>
      </c>
    </row>
    <row r="493" spans="1:22" ht="15">
      <c r="A493" s="2">
        <v>492</v>
      </c>
      <c r="B493" s="2" t="s">
        <v>78</v>
      </c>
      <c r="C493" s="2" t="s">
        <v>13</v>
      </c>
      <c r="D493" s="2">
        <v>1371.0768392658792</v>
      </c>
      <c r="E493" s="2">
        <v>865.58667882345617</v>
      </c>
      <c r="F493" s="2">
        <v>608.46941275522113</v>
      </c>
      <c r="G493" s="2">
        <v>138.55848349165171</v>
      </c>
      <c r="H493" s="2">
        <v>18.450082260649651</v>
      </c>
      <c r="I493" s="2">
        <v>0.84844491947442302</v>
      </c>
      <c r="J493" s="2">
        <v>9</v>
      </c>
      <c r="K493" s="2">
        <v>179.55422624713424</v>
      </c>
      <c r="L493" s="2">
        <v>45</v>
      </c>
      <c r="M493" s="2">
        <v>25</v>
      </c>
      <c r="N493" s="2">
        <v>1.1819700543410609</v>
      </c>
      <c r="O493" s="2">
        <v>52.226446927617843</v>
      </c>
      <c r="P493" s="2">
        <v>1371.0768392658792</v>
      </c>
      <c r="Q493" s="2">
        <v>1.1902339018781929</v>
      </c>
      <c r="R493" s="2">
        <v>51.907079153571232</v>
      </c>
      <c r="S493" s="2">
        <v>1374.6433195388402</v>
      </c>
      <c r="T493" s="2">
        <v>8.2638475371319409E-3</v>
      </c>
      <c r="U493" s="2">
        <v>-0.31936777404661143</v>
      </c>
      <c r="V493" s="2">
        <v>3.5664802729609164</v>
      </c>
    </row>
    <row r="494" spans="1:22" ht="15">
      <c r="A494" s="2">
        <v>493</v>
      </c>
      <c r="B494" s="2" t="s">
        <v>78</v>
      </c>
      <c r="C494" s="2" t="s">
        <v>13</v>
      </c>
      <c r="D494" s="2">
        <v>1411.0946049448103</v>
      </c>
      <c r="E494" s="2">
        <v>1175.0591437215917</v>
      </c>
      <c r="F494" s="2">
        <v>395.93683984130621</v>
      </c>
      <c r="G494" s="2">
        <v>275.47752459766343</v>
      </c>
      <c r="H494" s="2">
        <v>11.137016866356134</v>
      </c>
      <c r="I494" s="2">
        <v>0.83515943996841091</v>
      </c>
      <c r="J494" s="2">
        <v>9</v>
      </c>
      <c r="K494" s="2">
        <v>187.73455933664908</v>
      </c>
      <c r="L494" s="2">
        <v>40</v>
      </c>
      <c r="M494" s="2">
        <v>25</v>
      </c>
      <c r="N494" s="2">
        <v>1.172902603698466</v>
      </c>
      <c r="O494" s="2">
        <v>52.262911381759942</v>
      </c>
      <c r="P494" s="2">
        <v>1411.0946049448103</v>
      </c>
      <c r="Q494" s="2">
        <v>1.1805833459818267</v>
      </c>
      <c r="R494" s="2">
        <v>52.051037817553429</v>
      </c>
      <c r="S494" s="2">
        <v>1406.842162265684</v>
      </c>
      <c r="T494" s="2">
        <v>7.6807422833606864E-3</v>
      </c>
      <c r="U494" s="2">
        <v>-0.21187356420651327</v>
      </c>
      <c r="V494" s="2">
        <v>-4.2524426791262613</v>
      </c>
    </row>
    <row r="495" spans="1:22" ht="15">
      <c r="A495" s="2">
        <v>494</v>
      </c>
      <c r="B495" s="2" t="s">
        <v>78</v>
      </c>
      <c r="C495" s="2" t="s">
        <v>13</v>
      </c>
      <c r="D495" s="2">
        <v>1497.0067618531175</v>
      </c>
      <c r="E495" s="2">
        <v>1101.296277414076</v>
      </c>
      <c r="F495" s="2">
        <v>589.75805984809995</v>
      </c>
      <c r="G495" s="2">
        <v>191.87240481376648</v>
      </c>
      <c r="H495" s="2">
        <v>27.680287251714617</v>
      </c>
      <c r="I495" s="2">
        <v>0.80696276805829259</v>
      </c>
      <c r="J495" s="2">
        <v>10</v>
      </c>
      <c r="K495" s="2">
        <v>185.51125542696391</v>
      </c>
      <c r="L495" s="2">
        <v>35</v>
      </c>
      <c r="M495" s="2">
        <v>25</v>
      </c>
      <c r="N495" s="2">
        <v>1.2548502565150037</v>
      </c>
      <c r="O495" s="2">
        <v>52.301217058064651</v>
      </c>
      <c r="P495" s="2">
        <v>1497.0067618531175</v>
      </c>
      <c r="Q495" s="2">
        <v>1.2604355090671422</v>
      </c>
      <c r="R495" s="2">
        <v>52.929029754928678</v>
      </c>
      <c r="S495" s="2">
        <v>1476.4965874020047</v>
      </c>
      <c r="T495" s="2">
        <v>5.5852525521384866E-3</v>
      </c>
      <c r="U495" s="2">
        <v>0.62781269686402652</v>
      </c>
      <c r="V495" s="2">
        <v>-20.510174451112789</v>
      </c>
    </row>
    <row r="496" spans="1:22" ht="15">
      <c r="A496" s="2">
        <v>495</v>
      </c>
      <c r="B496" s="2" t="s">
        <v>79</v>
      </c>
      <c r="C496" s="2" t="s">
        <v>13</v>
      </c>
      <c r="D496" s="2">
        <v>1366.5310310432687</v>
      </c>
      <c r="E496" s="2">
        <v>816.04913558112457</v>
      </c>
      <c r="F496" s="2">
        <v>559.75221768021584</v>
      </c>
      <c r="G496" s="2">
        <v>270.35084400093183</v>
      </c>
      <c r="H496" s="2">
        <v>12.191232695244253</v>
      </c>
      <c r="I496" s="2">
        <v>0.84980401267996064</v>
      </c>
      <c r="J496" s="2">
        <v>9</v>
      </c>
      <c r="K496" s="2">
        <v>178.67270448417165</v>
      </c>
      <c r="L496" s="2">
        <v>45</v>
      </c>
      <c r="M496" s="2">
        <v>25</v>
      </c>
      <c r="N496" s="2">
        <v>1.1745328619111133</v>
      </c>
      <c r="O496" s="2">
        <v>52.231676281358112</v>
      </c>
      <c r="P496" s="2">
        <v>1366.5310310432687</v>
      </c>
      <c r="Q496" s="2">
        <v>1.1831381014635707</v>
      </c>
      <c r="R496" s="2">
        <v>52.377455377793325</v>
      </c>
      <c r="S496" s="2">
        <v>1375.8440208223928</v>
      </c>
      <c r="T496" s="2">
        <v>8.6052395524573999E-3</v>
      </c>
      <c r="U496" s="2">
        <v>0.14577909643521281</v>
      </c>
      <c r="V496" s="2">
        <v>9.3129897791241092</v>
      </c>
    </row>
    <row r="497" spans="1:22" ht="15">
      <c r="A497" s="2">
        <v>496</v>
      </c>
      <c r="B497" s="2" t="s">
        <v>79</v>
      </c>
      <c r="C497" s="2" t="s">
        <v>13</v>
      </c>
      <c r="D497" s="2">
        <v>1420.2569197746925</v>
      </c>
      <c r="E497" s="2">
        <v>967.45871920138597</v>
      </c>
      <c r="F497" s="2">
        <v>490.3217657469213</v>
      </c>
      <c r="G497" s="2">
        <v>318.47317707259208</v>
      </c>
      <c r="H497" s="2">
        <v>18.919369959738106</v>
      </c>
      <c r="I497" s="2">
        <v>0.80742277241311966</v>
      </c>
      <c r="J497" s="2">
        <v>9</v>
      </c>
      <c r="K497" s="2">
        <v>195.44448065017951</v>
      </c>
      <c r="L497" s="2">
        <v>40</v>
      </c>
      <c r="M497" s="2">
        <v>25</v>
      </c>
      <c r="N497" s="2">
        <v>1.1724684413542876</v>
      </c>
      <c r="O497" s="2">
        <v>52.251962352250608</v>
      </c>
      <c r="P497" s="2">
        <v>1420.2569197746925</v>
      </c>
      <c r="Q497" s="2">
        <v>1.1667573498209989</v>
      </c>
      <c r="R497" s="2">
        <v>51.929335789189551</v>
      </c>
      <c r="S497" s="2">
        <v>1411.8201578392125</v>
      </c>
      <c r="T497" s="2">
        <v>-5.711091533288748E-3</v>
      </c>
      <c r="U497" s="2">
        <v>-0.32262656306105697</v>
      </c>
      <c r="V497" s="2">
        <v>-8.4367619354800354</v>
      </c>
    </row>
    <row r="498" spans="1:22" ht="15">
      <c r="A498" s="2">
        <v>497</v>
      </c>
      <c r="B498" s="2" t="s">
        <v>79</v>
      </c>
      <c r="C498" s="2" t="s">
        <v>13</v>
      </c>
      <c r="D498" s="2">
        <v>1429.9771425314248</v>
      </c>
      <c r="E498" s="2">
        <v>767.19003481557593</v>
      </c>
      <c r="F498" s="2">
        <v>655.32035622745752</v>
      </c>
      <c r="G498" s="2">
        <v>242.73543616989627</v>
      </c>
      <c r="H498" s="2">
        <v>8.9598767030984163</v>
      </c>
      <c r="I498" s="2">
        <v>0.84079047366278248</v>
      </c>
      <c r="J498" s="2">
        <v>9</v>
      </c>
      <c r="K498" s="2">
        <v>188.97258490333846</v>
      </c>
      <c r="L498" s="2">
        <v>45</v>
      </c>
      <c r="M498" s="2">
        <v>25</v>
      </c>
      <c r="N498" s="2">
        <v>1.1715612172910363</v>
      </c>
      <c r="O498" s="2">
        <v>52.234653455608175</v>
      </c>
      <c r="P498" s="2">
        <v>1429.9771425314248</v>
      </c>
      <c r="Q498" s="2">
        <v>1.1737512307492408</v>
      </c>
      <c r="R498" s="2">
        <v>52.377923397546738</v>
      </c>
      <c r="S498" s="2">
        <v>1441.3167840245842</v>
      </c>
      <c r="T498" s="2">
        <v>2.190013458204465E-3</v>
      </c>
      <c r="U498" s="2">
        <v>0.14326994193856279</v>
      </c>
      <c r="V498" s="2">
        <v>11.339641493159434</v>
      </c>
    </row>
    <row r="499" spans="1:22" ht="15">
      <c r="A499" s="2">
        <v>498</v>
      </c>
      <c r="B499" s="2" t="s">
        <v>80</v>
      </c>
      <c r="C499" s="2" t="s">
        <v>13</v>
      </c>
      <c r="D499" s="2">
        <v>1383.3918347605504</v>
      </c>
      <c r="E499" s="2">
        <v>1159.7150047542527</v>
      </c>
      <c r="F499" s="2">
        <v>640.29707992449403</v>
      </c>
      <c r="G499" s="2">
        <v>105.8678172249347</v>
      </c>
      <c r="H499" s="2">
        <v>24.498532832134515</v>
      </c>
      <c r="I499" s="2">
        <v>0.85858696761075415</v>
      </c>
      <c r="J499" s="2">
        <v>9</v>
      </c>
      <c r="K499" s="2">
        <v>179.02694736914395</v>
      </c>
      <c r="L499" s="2">
        <v>35</v>
      </c>
      <c r="M499" s="2">
        <v>25</v>
      </c>
      <c r="N499" s="2">
        <v>1.1535710165066402</v>
      </c>
      <c r="O499" s="2">
        <v>52.272174323704327</v>
      </c>
      <c r="P499" s="2">
        <v>1383.3918347605504</v>
      </c>
      <c r="Q499" s="2">
        <v>1.1646161078525139</v>
      </c>
      <c r="R499" s="2">
        <v>52.420688935259768</v>
      </c>
      <c r="S499" s="2">
        <v>1373.7908913843773</v>
      </c>
      <c r="T499" s="2">
        <v>1.1045091345873725E-2</v>
      </c>
      <c r="U499" s="2">
        <v>0.14851461155544143</v>
      </c>
      <c r="V499" s="2">
        <v>-9.6009433761730634</v>
      </c>
    </row>
    <row r="500" spans="1:22" ht="15">
      <c r="A500" s="2">
        <v>499</v>
      </c>
      <c r="B500" s="2" t="s">
        <v>80</v>
      </c>
      <c r="C500" s="2" t="s">
        <v>13</v>
      </c>
      <c r="D500" s="2">
        <v>1480.5496817221865</v>
      </c>
      <c r="E500" s="2">
        <v>792.30821315431967</v>
      </c>
      <c r="F500" s="2">
        <v>585.04300080239773</v>
      </c>
      <c r="G500" s="2">
        <v>233.33612513495609</v>
      </c>
      <c r="H500" s="2">
        <v>18.798238527961075</v>
      </c>
      <c r="I500" s="2">
        <v>0.81920670394552875</v>
      </c>
      <c r="J500" s="2">
        <v>10</v>
      </c>
      <c r="K500" s="2">
        <v>180.72968331331336</v>
      </c>
      <c r="L500" s="2">
        <v>40</v>
      </c>
      <c r="M500" s="2">
        <v>25</v>
      </c>
      <c r="N500" s="2">
        <v>1.1699365004557161</v>
      </c>
      <c r="O500" s="2">
        <v>52.254051581497627</v>
      </c>
      <c r="P500" s="2">
        <v>1480.5496817221865</v>
      </c>
      <c r="Q500" s="2">
        <v>1.1668375021935167</v>
      </c>
      <c r="R500" s="2">
        <v>51.786801158876109</v>
      </c>
      <c r="S500" s="2">
        <v>1490.5661232353953</v>
      </c>
      <c r="T500" s="2">
        <v>-3.0989982621993928E-3</v>
      </c>
      <c r="U500" s="2">
        <v>-0.46725042262151817</v>
      </c>
      <c r="V500" s="2">
        <v>10.016441513208747</v>
      </c>
    </row>
    <row r="501" spans="1:22" ht="15">
      <c r="A501" s="2">
        <v>500</v>
      </c>
      <c r="B501" s="2" t="s">
        <v>80</v>
      </c>
      <c r="C501" s="2" t="s">
        <v>13</v>
      </c>
      <c r="D501" s="2">
        <v>1419.7920852690004</v>
      </c>
      <c r="E501" s="2">
        <v>843.28450807370245</v>
      </c>
      <c r="F501" s="2">
        <v>380.30496118590236</v>
      </c>
      <c r="G501" s="2">
        <v>242.46572078671306</v>
      </c>
      <c r="H501" s="2">
        <v>13.536035716068</v>
      </c>
      <c r="I501" s="2">
        <v>0.85695749292150147</v>
      </c>
      <c r="J501" s="2">
        <v>9</v>
      </c>
      <c r="K501" s="2">
        <v>184.08693248388528</v>
      </c>
      <c r="L501" s="2">
        <v>50</v>
      </c>
      <c r="M501" s="2">
        <v>25</v>
      </c>
      <c r="N501" s="2">
        <v>1.1628385166864439</v>
      </c>
      <c r="O501" s="2">
        <v>52.20359465550797</v>
      </c>
      <c r="P501" s="2">
        <v>1419.7920852690004</v>
      </c>
      <c r="Q501" s="2">
        <v>1.1685206278414464</v>
      </c>
      <c r="R501" s="2">
        <v>52.971623978270912</v>
      </c>
      <c r="S501" s="2">
        <v>1436.4470432266201</v>
      </c>
      <c r="T501" s="2">
        <v>5.6821111550025005E-3</v>
      </c>
      <c r="U501" s="2">
        <v>0.768029322762942</v>
      </c>
      <c r="V501" s="2">
        <v>16.654957957619672</v>
      </c>
    </row>
    <row r="502" spans="1:22" ht="15">
      <c r="A502" s="2">
        <v>501</v>
      </c>
      <c r="B502" s="2" t="s">
        <v>78</v>
      </c>
      <c r="C502" s="2" t="s">
        <v>13</v>
      </c>
      <c r="D502" s="2">
        <v>1360.5848309118301</v>
      </c>
      <c r="E502" s="2">
        <v>821.36274276999757</v>
      </c>
      <c r="F502" s="2">
        <v>610.21748464554548</v>
      </c>
      <c r="G502" s="2">
        <v>206.91050983266905</v>
      </c>
      <c r="H502" s="2">
        <v>10.234867066144943</v>
      </c>
      <c r="I502" s="2">
        <v>0.84503517827251928</v>
      </c>
      <c r="J502" s="2">
        <v>9</v>
      </c>
      <c r="K502" s="2">
        <v>178.8991703665894</v>
      </c>
      <c r="L502" s="2">
        <v>45</v>
      </c>
      <c r="M502" s="2">
        <v>25</v>
      </c>
      <c r="N502" s="2">
        <v>1.1597478066573124</v>
      </c>
      <c r="O502" s="2">
        <v>52.230481668205421</v>
      </c>
      <c r="P502" s="2">
        <v>1360.5848309118301</v>
      </c>
      <c r="Q502" s="2">
        <v>1.1744101192919232</v>
      </c>
      <c r="R502" s="2">
        <v>52.601299681681809</v>
      </c>
      <c r="S502" s="2">
        <v>1364.5070907179879</v>
      </c>
      <c r="T502" s="2">
        <v>1.4662312634610819E-2</v>
      </c>
      <c r="U502" s="2">
        <v>0.37081801347638788</v>
      </c>
      <c r="V502" s="2">
        <v>3.9222598061578537</v>
      </c>
    </row>
    <row r="503" spans="1:22" ht="15">
      <c r="A503" s="2">
        <v>502</v>
      </c>
      <c r="B503" s="2" t="s">
        <v>78</v>
      </c>
      <c r="C503" s="2" t="s">
        <v>13</v>
      </c>
      <c r="D503" s="2">
        <v>1386.5964108263142</v>
      </c>
      <c r="E503" s="2">
        <v>929.94375543203205</v>
      </c>
      <c r="F503" s="2">
        <v>647.20288338139653</v>
      </c>
      <c r="G503" s="2">
        <v>157.42975512519479</v>
      </c>
      <c r="H503" s="2">
        <v>14.350674709770828</v>
      </c>
      <c r="I503" s="2">
        <v>0.8409561076527462</v>
      </c>
      <c r="J503" s="2">
        <v>9</v>
      </c>
      <c r="K503" s="2">
        <v>183.20369692018295</v>
      </c>
      <c r="L503" s="2">
        <v>45</v>
      </c>
      <c r="M503" s="2">
        <v>25</v>
      </c>
      <c r="N503" s="2">
        <v>1.2449532870066633</v>
      </c>
      <c r="O503" s="2">
        <v>52.245463824224885</v>
      </c>
      <c r="P503" s="2">
        <v>1386.5964108263142</v>
      </c>
      <c r="Q503" s="2">
        <v>1.2619663392170211</v>
      </c>
      <c r="R503" s="2">
        <v>52.352093797151035</v>
      </c>
      <c r="S503" s="2">
        <v>1389.4415164488132</v>
      </c>
      <c r="T503" s="2">
        <v>1.701305221035776E-2</v>
      </c>
      <c r="U503" s="2">
        <v>0.10662997292615017</v>
      </c>
      <c r="V503" s="2">
        <v>2.845105622498977</v>
      </c>
    </row>
    <row r="504" spans="1:22" ht="15">
      <c r="A504" s="2">
        <v>503</v>
      </c>
      <c r="B504" s="2" t="s">
        <v>78</v>
      </c>
      <c r="C504" s="2" t="s">
        <v>13</v>
      </c>
      <c r="D504" s="2">
        <v>1399.8419896932319</v>
      </c>
      <c r="E504" s="2">
        <v>917.65206513227895</v>
      </c>
      <c r="F504" s="2">
        <v>385.17445474863052</v>
      </c>
      <c r="G504" s="2">
        <v>113.57353335013613</v>
      </c>
      <c r="H504" s="2">
        <v>11.926263312809169</v>
      </c>
      <c r="I504" s="2">
        <v>0.80474533799802883</v>
      </c>
      <c r="J504" s="2">
        <v>9</v>
      </c>
      <c r="K504" s="2">
        <v>193.27604834808562</v>
      </c>
      <c r="L504" s="2">
        <v>55</v>
      </c>
      <c r="M504" s="2">
        <v>25</v>
      </c>
      <c r="N504" s="2">
        <v>1.2201260312711268</v>
      </c>
      <c r="O504" s="2">
        <v>52.195852178300044</v>
      </c>
      <c r="P504" s="2">
        <v>1399.8419896932319</v>
      </c>
      <c r="Q504" s="2">
        <v>1.222873426975708</v>
      </c>
      <c r="R504" s="2">
        <v>51.255793958905471</v>
      </c>
      <c r="S504" s="2">
        <v>1412.2246947682511</v>
      </c>
      <c r="T504" s="2">
        <v>2.747395704581157E-3</v>
      </c>
      <c r="U504" s="2">
        <v>-0.94005821939457235</v>
      </c>
      <c r="V504" s="2">
        <v>12.382705075019203</v>
      </c>
    </row>
    <row r="505" spans="1:22" ht="15">
      <c r="A505" s="2">
        <v>504</v>
      </c>
      <c r="B505" s="2" t="s">
        <v>78</v>
      </c>
      <c r="C505" s="2" t="s">
        <v>13</v>
      </c>
      <c r="D505" s="2">
        <v>1408.7178825284354</v>
      </c>
      <c r="E505" s="2">
        <v>1114.9119730107486</v>
      </c>
      <c r="F505" s="2">
        <v>660.96609150990844</v>
      </c>
      <c r="G505" s="2">
        <v>159.93607467506081</v>
      </c>
      <c r="H505" s="2">
        <v>21.526963894721121</v>
      </c>
      <c r="I505" s="2">
        <v>0.81790567842312156</v>
      </c>
      <c r="J505" s="2">
        <v>9</v>
      </c>
      <c r="K505" s="2">
        <v>191.37195559223463</v>
      </c>
      <c r="L505" s="2">
        <v>35</v>
      </c>
      <c r="M505" s="2">
        <v>25</v>
      </c>
      <c r="N505" s="2">
        <v>1.1521958310488176</v>
      </c>
      <c r="O505" s="2">
        <v>52.276841819654088</v>
      </c>
      <c r="P505" s="2">
        <v>1408.7178825284354</v>
      </c>
      <c r="Q505" s="2">
        <v>1.1543856720931343</v>
      </c>
      <c r="R505" s="2">
        <v>52.077857692269411</v>
      </c>
      <c r="S505" s="2">
        <v>1403.9538059875561</v>
      </c>
      <c r="T505" s="2">
        <v>2.1898410443166316E-3</v>
      </c>
      <c r="U505" s="2">
        <v>-0.19898412738467641</v>
      </c>
      <c r="V505" s="2">
        <v>-4.7640765408793868</v>
      </c>
    </row>
    <row r="506" spans="1:22" ht="15">
      <c r="A506" s="2">
        <v>505</v>
      </c>
      <c r="B506" s="2" t="s">
        <v>78</v>
      </c>
      <c r="C506" s="2" t="s">
        <v>13</v>
      </c>
      <c r="D506" s="2">
        <v>1468.997560814023</v>
      </c>
      <c r="E506" s="2">
        <v>818.07134955888614</v>
      </c>
      <c r="F506" s="2">
        <v>360.19611526280642</v>
      </c>
      <c r="G506" s="2">
        <v>194.49063249165192</v>
      </c>
      <c r="H506" s="2">
        <v>14.957734091207385</v>
      </c>
      <c r="I506" s="2">
        <v>0.85850983483018362</v>
      </c>
      <c r="J506" s="2">
        <v>9</v>
      </c>
      <c r="K506" s="2">
        <v>190.12240114155946</v>
      </c>
      <c r="L506" s="2">
        <v>55</v>
      </c>
      <c r="M506" s="2">
        <v>25</v>
      </c>
      <c r="N506" s="2">
        <v>1.196207795391107</v>
      </c>
      <c r="O506" s="2">
        <v>52.18904730632358</v>
      </c>
      <c r="P506" s="2">
        <v>1468.997560814023</v>
      </c>
      <c r="Q506" s="2">
        <v>1.1993093882328147</v>
      </c>
      <c r="R506" s="2">
        <v>52.241172905204401</v>
      </c>
      <c r="S506" s="2">
        <v>1491.1208408725001</v>
      </c>
      <c r="T506" s="2">
        <v>3.1015928417077454E-3</v>
      </c>
      <c r="U506" s="2">
        <v>5.2125598880820689E-2</v>
      </c>
      <c r="V506" s="2">
        <v>22.123280058477121</v>
      </c>
    </row>
    <row r="507" spans="1:22" ht="15">
      <c r="A507" s="2">
        <v>506</v>
      </c>
      <c r="B507" s="2" t="s">
        <v>78</v>
      </c>
      <c r="C507" s="2" t="s">
        <v>13</v>
      </c>
      <c r="D507" s="2">
        <v>1471.4768643141724</v>
      </c>
      <c r="E507" s="2">
        <v>1089.5918896654621</v>
      </c>
      <c r="F507" s="2">
        <v>715.28589883819222</v>
      </c>
      <c r="G507" s="2">
        <v>83.244269406422973</v>
      </c>
      <c r="H507" s="2">
        <v>27.936463308054954</v>
      </c>
      <c r="I507" s="2">
        <v>0.83066788591910157</v>
      </c>
      <c r="J507" s="2">
        <v>9</v>
      </c>
      <c r="K507" s="2">
        <v>196.82647197482282</v>
      </c>
      <c r="L507" s="2">
        <v>35</v>
      </c>
      <c r="M507" s="2">
        <v>25</v>
      </c>
      <c r="N507" s="2">
        <v>1.1637470737910356</v>
      </c>
      <c r="O507" s="2">
        <v>52.269405431879626</v>
      </c>
      <c r="P507" s="2">
        <v>1471.4768643141724</v>
      </c>
      <c r="Q507" s="2">
        <v>1.177035808344048</v>
      </c>
      <c r="R507" s="2">
        <v>52.618360221926487</v>
      </c>
      <c r="S507" s="2">
        <v>1448.3935737768822</v>
      </c>
      <c r="T507" s="2">
        <v>1.3288734553012382E-2</v>
      </c>
      <c r="U507" s="2">
        <v>0.34895479004686081</v>
      </c>
      <c r="V507" s="2">
        <v>-23.083290537290168</v>
      </c>
    </row>
    <row r="508" spans="1:22" ht="15">
      <c r="A508" s="2">
        <v>507</v>
      </c>
      <c r="B508" s="2" t="s">
        <v>78</v>
      </c>
      <c r="C508" s="2" t="s">
        <v>13</v>
      </c>
      <c r="D508" s="2">
        <v>1383.8826020015404</v>
      </c>
      <c r="E508" s="2">
        <v>1135.1961762295105</v>
      </c>
      <c r="F508" s="2">
        <v>638.42006660997868</v>
      </c>
      <c r="G508" s="2">
        <v>146.12572743324563</v>
      </c>
      <c r="H508" s="2">
        <v>28.721607842482626</v>
      </c>
      <c r="I508" s="2">
        <v>0.84564205753384158</v>
      </c>
      <c r="J508" s="2">
        <v>9</v>
      </c>
      <c r="K508" s="2">
        <v>181.8319372668775</v>
      </c>
      <c r="L508" s="2">
        <v>35</v>
      </c>
      <c r="M508" s="2">
        <v>25</v>
      </c>
      <c r="N508" s="2">
        <v>1.1850293655107111</v>
      </c>
      <c r="O508" s="2">
        <v>52.274335766714771</v>
      </c>
      <c r="P508" s="2">
        <v>1383.8826020015404</v>
      </c>
      <c r="Q508" s="2">
        <v>1.1929334685000892</v>
      </c>
      <c r="R508" s="2">
        <v>53.314158922752043</v>
      </c>
      <c r="S508" s="2">
        <v>1369.889460694282</v>
      </c>
      <c r="T508" s="2">
        <v>7.9041029893780479E-3</v>
      </c>
      <c r="U508" s="2">
        <v>1.0398231560372722</v>
      </c>
      <c r="V508" s="2">
        <v>-13.993141307258384</v>
      </c>
    </row>
    <row r="509" spans="1:22" ht="15">
      <c r="A509" s="2">
        <v>508</v>
      </c>
      <c r="B509" s="2" t="s">
        <v>78</v>
      </c>
      <c r="C509" s="2" t="s">
        <v>13</v>
      </c>
      <c r="D509" s="2">
        <v>1368.6805989942513</v>
      </c>
      <c r="E509" s="2">
        <v>1074.2881092708558</v>
      </c>
      <c r="F509" s="2">
        <v>699.86354066058993</v>
      </c>
      <c r="G509" s="2">
        <v>270.27828599791974</v>
      </c>
      <c r="H509" s="2">
        <v>10.025555889587849</v>
      </c>
      <c r="I509" s="2">
        <v>0.80785194605588917</v>
      </c>
      <c r="J509" s="2">
        <v>9</v>
      </c>
      <c r="K509" s="2">
        <v>188.24689703718485</v>
      </c>
      <c r="L509" s="2">
        <v>35</v>
      </c>
      <c r="M509" s="2">
        <v>25</v>
      </c>
      <c r="N509" s="2">
        <v>1.1399771317089114</v>
      </c>
      <c r="O509" s="2">
        <v>52.29377773775979</v>
      </c>
      <c r="P509" s="2">
        <v>1368.6805989942513</v>
      </c>
      <c r="Q509" s="2">
        <v>1.1532073831048775</v>
      </c>
      <c r="R509" s="2">
        <v>52.548225123330177</v>
      </c>
      <c r="S509" s="2">
        <v>1370.403448676858</v>
      </c>
      <c r="T509" s="2">
        <v>1.3230251395966119E-2</v>
      </c>
      <c r="U509" s="2">
        <v>0.25444738557038704</v>
      </c>
      <c r="V509" s="2">
        <v>1.722849682606693</v>
      </c>
    </row>
    <row r="510" spans="1:22" ht="15">
      <c r="A510" s="2">
        <v>509</v>
      </c>
      <c r="B510" s="2" t="s">
        <v>78</v>
      </c>
      <c r="C510" s="2" t="s">
        <v>13</v>
      </c>
      <c r="D510" s="2">
        <v>1381.0881230514497</v>
      </c>
      <c r="E510" s="2">
        <v>1221.5404440532438</v>
      </c>
      <c r="F510" s="2">
        <v>664.5119434222579</v>
      </c>
      <c r="G510" s="2">
        <v>259.40757685573772</v>
      </c>
      <c r="H510" s="2">
        <v>26.11768552288413</v>
      </c>
      <c r="I510" s="2">
        <v>0.82082696307683367</v>
      </c>
      <c r="J510" s="2">
        <v>9</v>
      </c>
      <c r="K510" s="2">
        <v>186.95077378962927</v>
      </c>
      <c r="L510" s="2">
        <v>30</v>
      </c>
      <c r="M510" s="2">
        <v>25</v>
      </c>
      <c r="N510" s="2">
        <v>1.1517489004286179</v>
      </c>
      <c r="O510" s="2">
        <v>52.309530844938344</v>
      </c>
      <c r="P510" s="2">
        <v>1381.0881230514497</v>
      </c>
      <c r="Q510" s="2">
        <v>1.1551017374397337</v>
      </c>
      <c r="R510" s="2">
        <v>53.304076827229359</v>
      </c>
      <c r="S510" s="2">
        <v>1355.6283830910211</v>
      </c>
      <c r="T510" s="2">
        <v>3.3528370111157724E-3</v>
      </c>
      <c r="U510" s="2">
        <v>0.99454598229101521</v>
      </c>
      <c r="V510" s="2">
        <v>-25.459739960428578</v>
      </c>
    </row>
    <row r="511" spans="1:22" ht="15">
      <c r="A511" s="2">
        <v>510</v>
      </c>
      <c r="B511" s="2" t="s">
        <v>78</v>
      </c>
      <c r="C511" s="2" t="s">
        <v>13</v>
      </c>
      <c r="D511" s="2">
        <v>1481.8757373956032</v>
      </c>
      <c r="E511" s="2">
        <v>804.52732022386044</v>
      </c>
      <c r="F511" s="2">
        <v>498.39372532442212</v>
      </c>
      <c r="G511" s="2">
        <v>305.045514293015</v>
      </c>
      <c r="H511" s="2">
        <v>25.045210512820631</v>
      </c>
      <c r="I511" s="2">
        <v>0.84161656233947724</v>
      </c>
      <c r="J511" s="2">
        <v>9</v>
      </c>
      <c r="K511" s="2">
        <v>195.63880640957211</v>
      </c>
      <c r="L511" s="2">
        <v>45</v>
      </c>
      <c r="M511" s="2">
        <v>25</v>
      </c>
      <c r="N511" s="2">
        <v>1.209771272835938</v>
      </c>
      <c r="O511" s="2">
        <v>52.225722185843253</v>
      </c>
      <c r="P511" s="2">
        <v>1481.8757373956032</v>
      </c>
      <c r="Q511" s="2">
        <v>1.2119503099961215</v>
      </c>
      <c r="R511" s="2">
        <v>52.533724772035534</v>
      </c>
      <c r="S511" s="2">
        <v>1481.7954914080121</v>
      </c>
      <c r="T511" s="2">
        <v>2.1790371601835279E-3</v>
      </c>
      <c r="U511" s="2">
        <v>0.3080025861922806</v>
      </c>
      <c r="V511" s="2">
        <v>-8.0245987591069934E-2</v>
      </c>
    </row>
    <row r="512" spans="1:22" ht="15">
      <c r="A512" s="2">
        <v>511</v>
      </c>
      <c r="B512" s="2" t="s">
        <v>78</v>
      </c>
      <c r="C512" s="2" t="s">
        <v>13</v>
      </c>
      <c r="D512" s="2">
        <v>1467.1536043519154</v>
      </c>
      <c r="E512" s="2">
        <v>767.67429440515116</v>
      </c>
      <c r="F512" s="2">
        <v>693.59317943453789</v>
      </c>
      <c r="G512" s="2">
        <v>287.14091457193717</v>
      </c>
      <c r="H512" s="2">
        <v>11.506346530281007</v>
      </c>
      <c r="I512" s="2">
        <v>0.80480121807893745</v>
      </c>
      <c r="J512" s="2">
        <v>10</v>
      </c>
      <c r="K512" s="2">
        <v>182.3001222406217</v>
      </c>
      <c r="L512" s="2">
        <v>40</v>
      </c>
      <c r="M512" s="2">
        <v>25</v>
      </c>
      <c r="N512" s="2">
        <v>1.2265164726486668</v>
      </c>
      <c r="O512" s="2">
        <v>52.277911753292315</v>
      </c>
      <c r="P512" s="2">
        <v>1467.1536043519154</v>
      </c>
      <c r="Q512" s="2">
        <v>1.2320074783882577</v>
      </c>
      <c r="R512" s="2">
        <v>51.763448223104866</v>
      </c>
      <c r="S512" s="2">
        <v>1464.893036914315</v>
      </c>
      <c r="T512" s="2">
        <v>5.4910057395909373E-3</v>
      </c>
      <c r="U512" s="2">
        <v>-0.51446353018744873</v>
      </c>
      <c r="V512" s="2">
        <v>-2.2605674376004572</v>
      </c>
    </row>
    <row r="513" spans="1:22" ht="15">
      <c r="A513" s="2">
        <v>512</v>
      </c>
      <c r="B513" s="2" t="s">
        <v>78</v>
      </c>
      <c r="C513" s="2" t="s">
        <v>13</v>
      </c>
      <c r="D513" s="2">
        <v>1394.3809883552603</v>
      </c>
      <c r="E513" s="2">
        <v>1033.559687808156</v>
      </c>
      <c r="F513" s="2">
        <v>437.87264814600348</v>
      </c>
      <c r="G513" s="2">
        <v>276.30150974262506</v>
      </c>
      <c r="H513" s="2">
        <v>14.997877584304661</v>
      </c>
      <c r="I513" s="2">
        <v>0.80711662310175603</v>
      </c>
      <c r="J513" s="2">
        <v>9</v>
      </c>
      <c r="K513" s="2">
        <v>191.95642425621253</v>
      </c>
      <c r="L513" s="2">
        <v>45</v>
      </c>
      <c r="M513" s="2">
        <v>25</v>
      </c>
      <c r="N513" s="2">
        <v>1.2570088775885486</v>
      </c>
      <c r="O513" s="2">
        <v>52.247515399890261</v>
      </c>
      <c r="P513" s="2">
        <v>1394.3809883552603</v>
      </c>
      <c r="Q513" s="2">
        <v>1.2566995829733629</v>
      </c>
      <c r="R513" s="2">
        <v>51.885167269567567</v>
      </c>
      <c r="S513" s="2">
        <v>1402.6056285005286</v>
      </c>
      <c r="T513" s="2">
        <v>-3.0929461518569568E-4</v>
      </c>
      <c r="U513" s="2">
        <v>-0.36234813032269386</v>
      </c>
      <c r="V513" s="2">
        <v>8.2246401452682676</v>
      </c>
    </row>
    <row r="514" spans="1:22" ht="15">
      <c r="A514" s="2">
        <v>513</v>
      </c>
      <c r="B514" s="2" t="s">
        <v>78</v>
      </c>
      <c r="C514" s="2" t="s">
        <v>13</v>
      </c>
      <c r="D514" s="2">
        <v>1479.4429848901927</v>
      </c>
      <c r="E514" s="2">
        <v>902.61635737260804</v>
      </c>
      <c r="F514" s="2">
        <v>562.73835245519876</v>
      </c>
      <c r="G514" s="2">
        <v>80.342299288604409</v>
      </c>
      <c r="H514" s="2">
        <v>14.577151456847787</v>
      </c>
      <c r="I514" s="2">
        <v>0.79070701579796154</v>
      </c>
      <c r="J514" s="2">
        <v>10</v>
      </c>
      <c r="K514" s="2">
        <v>187.10381409695427</v>
      </c>
      <c r="L514" s="2">
        <v>45</v>
      </c>
      <c r="M514" s="2">
        <v>25</v>
      </c>
      <c r="N514" s="2">
        <v>1.2273516653579277</v>
      </c>
      <c r="O514" s="2">
        <v>52.242792006829418</v>
      </c>
      <c r="P514" s="2">
        <v>1479.4429848901927</v>
      </c>
      <c r="Q514" s="2">
        <v>1.2252341627167851</v>
      </c>
      <c r="R514" s="2">
        <v>51.63229130149584</v>
      </c>
      <c r="S514" s="2">
        <v>1494.4229646712429</v>
      </c>
      <c r="T514" s="2">
        <v>-2.1175026411426323E-3</v>
      </c>
      <c r="U514" s="2">
        <v>-0.61050070533357825</v>
      </c>
      <c r="V514" s="2">
        <v>14.979979781050133</v>
      </c>
    </row>
    <row r="515" spans="1:22" ht="15">
      <c r="A515" s="2">
        <v>514</v>
      </c>
      <c r="B515" s="2" t="s">
        <v>78</v>
      </c>
      <c r="C515" s="2" t="s">
        <v>13</v>
      </c>
      <c r="D515" s="2">
        <v>1464.9473016732372</v>
      </c>
      <c r="E515" s="2">
        <v>785.1539782481268</v>
      </c>
      <c r="F515" s="2">
        <v>737.13085884228349</v>
      </c>
      <c r="G515" s="2">
        <v>259.52602566219866</v>
      </c>
      <c r="H515" s="2">
        <v>18.285648070741445</v>
      </c>
      <c r="I515" s="2">
        <v>0.83947232915554204</v>
      </c>
      <c r="J515" s="2">
        <v>9</v>
      </c>
      <c r="K515" s="2">
        <v>193.89790080618394</v>
      </c>
      <c r="L515" s="2">
        <v>40</v>
      </c>
      <c r="M515" s="2">
        <v>25</v>
      </c>
      <c r="N515" s="2">
        <v>1.1724713915592904</v>
      </c>
      <c r="O515" s="2">
        <v>52.252828858774699</v>
      </c>
      <c r="P515" s="2">
        <v>1464.9473016732372</v>
      </c>
      <c r="Q515" s="2">
        <v>1.1705402350563823</v>
      </c>
      <c r="R515" s="2">
        <v>51.914391705226237</v>
      </c>
      <c r="S515" s="2">
        <v>1468.1028685846745</v>
      </c>
      <c r="T515" s="2">
        <v>-1.9311565029080935E-3</v>
      </c>
      <c r="U515" s="2">
        <v>-0.33843715354846182</v>
      </c>
      <c r="V515" s="2">
        <v>3.1555669114372904</v>
      </c>
    </row>
    <row r="516" spans="1:22" ht="15">
      <c r="A516" s="2">
        <v>515</v>
      </c>
      <c r="B516" s="2" t="s">
        <v>79</v>
      </c>
      <c r="C516" s="2" t="s">
        <v>13</v>
      </c>
      <c r="D516" s="2">
        <v>1483.872914663516</v>
      </c>
      <c r="E516" s="2">
        <v>1027.6587677770294</v>
      </c>
      <c r="F516" s="2">
        <v>389.30968753993511</v>
      </c>
      <c r="G516" s="2">
        <v>112.54974976880476</v>
      </c>
      <c r="H516" s="2">
        <v>23.950080339796841</v>
      </c>
      <c r="I516" s="2">
        <v>0.8557716682623141</v>
      </c>
      <c r="J516" s="2">
        <v>9</v>
      </c>
      <c r="K516" s="2">
        <v>192.66210183229418</v>
      </c>
      <c r="L516" s="2">
        <v>45</v>
      </c>
      <c r="M516" s="2">
        <v>25</v>
      </c>
      <c r="N516" s="2">
        <v>1.1513369871902994</v>
      </c>
      <c r="O516" s="2">
        <v>52.213490126128001</v>
      </c>
      <c r="P516" s="2">
        <v>1483.872914663516</v>
      </c>
      <c r="Q516" s="2">
        <v>1.1334652005218282</v>
      </c>
      <c r="R516" s="2">
        <v>53.405878054049381</v>
      </c>
      <c r="S516" s="2">
        <v>1488.019962955103</v>
      </c>
      <c r="T516" s="2">
        <v>-1.7871786668471223E-2</v>
      </c>
      <c r="U516" s="2">
        <v>1.1923879279213807</v>
      </c>
      <c r="V516" s="2">
        <v>4.1470482915869979</v>
      </c>
    </row>
    <row r="517" spans="1:22" ht="15">
      <c r="A517" s="2">
        <v>516</v>
      </c>
      <c r="B517" s="2" t="s">
        <v>79</v>
      </c>
      <c r="C517" s="2" t="s">
        <v>13</v>
      </c>
      <c r="D517" s="2">
        <v>1459.8676055087708</v>
      </c>
      <c r="E517" s="2">
        <v>1083.0352914053947</v>
      </c>
      <c r="F517" s="2">
        <v>640.38199810311198</v>
      </c>
      <c r="G517" s="2">
        <v>198.63735725637525</v>
      </c>
      <c r="H517" s="2">
        <v>21.737166188191622</v>
      </c>
      <c r="I517" s="2">
        <v>0.81463648429140456</v>
      </c>
      <c r="J517" s="2">
        <v>9</v>
      </c>
      <c r="K517" s="2">
        <v>199.11643395678473</v>
      </c>
      <c r="L517" s="2">
        <v>35</v>
      </c>
      <c r="M517" s="2">
        <v>25</v>
      </c>
      <c r="N517" s="2">
        <v>1.1461315750118863</v>
      </c>
      <c r="O517" s="2">
        <v>52.274696370796811</v>
      </c>
      <c r="P517" s="2">
        <v>1459.8676055087708</v>
      </c>
      <c r="Q517" s="2">
        <v>1.1495039230206672</v>
      </c>
      <c r="R517" s="2">
        <v>52.832700244729708</v>
      </c>
      <c r="S517" s="2">
        <v>1440.9500014594469</v>
      </c>
      <c r="T517" s="2">
        <v>3.3723480087808344E-3</v>
      </c>
      <c r="U517" s="2">
        <v>0.55800387393289697</v>
      </c>
      <c r="V517" s="2">
        <v>-18.917604049323927</v>
      </c>
    </row>
    <row r="518" spans="1:22" ht="15">
      <c r="A518" s="2">
        <v>517</v>
      </c>
      <c r="B518" s="2" t="s">
        <v>79</v>
      </c>
      <c r="C518" s="2" t="s">
        <v>13</v>
      </c>
      <c r="D518" s="2">
        <v>1394.7654882911593</v>
      </c>
      <c r="E518" s="2">
        <v>859.16816386161372</v>
      </c>
      <c r="F518" s="2">
        <v>375.47442149370909</v>
      </c>
      <c r="G518" s="2">
        <v>146.16500328527763</v>
      </c>
      <c r="H518" s="2">
        <v>17.777716957032681</v>
      </c>
      <c r="I518" s="2">
        <v>0.82662718253443024</v>
      </c>
      <c r="J518" s="2">
        <v>9</v>
      </c>
      <c r="K518" s="2">
        <v>187.47743410555853</v>
      </c>
      <c r="L518" s="2">
        <v>55</v>
      </c>
      <c r="M518" s="2">
        <v>25</v>
      </c>
      <c r="N518" s="2">
        <v>1.214103705838891</v>
      </c>
      <c r="O518" s="2">
        <v>52.190302423258785</v>
      </c>
      <c r="P518" s="2">
        <v>1394.7654882911593</v>
      </c>
      <c r="Q518" s="2">
        <v>1.2070439177115673</v>
      </c>
      <c r="R518" s="2">
        <v>52.372246174347318</v>
      </c>
      <c r="S518" s="2">
        <v>1408.1326343398794</v>
      </c>
      <c r="T518" s="2">
        <v>-7.0597881273237739E-3</v>
      </c>
      <c r="U518" s="2">
        <v>0.18194375108853222</v>
      </c>
      <c r="V518" s="2">
        <v>13.367146048720087</v>
      </c>
    </row>
    <row r="519" spans="1:22" ht="15">
      <c r="A519" s="2">
        <v>518</v>
      </c>
      <c r="B519" s="2" t="s">
        <v>80</v>
      </c>
      <c r="C519" s="2" t="s">
        <v>13</v>
      </c>
      <c r="D519" s="2">
        <v>1353.4421040792949</v>
      </c>
      <c r="E519" s="2">
        <v>1049.3787321960554</v>
      </c>
      <c r="F519" s="2">
        <v>650.09404392912984</v>
      </c>
      <c r="G519" s="2">
        <v>163.06145248934627</v>
      </c>
      <c r="H519" s="2">
        <v>23.243520362768322</v>
      </c>
      <c r="I519" s="2">
        <v>0.82158060291316359</v>
      </c>
      <c r="J519" s="2">
        <v>9</v>
      </c>
      <c r="K519" s="2">
        <v>183.04041682043595</v>
      </c>
      <c r="L519" s="2">
        <v>40</v>
      </c>
      <c r="M519" s="2">
        <v>25</v>
      </c>
      <c r="N519" s="2">
        <v>1.2472746978873803</v>
      </c>
      <c r="O519" s="2">
        <v>52.265415649596719</v>
      </c>
      <c r="P519" s="2">
        <v>1353.4421040792949</v>
      </c>
      <c r="Q519" s="2">
        <v>1.240638853750172</v>
      </c>
      <c r="R519" s="2">
        <v>52.517754109692369</v>
      </c>
      <c r="S519" s="2">
        <v>1342.4822185014614</v>
      </c>
      <c r="T519" s="2">
        <v>-6.6358441372083021E-3</v>
      </c>
      <c r="U519" s="2">
        <v>0.25233846009565042</v>
      </c>
      <c r="V519" s="2">
        <v>-10.959885577833575</v>
      </c>
    </row>
    <row r="520" spans="1:22" ht="15">
      <c r="A520" s="2">
        <v>519</v>
      </c>
      <c r="B520" s="2" t="s">
        <v>80</v>
      </c>
      <c r="C520" s="2" t="s">
        <v>13</v>
      </c>
      <c r="D520" s="2">
        <v>1432.126973499544</v>
      </c>
      <c r="E520" s="2">
        <v>972.55627216072753</v>
      </c>
      <c r="F520" s="2">
        <v>431.45385682582855</v>
      </c>
      <c r="G520" s="2">
        <v>127.16262588044629</v>
      </c>
      <c r="H520" s="2">
        <v>23.739736589603126</v>
      </c>
      <c r="I520" s="2">
        <v>0.80985551446443427</v>
      </c>
      <c r="J520" s="2">
        <v>9</v>
      </c>
      <c r="K520" s="2">
        <v>196.48593660927065</v>
      </c>
      <c r="L520" s="2">
        <v>45</v>
      </c>
      <c r="M520" s="2">
        <v>25</v>
      </c>
      <c r="N520" s="2">
        <v>1.151487788547193</v>
      </c>
      <c r="O520" s="2">
        <v>52.21374811180263</v>
      </c>
      <c r="P520" s="2">
        <v>1432.126973499544</v>
      </c>
      <c r="Q520" s="2">
        <v>1.1352638171198961</v>
      </c>
      <c r="R520" s="2">
        <v>52.636514954526866</v>
      </c>
      <c r="S520" s="2">
        <v>1428.7384946670941</v>
      </c>
      <c r="T520" s="2">
        <v>-1.6223971427296924E-2</v>
      </c>
      <c r="U520" s="2">
        <v>0.42276684272423637</v>
      </c>
      <c r="V520" s="2">
        <v>-3.3884788324498913</v>
      </c>
    </row>
    <row r="521" spans="1:22" ht="15">
      <c r="A521" s="2">
        <v>520</v>
      </c>
      <c r="B521" s="2" t="s">
        <v>80</v>
      </c>
      <c r="C521" s="2" t="s">
        <v>13</v>
      </c>
      <c r="D521" s="2">
        <v>1364.2735008965246</v>
      </c>
      <c r="E521" s="2">
        <v>1182.7899289317429</v>
      </c>
      <c r="F521" s="2">
        <v>417.63033336028457</v>
      </c>
      <c r="G521" s="2">
        <v>126.91482300404459</v>
      </c>
      <c r="H521" s="2">
        <v>26.020446447189897</v>
      </c>
      <c r="I521" s="2">
        <v>0.81168728598393503</v>
      </c>
      <c r="J521" s="2">
        <v>9</v>
      </c>
      <c r="K521" s="2">
        <v>186.75411967344587</v>
      </c>
      <c r="L521" s="2">
        <v>40</v>
      </c>
      <c r="M521" s="2">
        <v>25</v>
      </c>
      <c r="N521" s="2">
        <v>1.1797469653253982</v>
      </c>
      <c r="O521" s="2">
        <v>52.244334723174795</v>
      </c>
      <c r="P521" s="2">
        <v>1364.2735008965246</v>
      </c>
      <c r="Q521" s="2">
        <v>1.1814137336451416</v>
      </c>
      <c r="R521" s="2">
        <v>53.511655959382985</v>
      </c>
      <c r="S521" s="2">
        <v>1349.5337101790053</v>
      </c>
      <c r="T521" s="2">
        <v>1.6667683197433281E-3</v>
      </c>
      <c r="U521" s="2">
        <v>1.2673212362081898</v>
      </c>
      <c r="V521" s="2">
        <v>-14.739790717519327</v>
      </c>
    </row>
    <row r="522" spans="1:22" ht="15">
      <c r="A522" s="2">
        <v>521</v>
      </c>
      <c r="B522" s="2" t="s">
        <v>78</v>
      </c>
      <c r="C522" s="2" t="s">
        <v>13</v>
      </c>
      <c r="D522" s="2">
        <v>1453.4802200272679</v>
      </c>
      <c r="E522" s="2">
        <v>1244.1546976915561</v>
      </c>
      <c r="F522" s="2">
        <v>566.3810582831502</v>
      </c>
      <c r="G522" s="2">
        <v>189.66621857369319</v>
      </c>
      <c r="H522" s="2">
        <v>27.490976547822356</v>
      </c>
      <c r="I522" s="2">
        <v>0.85660105266841136</v>
      </c>
      <c r="J522" s="2">
        <v>9</v>
      </c>
      <c r="K522" s="2">
        <v>188.53327546372685</v>
      </c>
      <c r="L522" s="2">
        <v>35</v>
      </c>
      <c r="M522" s="2">
        <v>25</v>
      </c>
      <c r="N522" s="2">
        <v>1.2208704376631185</v>
      </c>
      <c r="O522" s="2">
        <v>52.286881492881456</v>
      </c>
      <c r="P522" s="2">
        <v>1453.4802200272679</v>
      </c>
      <c r="Q522" s="2">
        <v>1.234476950219112</v>
      </c>
      <c r="R522" s="2">
        <v>53.286658357002956</v>
      </c>
      <c r="S522" s="2">
        <v>1429.1090671552915</v>
      </c>
      <c r="T522" s="2">
        <v>1.3606512555993433E-2</v>
      </c>
      <c r="U522" s="2">
        <v>0.99977686412150035</v>
      </c>
      <c r="V522" s="2">
        <v>-24.371152871976392</v>
      </c>
    </row>
    <row r="523" spans="1:22" ht="15">
      <c r="A523" s="2">
        <v>522</v>
      </c>
      <c r="B523" s="2" t="s">
        <v>78</v>
      </c>
      <c r="C523" s="2" t="s">
        <v>13</v>
      </c>
      <c r="D523" s="2">
        <v>1433.2942471490242</v>
      </c>
      <c r="E523" s="2">
        <v>999.29900991264731</v>
      </c>
      <c r="F523" s="2">
        <v>434.87325021997094</v>
      </c>
      <c r="G523" s="2">
        <v>168.28099141828716</v>
      </c>
      <c r="H523" s="2">
        <v>27.910661552567035</v>
      </c>
      <c r="I523" s="2">
        <v>0.81899998832959686</v>
      </c>
      <c r="J523" s="2">
        <v>9</v>
      </c>
      <c r="K523" s="2">
        <v>194.45045008450148</v>
      </c>
      <c r="L523" s="2">
        <v>45</v>
      </c>
      <c r="M523" s="2">
        <v>25</v>
      </c>
      <c r="N523" s="2">
        <v>1.2192217846650724</v>
      </c>
      <c r="O523" s="2">
        <v>52.224862523248078</v>
      </c>
      <c r="P523" s="2">
        <v>1433.2942471490242</v>
      </c>
      <c r="Q523" s="2">
        <v>1.2229741290513805</v>
      </c>
      <c r="R523" s="2">
        <v>53.224174696896497</v>
      </c>
      <c r="S523" s="2">
        <v>1425.1246385648506</v>
      </c>
      <c r="T523" s="2">
        <v>3.7523443863081152E-3</v>
      </c>
      <c r="U523" s="2">
        <v>0.99931217364841984</v>
      </c>
      <c r="V523" s="2">
        <v>-8.1696085841736021</v>
      </c>
    </row>
    <row r="524" spans="1:22" ht="15">
      <c r="A524" s="2">
        <v>523</v>
      </c>
      <c r="B524" s="2" t="s">
        <v>78</v>
      </c>
      <c r="C524" s="2" t="s">
        <v>13</v>
      </c>
      <c r="D524" s="2">
        <v>1457.8764813719317</v>
      </c>
      <c r="E524" s="2">
        <v>970.78517923364416</v>
      </c>
      <c r="F524" s="2">
        <v>660.09727008640766</v>
      </c>
      <c r="G524" s="2">
        <v>300.57360428152606</v>
      </c>
      <c r="H524" s="2">
        <v>15.716165632940829</v>
      </c>
      <c r="I524" s="2">
        <v>0.795707119840663</v>
      </c>
      <c r="J524" s="2">
        <v>10</v>
      </c>
      <c r="K524" s="2">
        <v>183.21772484125384</v>
      </c>
      <c r="L524" s="2">
        <v>35</v>
      </c>
      <c r="M524" s="2">
        <v>25</v>
      </c>
      <c r="N524" s="2">
        <v>1.2190733629626787</v>
      </c>
      <c r="O524" s="2">
        <v>52.309624761286472</v>
      </c>
      <c r="P524" s="2">
        <v>1457.8764813719317</v>
      </c>
      <c r="Q524" s="2">
        <v>1.2282824864119166</v>
      </c>
      <c r="R524" s="2">
        <v>53.047910413533977</v>
      </c>
      <c r="S524" s="2">
        <v>1458.5877756587536</v>
      </c>
      <c r="T524" s="2">
        <v>9.2091234492379659E-3</v>
      </c>
      <c r="U524" s="2">
        <v>0.7382856522475052</v>
      </c>
      <c r="V524" s="2">
        <v>0.71129428682183971</v>
      </c>
    </row>
    <row r="525" spans="1:22" ht="15">
      <c r="A525" s="2">
        <v>524</v>
      </c>
      <c r="B525" s="2" t="s">
        <v>78</v>
      </c>
      <c r="C525" s="2" t="s">
        <v>13</v>
      </c>
      <c r="D525" s="2">
        <v>1478.0900242156349</v>
      </c>
      <c r="E525" s="2">
        <v>1176.1934777256101</v>
      </c>
      <c r="F525" s="2">
        <v>720.43409449979663</v>
      </c>
      <c r="G525" s="2">
        <v>145.98403945099562</v>
      </c>
      <c r="H525" s="2">
        <v>20.521006229799241</v>
      </c>
      <c r="I525" s="2">
        <v>0.81891684722155333</v>
      </c>
      <c r="J525" s="2">
        <v>10</v>
      </c>
      <c r="K525" s="2">
        <v>180.49329785197912</v>
      </c>
      <c r="L525" s="2">
        <v>30</v>
      </c>
      <c r="M525" s="2">
        <v>25</v>
      </c>
      <c r="N525" s="2">
        <v>1.1573650769698565</v>
      </c>
      <c r="O525" s="2">
        <v>52.328882461722934</v>
      </c>
      <c r="P525" s="2">
        <v>1478.0900242156349</v>
      </c>
      <c r="Q525" s="2">
        <v>1.175305105408551</v>
      </c>
      <c r="R525" s="2">
        <v>52.281921200644064</v>
      </c>
      <c r="S525" s="2">
        <v>1463.5035434152508</v>
      </c>
      <c r="T525" s="2">
        <v>1.7940028438694577E-2</v>
      </c>
      <c r="U525" s="2">
        <v>-4.6961261078870109E-2</v>
      </c>
      <c r="V525" s="2">
        <v>-14.586480800384152</v>
      </c>
    </row>
    <row r="526" spans="1:22" ht="15">
      <c r="A526" s="2">
        <v>525</v>
      </c>
      <c r="B526" s="2" t="s">
        <v>78</v>
      </c>
      <c r="C526" s="2" t="s">
        <v>13</v>
      </c>
      <c r="D526" s="2">
        <v>1430.7573036756366</v>
      </c>
      <c r="E526" s="2">
        <v>974.01383508695289</v>
      </c>
      <c r="F526" s="2">
        <v>646.79525699466467</v>
      </c>
      <c r="G526" s="2">
        <v>92.235145841259509</v>
      </c>
      <c r="H526" s="2">
        <v>9.3330605812370777</v>
      </c>
      <c r="I526" s="2">
        <v>0.85318288788432262</v>
      </c>
      <c r="J526" s="2">
        <v>9</v>
      </c>
      <c r="K526" s="2">
        <v>186.32937439234189</v>
      </c>
      <c r="L526" s="2">
        <v>45</v>
      </c>
      <c r="M526" s="2">
        <v>25</v>
      </c>
      <c r="N526" s="2">
        <v>1.2057638228911249</v>
      </c>
      <c r="O526" s="2">
        <v>52.242106422798123</v>
      </c>
      <c r="P526" s="2">
        <v>1430.7573036756366</v>
      </c>
      <c r="Q526" s="2">
        <v>1.2174951112155235</v>
      </c>
      <c r="R526" s="2">
        <v>52.090919613571579</v>
      </c>
      <c r="S526" s="2">
        <v>1434.4933528027902</v>
      </c>
      <c r="T526" s="2">
        <v>1.1731288324398514E-2</v>
      </c>
      <c r="U526" s="2">
        <v>-0.15118680922654448</v>
      </c>
      <c r="V526" s="2">
        <v>3.7360491271535921</v>
      </c>
    </row>
    <row r="527" spans="1:22" ht="15">
      <c r="A527" s="2">
        <v>526</v>
      </c>
      <c r="B527" s="2" t="s">
        <v>78</v>
      </c>
      <c r="C527" s="2" t="s">
        <v>13</v>
      </c>
      <c r="D527" s="2">
        <v>1461.3551536691375</v>
      </c>
      <c r="E527" s="2">
        <v>1131.1423738254234</v>
      </c>
      <c r="F527" s="2">
        <v>635.06827400997281</v>
      </c>
      <c r="G527" s="2">
        <v>182.01477445662022</v>
      </c>
      <c r="H527" s="2">
        <v>25.729307109955698</v>
      </c>
      <c r="I527" s="2">
        <v>0.83489766403567045</v>
      </c>
      <c r="J527" s="2">
        <v>9</v>
      </c>
      <c r="K527" s="2">
        <v>194.48227231498052</v>
      </c>
      <c r="L527" s="2">
        <v>35</v>
      </c>
      <c r="M527" s="2">
        <v>25</v>
      </c>
      <c r="N527" s="2">
        <v>1.1831485983710956</v>
      </c>
      <c r="O527" s="2">
        <v>52.278777048970888</v>
      </c>
      <c r="P527" s="2">
        <v>1461.3551536691375</v>
      </c>
      <c r="Q527" s="2">
        <v>1.1880174013743101</v>
      </c>
      <c r="R527" s="2">
        <v>52.508397288858077</v>
      </c>
      <c r="S527" s="2">
        <v>1444.6962289085727</v>
      </c>
      <c r="T527" s="2">
        <v>4.8688030032144614E-3</v>
      </c>
      <c r="U527" s="2">
        <v>0.22962023988718983</v>
      </c>
      <c r="V527" s="2">
        <v>-16.658924760564787</v>
      </c>
    </row>
    <row r="528" spans="1:22" ht="15">
      <c r="A528" s="2">
        <v>527</v>
      </c>
      <c r="B528" s="2" t="s">
        <v>78</v>
      </c>
      <c r="C528" s="2" t="s">
        <v>13</v>
      </c>
      <c r="D528" s="2">
        <v>1376.8039329210296</v>
      </c>
      <c r="E528" s="2">
        <v>608.04081532405689</v>
      </c>
      <c r="F528" s="2">
        <v>437.12089732289314</v>
      </c>
      <c r="G528" s="2">
        <v>208.77723615383729</v>
      </c>
      <c r="H528" s="2">
        <v>28.946284412406385</v>
      </c>
      <c r="I528" s="2">
        <v>0.85126608771970502</v>
      </c>
      <c r="J528" s="2">
        <v>9</v>
      </c>
      <c r="K528" s="2">
        <v>179.70669450581258</v>
      </c>
      <c r="L528" s="2">
        <v>60</v>
      </c>
      <c r="M528" s="2">
        <v>25</v>
      </c>
      <c r="N528" s="2">
        <v>1.2376527642419981</v>
      </c>
      <c r="O528" s="2">
        <v>52.170520430591765</v>
      </c>
      <c r="P528" s="2">
        <v>1376.8039329210296</v>
      </c>
      <c r="Q528" s="2">
        <v>1.2149472493792857</v>
      </c>
      <c r="R528" s="2">
        <v>52.188129650909701</v>
      </c>
      <c r="S528" s="2">
        <v>1369.9813957534491</v>
      </c>
      <c r="T528" s="2">
        <v>-2.2705514862712439E-2</v>
      </c>
      <c r="U528" s="2">
        <v>1.7609220317936547E-2</v>
      </c>
      <c r="V528" s="2">
        <v>-6.8225371675805491</v>
      </c>
    </row>
    <row r="529" spans="1:22" ht="15">
      <c r="A529" s="2">
        <v>528</v>
      </c>
      <c r="B529" s="2" t="s">
        <v>78</v>
      </c>
      <c r="C529" s="2" t="s">
        <v>13</v>
      </c>
      <c r="D529" s="2">
        <v>1498.5714875045232</v>
      </c>
      <c r="E529" s="2">
        <v>776.14420410245657</v>
      </c>
      <c r="F529" s="2">
        <v>617.55558392032981</v>
      </c>
      <c r="G529" s="2">
        <v>237.97011007089168</v>
      </c>
      <c r="H529" s="2">
        <v>8.5704814880155027</v>
      </c>
      <c r="I529" s="2">
        <v>0.85965742765925834</v>
      </c>
      <c r="J529" s="2">
        <v>9</v>
      </c>
      <c r="K529" s="2">
        <v>193.69104215087029</v>
      </c>
      <c r="L529" s="2">
        <v>45</v>
      </c>
      <c r="M529" s="2">
        <v>25</v>
      </c>
      <c r="N529" s="2">
        <v>1.1469045249457843</v>
      </c>
      <c r="O529" s="2">
        <v>52.229418128860253</v>
      </c>
      <c r="P529" s="2">
        <v>1498.5714875045232</v>
      </c>
      <c r="Q529" s="2">
        <v>1.1469787958927917</v>
      </c>
      <c r="R529" s="2">
        <v>52.479640566267221</v>
      </c>
      <c r="S529" s="2">
        <v>1499.5565700174952</v>
      </c>
      <c r="T529" s="2">
        <v>7.4270947007404331E-5</v>
      </c>
      <c r="U529" s="2">
        <v>0.25022243740696837</v>
      </c>
      <c r="V529" s="2">
        <v>0.98508251297198512</v>
      </c>
    </row>
    <row r="530" spans="1:22" ht="15">
      <c r="A530" s="2">
        <v>529</v>
      </c>
      <c r="B530" s="2" t="s">
        <v>78</v>
      </c>
      <c r="C530" s="2" t="s">
        <v>13</v>
      </c>
      <c r="D530" s="2">
        <v>1495.6753634847701</v>
      </c>
      <c r="E530" s="2">
        <v>902.53029217710719</v>
      </c>
      <c r="F530" s="2">
        <v>404.17248103767633</v>
      </c>
      <c r="G530" s="2">
        <v>294.64151708642021</v>
      </c>
      <c r="H530" s="2">
        <v>28.261583479121327</v>
      </c>
      <c r="I530" s="2">
        <v>0.80729025400476528</v>
      </c>
      <c r="J530" s="2">
        <v>10</v>
      </c>
      <c r="K530" s="2">
        <v>185.27107890440868</v>
      </c>
      <c r="L530" s="2">
        <v>40</v>
      </c>
      <c r="M530" s="2">
        <v>25</v>
      </c>
      <c r="N530" s="2">
        <v>1.2082191812249341</v>
      </c>
      <c r="O530" s="2">
        <v>52.252432898294678</v>
      </c>
      <c r="P530" s="2">
        <v>1495.6753634847701</v>
      </c>
      <c r="Q530" s="2">
        <v>1.2135294907891001</v>
      </c>
      <c r="R530" s="2">
        <v>51.20701159757445</v>
      </c>
      <c r="S530" s="2">
        <v>1478.6389742597926</v>
      </c>
      <c r="T530" s="2">
        <v>5.3103095641660047E-3</v>
      </c>
      <c r="U530" s="2">
        <v>-1.0454213007202284</v>
      </c>
      <c r="V530" s="2">
        <v>-17.036389224977484</v>
      </c>
    </row>
    <row r="531" spans="1:22" ht="15">
      <c r="A531" s="2">
        <v>530</v>
      </c>
      <c r="B531" s="2" t="s">
        <v>78</v>
      </c>
      <c r="C531" s="2" t="s">
        <v>13</v>
      </c>
      <c r="D531" s="2">
        <v>1435.61756570125</v>
      </c>
      <c r="E531" s="2">
        <v>660.48929926473647</v>
      </c>
      <c r="F531" s="2">
        <v>629.57096481695771</v>
      </c>
      <c r="G531" s="2">
        <v>176.64945979602635</v>
      </c>
      <c r="H531" s="2">
        <v>8.0953897093422711</v>
      </c>
      <c r="I531" s="2">
        <v>0.82102094019297511</v>
      </c>
      <c r="J531" s="2">
        <v>9</v>
      </c>
      <c r="K531" s="2">
        <v>194.28622955487839</v>
      </c>
      <c r="L531" s="2">
        <v>55</v>
      </c>
      <c r="M531" s="2">
        <v>25</v>
      </c>
      <c r="N531" s="2">
        <v>1.2461276745143521</v>
      </c>
      <c r="O531" s="2">
        <v>52.203696713695635</v>
      </c>
      <c r="P531" s="2">
        <v>1435.61756570125</v>
      </c>
      <c r="Q531" s="2">
        <v>1.2600227531024286</v>
      </c>
      <c r="R531" s="2">
        <v>52.343756260842433</v>
      </c>
      <c r="S531" s="2">
        <v>1440.1342110346718</v>
      </c>
      <c r="T531" s="2">
        <v>1.3895078588076482E-2</v>
      </c>
      <c r="U531" s="2">
        <v>0.14005954714679802</v>
      </c>
      <c r="V531" s="2">
        <v>4.5166453334218204</v>
      </c>
    </row>
    <row r="532" spans="1:22" ht="15">
      <c r="A532" s="2">
        <v>531</v>
      </c>
      <c r="B532" s="2" t="s">
        <v>78</v>
      </c>
      <c r="C532" s="2" t="s">
        <v>13</v>
      </c>
      <c r="D532" s="2">
        <v>1489.4716979702935</v>
      </c>
      <c r="E532" s="2">
        <v>875.05486082518473</v>
      </c>
      <c r="F532" s="2">
        <v>685.79029105603695</v>
      </c>
      <c r="G532" s="2">
        <v>222.90452440036461</v>
      </c>
      <c r="H532" s="2">
        <v>26.699516889639199</v>
      </c>
      <c r="I532" s="2">
        <v>0.85536797937704256</v>
      </c>
      <c r="J532" s="2">
        <v>9</v>
      </c>
      <c r="K532" s="2">
        <v>193.48030241974055</v>
      </c>
      <c r="L532" s="2">
        <v>40</v>
      </c>
      <c r="M532" s="2">
        <v>25</v>
      </c>
      <c r="N532" s="2">
        <v>1.217405498804752</v>
      </c>
      <c r="O532" s="2">
        <v>52.253131168274201</v>
      </c>
      <c r="P532" s="2">
        <v>1489.4716979702935</v>
      </c>
      <c r="Q532" s="2">
        <v>1.2224436928364866</v>
      </c>
      <c r="R532" s="2">
        <v>52.398949426347421</v>
      </c>
      <c r="S532" s="2">
        <v>1469.2915716489022</v>
      </c>
      <c r="T532" s="2">
        <v>5.0381940317345553E-3</v>
      </c>
      <c r="U532" s="2">
        <v>0.14581825807321991</v>
      </c>
      <c r="V532" s="2">
        <v>-20.180126321391299</v>
      </c>
    </row>
    <row r="533" spans="1:22" ht="15">
      <c r="A533" s="2">
        <v>532</v>
      </c>
      <c r="B533" s="2" t="s">
        <v>78</v>
      </c>
      <c r="C533" s="2" t="s">
        <v>13</v>
      </c>
      <c r="D533" s="2">
        <v>1360.3644376038574</v>
      </c>
      <c r="E533" s="2">
        <v>1037.2886119876057</v>
      </c>
      <c r="F533" s="2">
        <v>460.961754899472</v>
      </c>
      <c r="G533" s="2">
        <v>273.43827047850937</v>
      </c>
      <c r="H533" s="2">
        <v>20.864300593268126</v>
      </c>
      <c r="I533" s="2">
        <v>0.79998615236952908</v>
      </c>
      <c r="J533" s="2">
        <v>9</v>
      </c>
      <c r="K533" s="2">
        <v>188.94277573493113</v>
      </c>
      <c r="L533" s="2">
        <v>40</v>
      </c>
      <c r="M533" s="2">
        <v>25</v>
      </c>
      <c r="N533" s="2">
        <v>1.1799368898903626</v>
      </c>
      <c r="O533" s="2">
        <v>52.251250550781222</v>
      </c>
      <c r="P533" s="2">
        <v>1360.3644376038574</v>
      </c>
      <c r="Q533" s="2">
        <v>1.175787356753297</v>
      </c>
      <c r="R533" s="2">
        <v>52.223434158309551</v>
      </c>
      <c r="S533" s="2">
        <v>1346.1007227481343</v>
      </c>
      <c r="T533" s="2">
        <v>-4.1495331370655641E-3</v>
      </c>
      <c r="U533" s="2">
        <v>-2.7816392471670781E-2</v>
      </c>
      <c r="V533" s="2">
        <v>-14.263714855723038</v>
      </c>
    </row>
    <row r="534" spans="1:22" ht="15">
      <c r="A534" s="2">
        <v>533</v>
      </c>
      <c r="B534" s="2" t="s">
        <v>78</v>
      </c>
      <c r="C534" s="2" t="s">
        <v>13</v>
      </c>
      <c r="D534" s="2">
        <v>1422.741910116747</v>
      </c>
      <c r="E534" s="2">
        <v>657.83818847266957</v>
      </c>
      <c r="F534" s="2">
        <v>635.60717087239027</v>
      </c>
      <c r="G534" s="2">
        <v>311.57722159521654</v>
      </c>
      <c r="H534" s="2">
        <v>19.773763850331306</v>
      </c>
      <c r="I534" s="2">
        <v>0.85193876220146203</v>
      </c>
      <c r="J534" s="2">
        <v>9</v>
      </c>
      <c r="K534" s="2">
        <v>185.55610035740321</v>
      </c>
      <c r="L534" s="2">
        <v>45</v>
      </c>
      <c r="M534" s="2">
        <v>25</v>
      </c>
      <c r="N534" s="2">
        <v>1.1830953895065781</v>
      </c>
      <c r="O534" s="2">
        <v>52.225263145933106</v>
      </c>
      <c r="P534" s="2">
        <v>1422.741910116747</v>
      </c>
      <c r="Q534" s="2">
        <v>1.1857604627455771</v>
      </c>
      <c r="R534" s="2">
        <v>52.016460861028669</v>
      </c>
      <c r="S534" s="2">
        <v>1425.5435665551963</v>
      </c>
      <c r="T534" s="2">
        <v>2.6650732389990051E-3</v>
      </c>
      <c r="U534" s="2">
        <v>-0.20880228490443642</v>
      </c>
      <c r="V534" s="2">
        <v>2.8016564384492995</v>
      </c>
    </row>
    <row r="535" spans="1:22" ht="15">
      <c r="A535" s="2">
        <v>534</v>
      </c>
      <c r="B535" s="2" t="s">
        <v>78</v>
      </c>
      <c r="C535" s="2" t="s">
        <v>13</v>
      </c>
      <c r="D535" s="2">
        <v>1357.7735279803164</v>
      </c>
      <c r="E535" s="2">
        <v>1107.3104059090838</v>
      </c>
      <c r="F535" s="2">
        <v>600.36307694390416</v>
      </c>
      <c r="G535" s="2">
        <v>139.423275757581</v>
      </c>
      <c r="H535" s="2">
        <v>15.664569503162056</v>
      </c>
      <c r="I535" s="2">
        <v>0.81146373798605054</v>
      </c>
      <c r="J535" s="2">
        <v>9</v>
      </c>
      <c r="K535" s="2">
        <v>185.91554775518469</v>
      </c>
      <c r="L535" s="2">
        <v>40</v>
      </c>
      <c r="M535" s="2">
        <v>25</v>
      </c>
      <c r="N535" s="2">
        <v>1.1978683919824935</v>
      </c>
      <c r="O535" s="2">
        <v>52.263008562086355</v>
      </c>
      <c r="P535" s="2">
        <v>1357.7735279803164</v>
      </c>
      <c r="Q535" s="2">
        <v>1.2177212740592003</v>
      </c>
      <c r="R535" s="2">
        <v>52.181352102279988</v>
      </c>
      <c r="S535" s="2">
        <v>1361.0729591815489</v>
      </c>
      <c r="T535" s="2">
        <v>1.9852882076706768E-2</v>
      </c>
      <c r="U535" s="2">
        <v>-8.165645980636782E-2</v>
      </c>
      <c r="V535" s="2">
        <v>3.2994312012324372</v>
      </c>
    </row>
    <row r="536" spans="1:22" ht="15">
      <c r="A536" s="2">
        <v>535</v>
      </c>
      <c r="B536" s="2" t="s">
        <v>79</v>
      </c>
      <c r="C536" s="2" t="s">
        <v>13</v>
      </c>
      <c r="D536" s="2">
        <v>1382.759399455972</v>
      </c>
      <c r="E536" s="2">
        <v>1140.7551402342506</v>
      </c>
      <c r="F536" s="2">
        <v>413.53390663862228</v>
      </c>
      <c r="G536" s="2">
        <v>248.98427618434653</v>
      </c>
      <c r="H536" s="2">
        <v>17.797281350009143</v>
      </c>
      <c r="I536" s="2">
        <v>0.84387651618337267</v>
      </c>
      <c r="J536" s="2">
        <v>9</v>
      </c>
      <c r="K536" s="2">
        <v>182.0644730911082</v>
      </c>
      <c r="L536" s="2">
        <v>40</v>
      </c>
      <c r="M536" s="2">
        <v>25</v>
      </c>
      <c r="N536" s="2">
        <v>1.1828340115289158</v>
      </c>
      <c r="O536" s="2">
        <v>52.256175392897696</v>
      </c>
      <c r="P536" s="2">
        <v>1382.759399455972</v>
      </c>
      <c r="Q536" s="2">
        <v>1.1781175400056321</v>
      </c>
      <c r="R536" s="2">
        <v>51.9549587957233</v>
      </c>
      <c r="S536" s="2">
        <v>1384.0794746213028</v>
      </c>
      <c r="T536" s="2">
        <v>-4.716471523283694E-3</v>
      </c>
      <c r="U536" s="2">
        <v>-0.30121659717439542</v>
      </c>
      <c r="V536" s="2">
        <v>1.3200751653307634</v>
      </c>
    </row>
    <row r="537" spans="1:22" ht="15">
      <c r="A537" s="2">
        <v>536</v>
      </c>
      <c r="B537" s="2" t="s">
        <v>79</v>
      </c>
      <c r="C537" s="2" t="s">
        <v>13</v>
      </c>
      <c r="D537" s="2">
        <v>1434.9552879924886</v>
      </c>
      <c r="E537" s="2">
        <v>1190.0088696740568</v>
      </c>
      <c r="F537" s="2">
        <v>545.22362565621734</v>
      </c>
      <c r="G537" s="2">
        <v>267.45162768755108</v>
      </c>
      <c r="H537" s="2">
        <v>28.204238047357649</v>
      </c>
      <c r="I537" s="2">
        <v>0.82350223352201291</v>
      </c>
      <c r="J537" s="2">
        <v>9</v>
      </c>
      <c r="K537" s="2">
        <v>193.6114681337387</v>
      </c>
      <c r="L537" s="2">
        <v>35</v>
      </c>
      <c r="M537" s="2">
        <v>25</v>
      </c>
      <c r="N537" s="2">
        <v>1.2262582600453444</v>
      </c>
      <c r="O537" s="2">
        <v>52.28726852188155</v>
      </c>
      <c r="P537" s="2">
        <v>1434.9552879924886</v>
      </c>
      <c r="Q537" s="2">
        <v>1.2284538020954459</v>
      </c>
      <c r="R537" s="2">
        <v>53.475088630308043</v>
      </c>
      <c r="S537" s="2">
        <v>1414.7650218383249</v>
      </c>
      <c r="T537" s="2">
        <v>2.1955420501014178E-3</v>
      </c>
      <c r="U537" s="2">
        <v>1.187820108426493</v>
      </c>
      <c r="V537" s="2">
        <v>-20.190266154163737</v>
      </c>
    </row>
    <row r="538" spans="1:22" ht="15">
      <c r="A538" s="2">
        <v>537</v>
      </c>
      <c r="B538" s="2" t="s">
        <v>79</v>
      </c>
      <c r="C538" s="2" t="s">
        <v>13</v>
      </c>
      <c r="D538" s="2">
        <v>1381.4898982644081</v>
      </c>
      <c r="E538" s="2">
        <v>852.71462596720085</v>
      </c>
      <c r="F538" s="2">
        <v>667.6813768222928</v>
      </c>
      <c r="G538" s="2">
        <v>260.11394754284993</v>
      </c>
      <c r="H538" s="2">
        <v>28.024466482922435</v>
      </c>
      <c r="I538" s="2">
        <v>0.85448266958119357</v>
      </c>
      <c r="J538" s="2">
        <v>9</v>
      </c>
      <c r="K538" s="2">
        <v>179.63954454473424</v>
      </c>
      <c r="L538" s="2">
        <v>40</v>
      </c>
      <c r="M538" s="2">
        <v>25</v>
      </c>
      <c r="N538" s="2">
        <v>1.2221896524425997</v>
      </c>
      <c r="O538" s="2">
        <v>52.252626014005564</v>
      </c>
      <c r="P538" s="2">
        <v>1381.4898982644081</v>
      </c>
      <c r="Q538" s="2">
        <v>1.2089896719530995</v>
      </c>
      <c r="R538" s="2">
        <v>51.833290838779064</v>
      </c>
      <c r="S538" s="2">
        <v>1366.9793887964345</v>
      </c>
      <c r="T538" s="2">
        <v>-1.3199980489500218E-2</v>
      </c>
      <c r="U538" s="2">
        <v>-0.41933517522650021</v>
      </c>
      <c r="V538" s="2">
        <v>-14.510509467973634</v>
      </c>
    </row>
    <row r="539" spans="1:22" ht="15">
      <c r="A539" s="2">
        <v>538</v>
      </c>
      <c r="B539" s="2" t="s">
        <v>80</v>
      </c>
      <c r="C539" s="2" t="s">
        <v>13</v>
      </c>
      <c r="D539" s="2">
        <v>1415.450105688069</v>
      </c>
      <c r="E539" s="2">
        <v>697.8493923554197</v>
      </c>
      <c r="F539" s="2">
        <v>635.07974604144692</v>
      </c>
      <c r="G539" s="2">
        <v>116.69176786206663</v>
      </c>
      <c r="H539" s="2">
        <v>23.3047487703152</v>
      </c>
      <c r="I539" s="2">
        <v>0.79044674098957335</v>
      </c>
      <c r="J539" s="2">
        <v>9</v>
      </c>
      <c r="K539" s="2">
        <v>198.96626275977721</v>
      </c>
      <c r="L539" s="2">
        <v>50</v>
      </c>
      <c r="M539" s="2">
        <v>25</v>
      </c>
      <c r="N539" s="2">
        <v>1.1926083563446648</v>
      </c>
      <c r="O539" s="2">
        <v>52.201032139808419</v>
      </c>
      <c r="P539" s="2">
        <v>1415.450105688069</v>
      </c>
      <c r="Q539" s="2">
        <v>1.178696664221569</v>
      </c>
      <c r="R539" s="2">
        <v>51.978847581634263</v>
      </c>
      <c r="S539" s="2">
        <v>1417.9336253896606</v>
      </c>
      <c r="T539" s="2">
        <v>-1.3911692123095731E-2</v>
      </c>
      <c r="U539" s="2">
        <v>-0.22218455817415617</v>
      </c>
      <c r="V539" s="2">
        <v>2.4835197015916037</v>
      </c>
    </row>
    <row r="540" spans="1:22" ht="15">
      <c r="A540" s="2">
        <v>539</v>
      </c>
      <c r="B540" s="2" t="s">
        <v>80</v>
      </c>
      <c r="C540" s="2" t="s">
        <v>13</v>
      </c>
      <c r="D540" s="2">
        <v>1398.0493382317945</v>
      </c>
      <c r="E540" s="2">
        <v>1077.2320528165437</v>
      </c>
      <c r="F540" s="2">
        <v>649.1745475679636</v>
      </c>
      <c r="G540" s="2">
        <v>85.136096093337983</v>
      </c>
      <c r="H540" s="2">
        <v>27.30427458230406</v>
      </c>
      <c r="I540" s="2">
        <v>0.79268101612804465</v>
      </c>
      <c r="J540" s="2">
        <v>9</v>
      </c>
      <c r="K540" s="2">
        <v>195.96636250715488</v>
      </c>
      <c r="L540" s="2">
        <v>40</v>
      </c>
      <c r="M540" s="2">
        <v>25</v>
      </c>
      <c r="N540" s="2">
        <v>1.2373378979548786</v>
      </c>
      <c r="O540" s="2">
        <v>52.257464794948305</v>
      </c>
      <c r="P540" s="2">
        <v>1398.0493382317945</v>
      </c>
      <c r="Q540" s="2">
        <v>1.2473729415793202</v>
      </c>
      <c r="R540" s="2">
        <v>53.255709842281235</v>
      </c>
      <c r="S540" s="2">
        <v>1380.6626754154538</v>
      </c>
      <c r="T540" s="2">
        <v>1.0035043624441631E-2</v>
      </c>
      <c r="U540" s="2">
        <v>0.9982450473329294</v>
      </c>
      <c r="V540" s="2">
        <v>-17.386662816340731</v>
      </c>
    </row>
    <row r="541" spans="1:22" ht="15">
      <c r="A541" s="2">
        <v>540</v>
      </c>
      <c r="B541" s="2" t="s">
        <v>80</v>
      </c>
      <c r="C541" s="2" t="s">
        <v>13</v>
      </c>
      <c r="D541" s="2">
        <v>1440.0300599983893</v>
      </c>
      <c r="E541" s="2">
        <v>1124.4590647052974</v>
      </c>
      <c r="F541" s="2">
        <v>367.30631841346622</v>
      </c>
      <c r="G541" s="2">
        <v>138.8027274934575</v>
      </c>
      <c r="H541" s="2">
        <v>22.871827568393201</v>
      </c>
      <c r="I541" s="2">
        <v>0.79628973893821242</v>
      </c>
      <c r="J541" s="2">
        <v>10</v>
      </c>
      <c r="K541" s="2">
        <v>180.84247348440684</v>
      </c>
      <c r="L541" s="2">
        <v>40</v>
      </c>
      <c r="M541" s="2">
        <v>25</v>
      </c>
      <c r="N541" s="2">
        <v>1.2026731529040429</v>
      </c>
      <c r="O541" s="2">
        <v>52.25749592516356</v>
      </c>
      <c r="P541" s="2">
        <v>1440.0300599983893</v>
      </c>
      <c r="Q541" s="2">
        <v>1.1994563110062448</v>
      </c>
      <c r="R541" s="2">
        <v>51.815614928176757</v>
      </c>
      <c r="S541" s="2">
        <v>1431.5984577260965</v>
      </c>
      <c r="T541" s="2">
        <v>-3.2168418977980284E-3</v>
      </c>
      <c r="U541" s="2">
        <v>-0.44188099698680361</v>
      </c>
      <c r="V541" s="2">
        <v>-8.431602272292821</v>
      </c>
    </row>
    <row r="542" spans="1:22" ht="15">
      <c r="A542" s="2">
        <v>541</v>
      </c>
      <c r="B542" s="2" t="s">
        <v>78</v>
      </c>
      <c r="C542" s="2" t="s">
        <v>13</v>
      </c>
      <c r="D542" s="2">
        <v>1353.3692061435431</v>
      </c>
      <c r="E542" s="2">
        <v>1090.8205338637345</v>
      </c>
      <c r="F542" s="2">
        <v>443.89151688665152</v>
      </c>
      <c r="G542" s="2">
        <v>124.73308922024444</v>
      </c>
      <c r="H542" s="2">
        <v>21.582916211336851</v>
      </c>
      <c r="I542" s="2">
        <v>0.84345508914673706</v>
      </c>
      <c r="J542" s="2">
        <v>9</v>
      </c>
      <c r="K542" s="2">
        <v>178.28377369836537</v>
      </c>
      <c r="L542" s="2">
        <v>45</v>
      </c>
      <c r="M542" s="2">
        <v>25</v>
      </c>
      <c r="N542" s="2">
        <v>1.2285847889135777</v>
      </c>
      <c r="O542" s="2">
        <v>52.233748983449921</v>
      </c>
      <c r="P542" s="2">
        <v>1353.3692061435431</v>
      </c>
      <c r="Q542" s="2">
        <v>1.2395366118137174</v>
      </c>
      <c r="R542" s="2">
        <v>53.816590471072729</v>
      </c>
      <c r="S542" s="2">
        <v>1342.4555894792848</v>
      </c>
      <c r="T542" s="2">
        <v>1.095182290013974E-2</v>
      </c>
      <c r="U542" s="2">
        <v>1.5828414876228081</v>
      </c>
      <c r="V542" s="2">
        <v>-10.91361666425837</v>
      </c>
    </row>
    <row r="543" spans="1:22" ht="15">
      <c r="A543" s="2">
        <v>542</v>
      </c>
      <c r="B543" s="2" t="s">
        <v>78</v>
      </c>
      <c r="C543" s="2" t="s">
        <v>13</v>
      </c>
      <c r="D543" s="2">
        <v>1498.9665866014548</v>
      </c>
      <c r="E543" s="2">
        <v>1002.8829238144681</v>
      </c>
      <c r="F543" s="2">
        <v>720.58859067037702</v>
      </c>
      <c r="G543" s="2">
        <v>122.69549902528524</v>
      </c>
      <c r="H543" s="2">
        <v>11.038820939604193</v>
      </c>
      <c r="I543" s="2">
        <v>0.79832996841054416</v>
      </c>
      <c r="J543" s="2">
        <v>10</v>
      </c>
      <c r="K543" s="2">
        <v>187.76278555418148</v>
      </c>
      <c r="L543" s="2">
        <v>35</v>
      </c>
      <c r="M543" s="2">
        <v>25</v>
      </c>
      <c r="N543" s="2">
        <v>1.1430287109709873</v>
      </c>
      <c r="O543" s="2">
        <v>52.294848435090628</v>
      </c>
      <c r="P543" s="2">
        <v>1498.9665866014548</v>
      </c>
      <c r="Q543" s="2">
        <v>1.1663918946685032</v>
      </c>
      <c r="R543" s="2">
        <v>52.291497931014298</v>
      </c>
      <c r="S543" s="2">
        <v>1500.0423779763046</v>
      </c>
      <c r="T543" s="2">
        <v>2.3363183697515888E-2</v>
      </c>
      <c r="U543" s="2">
        <v>-3.3505040763301963E-3</v>
      </c>
      <c r="V543" s="2">
        <v>1.075791374849814</v>
      </c>
    </row>
    <row r="544" spans="1:22" ht="15">
      <c r="A544" s="2">
        <v>543</v>
      </c>
      <c r="B544" s="2" t="s">
        <v>78</v>
      </c>
      <c r="C544" s="2" t="s">
        <v>13</v>
      </c>
      <c r="D544" s="2">
        <v>1434.1287147486582</v>
      </c>
      <c r="E544" s="2">
        <v>965.4178938944824</v>
      </c>
      <c r="F544" s="2">
        <v>425.8639357984066</v>
      </c>
      <c r="G544" s="2">
        <v>275.10126992827281</v>
      </c>
      <c r="H544" s="2">
        <v>8.0303029334172606</v>
      </c>
      <c r="I544" s="2">
        <v>0.85740281471749769</v>
      </c>
      <c r="J544" s="2">
        <v>9</v>
      </c>
      <c r="K544" s="2">
        <v>185.84920907283933</v>
      </c>
      <c r="L544" s="2">
        <v>45</v>
      </c>
      <c r="M544" s="2">
        <v>25</v>
      </c>
      <c r="N544" s="2">
        <v>1.1677156318094108</v>
      </c>
      <c r="O544" s="2">
        <v>52.23483078480843</v>
      </c>
      <c r="P544" s="2">
        <v>1434.1287147486582</v>
      </c>
      <c r="Q544" s="2">
        <v>1.1865749229782108</v>
      </c>
      <c r="R544" s="2">
        <v>51.47928862602221</v>
      </c>
      <c r="S544" s="2">
        <v>1435.94219758043</v>
      </c>
      <c r="T544" s="2">
        <v>1.8859291168799919E-2</v>
      </c>
      <c r="U544" s="2">
        <v>-0.75554215878621989</v>
      </c>
      <c r="V544" s="2">
        <v>1.8134828317718075</v>
      </c>
    </row>
    <row r="545" spans="1:22" ht="15">
      <c r="A545" s="2">
        <v>544</v>
      </c>
      <c r="B545" s="2" t="s">
        <v>78</v>
      </c>
      <c r="C545" s="2" t="s">
        <v>13</v>
      </c>
      <c r="D545" s="2">
        <v>1417.3399833845906</v>
      </c>
      <c r="E545" s="2">
        <v>1125.4315368831158</v>
      </c>
      <c r="F545" s="2">
        <v>492.99972346052527</v>
      </c>
      <c r="G545" s="2">
        <v>273.20019998122007</v>
      </c>
      <c r="H545" s="2">
        <v>18.726384551730007</v>
      </c>
      <c r="I545" s="2">
        <v>0.85503465752117336</v>
      </c>
      <c r="J545" s="2">
        <v>9</v>
      </c>
      <c r="K545" s="2">
        <v>184.18226558514192</v>
      </c>
      <c r="L545" s="2">
        <v>40</v>
      </c>
      <c r="M545" s="2">
        <v>25</v>
      </c>
      <c r="N545" s="2">
        <v>1.2410946126520861</v>
      </c>
      <c r="O545" s="2">
        <v>52.269952635451155</v>
      </c>
      <c r="P545" s="2">
        <v>1417.3399833845906</v>
      </c>
      <c r="Q545" s="2">
        <v>1.2536094267442184</v>
      </c>
      <c r="R545" s="2">
        <v>53.169579590832178</v>
      </c>
      <c r="S545" s="2">
        <v>1414.0315539700659</v>
      </c>
      <c r="T545" s="2">
        <v>1.2514814092132287E-2</v>
      </c>
      <c r="U545" s="2">
        <v>0.89962695538102366</v>
      </c>
      <c r="V545" s="2">
        <v>-3.3084294145246531</v>
      </c>
    </row>
    <row r="546" spans="1:22" ht="15">
      <c r="A546" s="2">
        <v>545</v>
      </c>
      <c r="B546" s="2" t="s">
        <v>78</v>
      </c>
      <c r="C546" s="2" t="s">
        <v>13</v>
      </c>
      <c r="D546" s="2">
        <v>1362.6517868600786</v>
      </c>
      <c r="E546" s="2">
        <v>604.045028926339</v>
      </c>
      <c r="F546" s="2">
        <v>660.90325955301523</v>
      </c>
      <c r="G546" s="2">
        <v>294.0841698856093</v>
      </c>
      <c r="H546" s="2">
        <v>9.0468336585909128</v>
      </c>
      <c r="I546" s="2">
        <v>0.85360155913280322</v>
      </c>
      <c r="J546" s="2">
        <v>8</v>
      </c>
      <c r="K546" s="2">
        <v>199.54447310353339</v>
      </c>
      <c r="L546" s="2">
        <v>55</v>
      </c>
      <c r="M546" s="2">
        <v>25</v>
      </c>
      <c r="N546" s="2">
        <v>1.1877228359867149</v>
      </c>
      <c r="O546" s="2">
        <v>52.191081898729387</v>
      </c>
      <c r="P546" s="2">
        <v>1362.6517868600786</v>
      </c>
      <c r="Q546" s="2">
        <v>1.1843516462537069</v>
      </c>
      <c r="R546" s="2">
        <v>51.868634990714625</v>
      </c>
      <c r="S546" s="2">
        <v>1371.9688451486888</v>
      </c>
      <c r="T546" s="2">
        <v>-3.3711897330079843E-3</v>
      </c>
      <c r="U546" s="2">
        <v>-0.32244690801476139</v>
      </c>
      <c r="V546" s="2">
        <v>9.3170582886102693</v>
      </c>
    </row>
    <row r="547" spans="1:22" ht="15">
      <c r="A547" s="2">
        <v>546</v>
      </c>
      <c r="B547" s="2" t="s">
        <v>78</v>
      </c>
      <c r="C547" s="2" t="s">
        <v>13</v>
      </c>
      <c r="D547" s="2">
        <v>1404.956917616073</v>
      </c>
      <c r="E547" s="2">
        <v>1244.3887229310349</v>
      </c>
      <c r="F547" s="2">
        <v>683.8344388641417</v>
      </c>
      <c r="G547" s="2">
        <v>244.86095287837088</v>
      </c>
      <c r="H547" s="2">
        <v>28.821403988171369</v>
      </c>
      <c r="I547" s="2">
        <v>0.81757652020547544</v>
      </c>
      <c r="J547" s="2">
        <v>9</v>
      </c>
      <c r="K547" s="2">
        <v>190.93787593157717</v>
      </c>
      <c r="L547" s="2">
        <v>30</v>
      </c>
      <c r="M547" s="2">
        <v>25</v>
      </c>
      <c r="N547" s="2">
        <v>1.181852300673317</v>
      </c>
      <c r="O547" s="2">
        <v>52.313838140580472</v>
      </c>
      <c r="P547" s="2">
        <v>1404.956917616073</v>
      </c>
      <c r="Q547" s="2">
        <v>1.1840227149818838</v>
      </c>
      <c r="R547" s="2">
        <v>52.077358240094007</v>
      </c>
      <c r="S547" s="2">
        <v>1381.2624964663003</v>
      </c>
      <c r="T547" s="2">
        <v>2.1704143085667926E-3</v>
      </c>
      <c r="U547" s="2">
        <v>-0.23647990048646506</v>
      </c>
      <c r="V547" s="2">
        <v>-23.694421149772779</v>
      </c>
    </row>
    <row r="548" spans="1:22" ht="15">
      <c r="A548" s="2">
        <v>547</v>
      </c>
      <c r="B548" s="2" t="s">
        <v>78</v>
      </c>
      <c r="C548" s="2" t="s">
        <v>13</v>
      </c>
      <c r="D548" s="2">
        <v>1390.2773976093158</v>
      </c>
      <c r="E548" s="2">
        <v>1122.8853167616762</v>
      </c>
      <c r="F548" s="2">
        <v>740.97040705382824</v>
      </c>
      <c r="G548" s="2">
        <v>149.51778911752626</v>
      </c>
      <c r="H548" s="2">
        <v>21.811410238035023</v>
      </c>
      <c r="I548" s="2">
        <v>0.83715442024869846</v>
      </c>
      <c r="J548" s="2">
        <v>9</v>
      </c>
      <c r="K548" s="2">
        <v>184.52421998219182</v>
      </c>
      <c r="L548" s="2">
        <v>35</v>
      </c>
      <c r="M548" s="2">
        <v>25</v>
      </c>
      <c r="N548" s="2">
        <v>1.1949687105044322</v>
      </c>
      <c r="O548" s="2">
        <v>52.288935265004078</v>
      </c>
      <c r="P548" s="2">
        <v>1390.2773976093158</v>
      </c>
      <c r="Q548" s="2">
        <v>1.2098454403492211</v>
      </c>
      <c r="R548" s="2">
        <v>53.824840296491644</v>
      </c>
      <c r="S548" s="2">
        <v>1374.6537553491528</v>
      </c>
      <c r="T548" s="2">
        <v>1.4876729844788938E-2</v>
      </c>
      <c r="U548" s="2">
        <v>1.535905031487566</v>
      </c>
      <c r="V548" s="2">
        <v>-15.623642260163024</v>
      </c>
    </row>
    <row r="549" spans="1:22" ht="15">
      <c r="A549" s="2">
        <v>548</v>
      </c>
      <c r="B549" s="2" t="s">
        <v>78</v>
      </c>
      <c r="C549" s="2" t="s">
        <v>13</v>
      </c>
      <c r="D549" s="2">
        <v>1425.1667063101195</v>
      </c>
      <c r="E549" s="2">
        <v>1021.3345394004136</v>
      </c>
      <c r="F549" s="2">
        <v>736.2397882156074</v>
      </c>
      <c r="G549" s="2">
        <v>253.69173315819353</v>
      </c>
      <c r="H549" s="2">
        <v>11.621387905906886</v>
      </c>
      <c r="I549" s="2">
        <v>0.80876501156017189</v>
      </c>
      <c r="J549" s="2">
        <v>9</v>
      </c>
      <c r="K549" s="2">
        <v>195.79464244033832</v>
      </c>
      <c r="L549" s="2">
        <v>35</v>
      </c>
      <c r="M549" s="2">
        <v>25</v>
      </c>
      <c r="N549" s="2">
        <v>1.1324254500010751</v>
      </c>
      <c r="O549" s="2">
        <v>52.28860666052622</v>
      </c>
      <c r="P549" s="2">
        <v>1425.1667063101195</v>
      </c>
      <c r="Q549" s="2">
        <v>1.1376738244183635</v>
      </c>
      <c r="R549" s="2">
        <v>53.637518245232584</v>
      </c>
      <c r="S549" s="2">
        <v>1418.8274800496656</v>
      </c>
      <c r="T549" s="2">
        <v>5.2483744172884261E-3</v>
      </c>
      <c r="U549" s="2">
        <v>1.3489115847063644</v>
      </c>
      <c r="V549" s="2">
        <v>-6.3392262604538701</v>
      </c>
    </row>
    <row r="550" spans="1:22" ht="15">
      <c r="A550" s="2">
        <v>549</v>
      </c>
      <c r="B550" s="2" t="s">
        <v>78</v>
      </c>
      <c r="C550" s="2" t="s">
        <v>13</v>
      </c>
      <c r="D550" s="2">
        <v>1445.5692416522652</v>
      </c>
      <c r="E550" s="2">
        <v>718.60954145668074</v>
      </c>
      <c r="F550" s="2">
        <v>534.88453160971403</v>
      </c>
      <c r="G550" s="2">
        <v>217.1280302410014</v>
      </c>
      <c r="H550" s="2">
        <v>16.232742853462696</v>
      </c>
      <c r="I550" s="2">
        <v>0.820200721716974</v>
      </c>
      <c r="J550" s="2">
        <v>9</v>
      </c>
      <c r="K550" s="2">
        <v>195.82865556591653</v>
      </c>
      <c r="L550" s="2">
        <v>50</v>
      </c>
      <c r="M550" s="2">
        <v>25</v>
      </c>
      <c r="N550" s="2">
        <v>1.1780702173185607</v>
      </c>
      <c r="O550" s="2">
        <v>52.204306751458205</v>
      </c>
      <c r="P550" s="2">
        <v>1445.5692416522652</v>
      </c>
      <c r="Q550" s="2">
        <v>1.1658299054703818</v>
      </c>
      <c r="R550" s="2">
        <v>50.918299443945372</v>
      </c>
      <c r="S550" s="2">
        <v>1453.7074241453488</v>
      </c>
      <c r="T550" s="2">
        <v>-1.2240311848178864E-2</v>
      </c>
      <c r="U550" s="2">
        <v>-1.2860073075128327</v>
      </c>
      <c r="V550" s="2">
        <v>8.1381824930836046</v>
      </c>
    </row>
    <row r="551" spans="1:22" ht="15">
      <c r="A551" s="2">
        <v>550</v>
      </c>
      <c r="B551" s="2" t="s">
        <v>78</v>
      </c>
      <c r="C551" s="2" t="s">
        <v>13</v>
      </c>
      <c r="D551" s="2">
        <v>1466.7011256446131</v>
      </c>
      <c r="E551" s="2">
        <v>715.15311372932047</v>
      </c>
      <c r="F551" s="2">
        <v>436.1996796913445</v>
      </c>
      <c r="G551" s="2">
        <v>90.165890213102102</v>
      </c>
      <c r="H551" s="2">
        <v>24.493308214936405</v>
      </c>
      <c r="I551" s="2">
        <v>0.83788624407257895</v>
      </c>
      <c r="J551" s="2">
        <v>9</v>
      </c>
      <c r="K551" s="2">
        <v>194.49751430001268</v>
      </c>
      <c r="L551" s="2">
        <v>60</v>
      </c>
      <c r="M551" s="2">
        <v>25</v>
      </c>
      <c r="N551" s="2">
        <v>1.2105891457230959</v>
      </c>
      <c r="O551" s="2">
        <v>52.168583800745594</v>
      </c>
      <c r="P551" s="2">
        <v>1466.7011256446131</v>
      </c>
      <c r="Q551" s="2">
        <v>1.2050885178072721</v>
      </c>
      <c r="R551" s="2">
        <v>51.71775461532328</v>
      </c>
      <c r="S551" s="2">
        <v>1477.9565796240745</v>
      </c>
      <c r="T551" s="2">
        <v>-5.5006279158238414E-3</v>
      </c>
      <c r="U551" s="2">
        <v>-0.45082918542231454</v>
      </c>
      <c r="V551" s="2">
        <v>11.255453979461436</v>
      </c>
    </row>
    <row r="552" spans="1:22" ht="15">
      <c r="A552" s="2">
        <v>551</v>
      </c>
      <c r="B552" s="2" t="s">
        <v>78</v>
      </c>
      <c r="C552" s="2" t="s">
        <v>13</v>
      </c>
      <c r="D552" s="2">
        <v>1442.5099889980629</v>
      </c>
      <c r="E552" s="2">
        <v>707.67118522198871</v>
      </c>
      <c r="F552" s="2">
        <v>524.16973114013672</v>
      </c>
      <c r="G552" s="2">
        <v>308.84576575597748</v>
      </c>
      <c r="H552" s="2">
        <v>13.039052623324096</v>
      </c>
      <c r="I552" s="2">
        <v>0.7971951534575783</v>
      </c>
      <c r="J552" s="2">
        <v>10</v>
      </c>
      <c r="K552" s="2">
        <v>180.94816341289061</v>
      </c>
      <c r="L552" s="2">
        <v>45</v>
      </c>
      <c r="M552" s="2">
        <v>25</v>
      </c>
      <c r="N552" s="2">
        <v>1.2168103111516992</v>
      </c>
      <c r="O552" s="2">
        <v>52.241923967676961</v>
      </c>
      <c r="P552" s="2">
        <v>1442.5099889980629</v>
      </c>
      <c r="Q552" s="2">
        <v>1.2146375957210336</v>
      </c>
      <c r="R552" s="2">
        <v>52.180994518881015</v>
      </c>
      <c r="S552" s="2">
        <v>1444.4708749164663</v>
      </c>
      <c r="T552" s="2">
        <v>-2.1727154306656615E-3</v>
      </c>
      <c r="U552" s="2">
        <v>-6.0929448795945973E-2</v>
      </c>
      <c r="V552" s="2">
        <v>1.9608859184033918</v>
      </c>
    </row>
    <row r="553" spans="1:22" ht="15">
      <c r="A553" s="2">
        <v>552</v>
      </c>
      <c r="B553" s="2" t="s">
        <v>78</v>
      </c>
      <c r="C553" s="2" t="s">
        <v>13</v>
      </c>
      <c r="D553" s="2">
        <v>1428.9808646659367</v>
      </c>
      <c r="E553" s="2">
        <v>1073.0624780990183</v>
      </c>
      <c r="F553" s="2">
        <v>457.57043128833175</v>
      </c>
      <c r="G553" s="2">
        <v>184.1046247119084</v>
      </c>
      <c r="H553" s="2">
        <v>13.23297126358375</v>
      </c>
      <c r="I553" s="2">
        <v>0.79218276591040193</v>
      </c>
      <c r="J553" s="2">
        <v>10</v>
      </c>
      <c r="K553" s="2">
        <v>180.38525024256313</v>
      </c>
      <c r="L553" s="2">
        <v>40</v>
      </c>
      <c r="M553" s="2">
        <v>25</v>
      </c>
      <c r="N553" s="2">
        <v>1.21253920708867</v>
      </c>
      <c r="O553" s="2">
        <v>52.272078277782697</v>
      </c>
      <c r="P553" s="2">
        <v>1428.9808646659367</v>
      </c>
      <c r="Q553" s="2">
        <v>1.2095634501350387</v>
      </c>
      <c r="R553" s="2">
        <v>51.679013027192838</v>
      </c>
      <c r="S553" s="2">
        <v>1435.37701038723</v>
      </c>
      <c r="T553" s="2">
        <v>-2.9757569536312811E-3</v>
      </c>
      <c r="U553" s="2">
        <v>-0.59306525058985926</v>
      </c>
      <c r="V553" s="2">
        <v>6.396145721293351</v>
      </c>
    </row>
    <row r="554" spans="1:22" ht="15">
      <c r="A554" s="2">
        <v>553</v>
      </c>
      <c r="B554" s="2" t="s">
        <v>78</v>
      </c>
      <c r="C554" s="2" t="s">
        <v>13</v>
      </c>
      <c r="D554" s="2">
        <v>1369.4015650078654</v>
      </c>
      <c r="E554" s="2">
        <v>710.0879568955861</v>
      </c>
      <c r="F554" s="2">
        <v>479.16665095835924</v>
      </c>
      <c r="G554" s="2">
        <v>88.821032533887774</v>
      </c>
      <c r="H554" s="2">
        <v>20.161200722679496</v>
      </c>
      <c r="I554" s="2">
        <v>0.82126586110563948</v>
      </c>
      <c r="J554" s="2">
        <v>9</v>
      </c>
      <c r="K554" s="2">
        <v>185.26976056264755</v>
      </c>
      <c r="L554" s="2">
        <v>60</v>
      </c>
      <c r="M554" s="2">
        <v>25</v>
      </c>
      <c r="N554" s="2">
        <v>1.2280358846445731</v>
      </c>
      <c r="O554" s="2">
        <v>52.174283944227469</v>
      </c>
      <c r="P554" s="2">
        <v>1369.4015650078654</v>
      </c>
      <c r="Q554" s="2">
        <v>1.2293453110426693</v>
      </c>
      <c r="R554" s="2">
        <v>52.043681549759576</v>
      </c>
      <c r="S554" s="2">
        <v>1374.7512161649354</v>
      </c>
      <c r="T554" s="2">
        <v>1.3094263980961696E-3</v>
      </c>
      <c r="U554" s="2">
        <v>-0.13060239446789268</v>
      </c>
      <c r="V554" s="2">
        <v>5.3496511570699568</v>
      </c>
    </row>
    <row r="555" spans="1:22" ht="15">
      <c r="A555" s="2">
        <v>554</v>
      </c>
      <c r="B555" s="2" t="s">
        <v>78</v>
      </c>
      <c r="C555" s="2" t="s">
        <v>13</v>
      </c>
      <c r="D555" s="2">
        <v>1438.5094728902914</v>
      </c>
      <c r="E555" s="2">
        <v>668.34926868323237</v>
      </c>
      <c r="F555" s="2">
        <v>577.63023981824517</v>
      </c>
      <c r="G555" s="2">
        <v>279.6004085522145</v>
      </c>
      <c r="H555" s="2">
        <v>23.757488389033824</v>
      </c>
      <c r="I555" s="2">
        <v>0.81721807431895288</v>
      </c>
      <c r="J555" s="2">
        <v>9</v>
      </c>
      <c r="K555" s="2">
        <v>195.58351791215659</v>
      </c>
      <c r="L555" s="2">
        <v>50</v>
      </c>
      <c r="M555" s="2">
        <v>25</v>
      </c>
      <c r="N555" s="2">
        <v>1.2518398083692825</v>
      </c>
      <c r="O555" s="2">
        <v>52.212876048566599</v>
      </c>
      <c r="P555" s="2">
        <v>1438.5094728902914</v>
      </c>
      <c r="Q555" s="2">
        <v>1.2550834478139306</v>
      </c>
      <c r="R555" s="2">
        <v>52.160209183603655</v>
      </c>
      <c r="S555" s="2">
        <v>1439.5885273540177</v>
      </c>
      <c r="T555" s="2">
        <v>3.2436394446480055E-3</v>
      </c>
      <c r="U555" s="2">
        <v>-5.266686496294426E-2</v>
      </c>
      <c r="V555" s="2">
        <v>1.0790544637263793</v>
      </c>
    </row>
    <row r="556" spans="1:22" ht="15">
      <c r="A556" s="2">
        <v>555</v>
      </c>
      <c r="B556" s="2" t="s">
        <v>79</v>
      </c>
      <c r="C556" s="2" t="s">
        <v>13</v>
      </c>
      <c r="D556" s="2">
        <v>1433.4409369854257</v>
      </c>
      <c r="E556" s="2">
        <v>864.53206675359979</v>
      </c>
      <c r="F556" s="2">
        <v>744.98905725777149</v>
      </c>
      <c r="G556" s="2">
        <v>114.34948826907203</v>
      </c>
      <c r="H556" s="2">
        <v>20.406070188619196</v>
      </c>
      <c r="I556" s="2">
        <v>0.81282702154247088</v>
      </c>
      <c r="J556" s="2">
        <v>9</v>
      </c>
      <c r="K556" s="2">
        <v>195.94724461590846</v>
      </c>
      <c r="L556" s="2">
        <v>40</v>
      </c>
      <c r="M556" s="2">
        <v>25</v>
      </c>
      <c r="N556" s="2">
        <v>1.1486392512030155</v>
      </c>
      <c r="O556" s="2">
        <v>52.243794525219826</v>
      </c>
      <c r="P556" s="2">
        <v>1433.4409369854257</v>
      </c>
      <c r="Q556" s="2">
        <v>1.1465231657954846</v>
      </c>
      <c r="R556" s="2">
        <v>53.176410257211401</v>
      </c>
      <c r="S556" s="2">
        <v>1428.5495709689887</v>
      </c>
      <c r="T556" s="2">
        <v>-2.1160854075308322E-3</v>
      </c>
      <c r="U556" s="2">
        <v>0.9326157319915751</v>
      </c>
      <c r="V556" s="2">
        <v>-4.8913660164369048</v>
      </c>
    </row>
    <row r="557" spans="1:22" ht="15">
      <c r="A557" s="2">
        <v>556</v>
      </c>
      <c r="B557" s="2" t="s">
        <v>79</v>
      </c>
      <c r="C557" s="2" t="s">
        <v>13</v>
      </c>
      <c r="D557" s="2">
        <v>1411.387760785874</v>
      </c>
      <c r="E557" s="2">
        <v>1241.0399788524956</v>
      </c>
      <c r="F557" s="2">
        <v>487.99608154222369</v>
      </c>
      <c r="G557" s="2">
        <v>93.78516189288348</v>
      </c>
      <c r="H557" s="2">
        <v>12.894273567479104</v>
      </c>
      <c r="I557" s="2">
        <v>0.79605628404766327</v>
      </c>
      <c r="J557" s="2">
        <v>9</v>
      </c>
      <c r="K557" s="2">
        <v>196.9972041576799</v>
      </c>
      <c r="L557" s="2">
        <v>40</v>
      </c>
      <c r="M557" s="2">
        <v>25</v>
      </c>
      <c r="N557" s="2">
        <v>1.1682588277584194</v>
      </c>
      <c r="O557" s="2">
        <v>52.259223399085194</v>
      </c>
      <c r="P557" s="2">
        <v>1411.387760785874</v>
      </c>
      <c r="Q557" s="2">
        <v>1.170873196146734</v>
      </c>
      <c r="R557" s="2">
        <v>53.854339909414129</v>
      </c>
      <c r="S557" s="2">
        <v>1405.5938895446068</v>
      </c>
      <c r="T557" s="2">
        <v>2.6143683883146362E-3</v>
      </c>
      <c r="U557" s="2">
        <v>1.5951165103289355</v>
      </c>
      <c r="V557" s="2">
        <v>-5.7938712412671975</v>
      </c>
    </row>
    <row r="558" spans="1:22" ht="15">
      <c r="A558" s="2">
        <v>557</v>
      </c>
      <c r="B558" s="2" t="s">
        <v>79</v>
      </c>
      <c r="C558" s="2" t="s">
        <v>13</v>
      </c>
      <c r="D558" s="2">
        <v>1350.735811656341</v>
      </c>
      <c r="E558" s="2">
        <v>869.99902304960415</v>
      </c>
      <c r="F558" s="2">
        <v>674.48358442634344</v>
      </c>
      <c r="G558" s="2">
        <v>287.99653028370813</v>
      </c>
      <c r="H558" s="2">
        <v>28.555698458105326</v>
      </c>
      <c r="I558" s="2">
        <v>0.79372105099493639</v>
      </c>
      <c r="J558" s="2">
        <v>9</v>
      </c>
      <c r="K558" s="2">
        <v>189.08627491053153</v>
      </c>
      <c r="L558" s="2">
        <v>40</v>
      </c>
      <c r="M558" s="2">
        <v>25</v>
      </c>
      <c r="N558" s="2">
        <v>1.2564055907426208</v>
      </c>
      <c r="O558" s="2">
        <v>52.260729309555167</v>
      </c>
      <c r="P558" s="2">
        <v>1350.735811656341</v>
      </c>
      <c r="Q558" s="2">
        <v>1.2647268939678042</v>
      </c>
      <c r="R558" s="2">
        <v>52.267561663186875</v>
      </c>
      <c r="S558" s="2">
        <v>1334.2078609799082</v>
      </c>
      <c r="T558" s="2">
        <v>8.3213032251834296E-3</v>
      </c>
      <c r="U558" s="2">
        <v>6.832353631708088E-3</v>
      </c>
      <c r="V558" s="2">
        <v>-16.527950676432738</v>
      </c>
    </row>
    <row r="559" spans="1:22" ht="15">
      <c r="A559" s="2">
        <v>558</v>
      </c>
      <c r="B559" s="2" t="s">
        <v>80</v>
      </c>
      <c r="C559" s="2" t="s">
        <v>13</v>
      </c>
      <c r="D559" s="2">
        <v>1499.0030964952894</v>
      </c>
      <c r="E559" s="2">
        <v>1096.6174089116976</v>
      </c>
      <c r="F559" s="2">
        <v>716.77718507125974</v>
      </c>
      <c r="G559" s="2">
        <v>260.25495484471321</v>
      </c>
      <c r="H559" s="2">
        <v>24.52023027325049</v>
      </c>
      <c r="I559" s="2">
        <v>0.83291979260277005</v>
      </c>
      <c r="J559" s="2">
        <v>9</v>
      </c>
      <c r="K559" s="2">
        <v>199.96631259070142</v>
      </c>
      <c r="L559" s="2">
        <v>35</v>
      </c>
      <c r="M559" s="2">
        <v>25</v>
      </c>
      <c r="N559" s="2">
        <v>1.242760141045419</v>
      </c>
      <c r="O559" s="2">
        <v>52.298333805900953</v>
      </c>
      <c r="P559" s="2">
        <v>1499.0030964952894</v>
      </c>
      <c r="Q559" s="2">
        <v>1.2589714873423516</v>
      </c>
      <c r="R559" s="2">
        <v>51.798257197526233</v>
      </c>
      <c r="S559" s="2">
        <v>1477.8359563688548</v>
      </c>
      <c r="T559" s="2">
        <v>1.621134629693266E-2</v>
      </c>
      <c r="U559" s="2">
        <v>-0.50007660837471946</v>
      </c>
      <c r="V559" s="2">
        <v>-21.16714012643456</v>
      </c>
    </row>
    <row r="560" spans="1:22" ht="15">
      <c r="A560" s="2">
        <v>559</v>
      </c>
      <c r="B560" s="2" t="s">
        <v>80</v>
      </c>
      <c r="C560" s="2" t="s">
        <v>13</v>
      </c>
      <c r="D560" s="2">
        <v>1393.7414447078481</v>
      </c>
      <c r="E560" s="2">
        <v>1092.5376162980683</v>
      </c>
      <c r="F560" s="2">
        <v>491.05398431420326</v>
      </c>
      <c r="G560" s="2">
        <v>316.04236770188436</v>
      </c>
      <c r="H560" s="2">
        <v>28.338205560110509</v>
      </c>
      <c r="I560" s="2">
        <v>0.82437457656254998</v>
      </c>
      <c r="J560" s="2">
        <v>9</v>
      </c>
      <c r="K560" s="2">
        <v>187.85169378806543</v>
      </c>
      <c r="L560" s="2">
        <v>35</v>
      </c>
      <c r="M560" s="2">
        <v>25</v>
      </c>
      <c r="N560" s="2">
        <v>1.1721506156530426</v>
      </c>
      <c r="O560" s="2">
        <v>52.271200426509381</v>
      </c>
      <c r="P560" s="2">
        <v>1393.7414447078481</v>
      </c>
      <c r="Q560" s="2">
        <v>1.1818379089680269</v>
      </c>
      <c r="R560" s="2">
        <v>52.328561105614192</v>
      </c>
      <c r="S560" s="2">
        <v>1373.2675243905378</v>
      </c>
      <c r="T560" s="2">
        <v>9.6872933149843021E-3</v>
      </c>
      <c r="U560" s="2">
        <v>5.7360679104810686E-2</v>
      </c>
      <c r="V560" s="2">
        <v>-20.473920317310331</v>
      </c>
    </row>
    <row r="561" spans="1:22" ht="15">
      <c r="A561" s="2">
        <v>560</v>
      </c>
      <c r="B561" s="2" t="s">
        <v>80</v>
      </c>
      <c r="C561" s="2" t="s">
        <v>13</v>
      </c>
      <c r="D561" s="2">
        <v>1459.9539015325718</v>
      </c>
      <c r="E561" s="2">
        <v>831.22103307396173</v>
      </c>
      <c r="F561" s="2">
        <v>684.47484215721488</v>
      </c>
      <c r="G561" s="2">
        <v>224.41807952243835</v>
      </c>
      <c r="H561" s="2">
        <v>13.529399031307548</v>
      </c>
      <c r="I561" s="2">
        <v>0.84764208099804828</v>
      </c>
      <c r="J561" s="2">
        <v>9</v>
      </c>
      <c r="K561" s="2">
        <v>191.37452446825759</v>
      </c>
      <c r="L561" s="2">
        <v>45</v>
      </c>
      <c r="M561" s="2">
        <v>25</v>
      </c>
      <c r="N561" s="2">
        <v>1.2447090200399811</v>
      </c>
      <c r="O561" s="2">
        <v>52.246327268394957</v>
      </c>
      <c r="P561" s="2">
        <v>1459.9539015325718</v>
      </c>
      <c r="Q561" s="2">
        <v>1.2444852338627932</v>
      </c>
      <c r="R561" s="2">
        <v>51.567664957171864</v>
      </c>
      <c r="S561" s="2">
        <v>1462.5550860695837</v>
      </c>
      <c r="T561" s="2">
        <v>-2.2378617718787908E-4</v>
      </c>
      <c r="U561" s="2">
        <v>-0.67866231122309273</v>
      </c>
      <c r="V561" s="2">
        <v>2.6011845370119318</v>
      </c>
    </row>
    <row r="562" spans="1:22" ht="15">
      <c r="A562" s="2">
        <v>561</v>
      </c>
      <c r="B562" s="2" t="s">
        <v>78</v>
      </c>
      <c r="C562" s="2" t="s">
        <v>13</v>
      </c>
      <c r="D562" s="2">
        <v>1459.6134354360402</v>
      </c>
      <c r="E562" s="2">
        <v>769.12727294256911</v>
      </c>
      <c r="F562" s="2">
        <v>613.03933057934046</v>
      </c>
      <c r="G562" s="2">
        <v>102.59985363343731</v>
      </c>
      <c r="H562" s="2">
        <v>15.073984758928418</v>
      </c>
      <c r="I562" s="2">
        <v>0.82714566140668466</v>
      </c>
      <c r="J562" s="2">
        <v>9</v>
      </c>
      <c r="K562" s="2">
        <v>196.07099229438549</v>
      </c>
      <c r="L562" s="2">
        <v>50</v>
      </c>
      <c r="M562" s="2">
        <v>25</v>
      </c>
      <c r="N562" s="2">
        <v>1.183664831287095</v>
      </c>
      <c r="O562" s="2">
        <v>52.206512209831942</v>
      </c>
      <c r="P562" s="2">
        <v>1459.6134354360402</v>
      </c>
      <c r="Q562" s="2">
        <v>1.1783943516109123</v>
      </c>
      <c r="R562" s="2">
        <v>51.871210600595298</v>
      </c>
      <c r="S562" s="2">
        <v>1463.1758667373442</v>
      </c>
      <c r="T562" s="2">
        <v>-5.27047967618266E-3</v>
      </c>
      <c r="U562" s="2">
        <v>-0.33530160923664454</v>
      </c>
      <c r="V562" s="2">
        <v>3.5624313013040592</v>
      </c>
    </row>
    <row r="563" spans="1:22" ht="15">
      <c r="A563" s="2">
        <v>562</v>
      </c>
      <c r="B563" s="2" t="s">
        <v>78</v>
      </c>
      <c r="C563" s="2" t="s">
        <v>13</v>
      </c>
      <c r="D563" s="2">
        <v>1475.6348825641908</v>
      </c>
      <c r="E563" s="2">
        <v>982.6782074989751</v>
      </c>
      <c r="F563" s="2">
        <v>563.40394699946046</v>
      </c>
      <c r="G563" s="2">
        <v>267.06654128618538</v>
      </c>
      <c r="H563" s="2">
        <v>29.441321522463113</v>
      </c>
      <c r="I563" s="2">
        <v>0.82468396055046478</v>
      </c>
      <c r="J563" s="2">
        <v>9</v>
      </c>
      <c r="K563" s="2">
        <v>198.81486634780751</v>
      </c>
      <c r="L563" s="2">
        <v>40</v>
      </c>
      <c r="M563" s="2">
        <v>25</v>
      </c>
      <c r="N563" s="2">
        <v>1.2491720517577172</v>
      </c>
      <c r="O563" s="2">
        <v>52.257715210390209</v>
      </c>
      <c r="P563" s="2">
        <v>1475.6348825641908</v>
      </c>
      <c r="Q563" s="2">
        <v>1.2525171007290115</v>
      </c>
      <c r="R563" s="2">
        <v>51.996082374268987</v>
      </c>
      <c r="S563" s="2">
        <v>1450.0766246380201</v>
      </c>
      <c r="T563" s="2">
        <v>3.3450489712942844E-3</v>
      </c>
      <c r="U563" s="2">
        <v>-0.26163283612122257</v>
      </c>
      <c r="V563" s="2">
        <v>-25.558257926170654</v>
      </c>
    </row>
    <row r="564" spans="1:22" ht="15">
      <c r="A564" s="2">
        <v>563</v>
      </c>
      <c r="B564" s="2" t="s">
        <v>78</v>
      </c>
      <c r="C564" s="2" t="s">
        <v>13</v>
      </c>
      <c r="D564" s="2">
        <v>1350.6569264223799</v>
      </c>
      <c r="E564" s="2">
        <v>625.40810067439452</v>
      </c>
      <c r="F564" s="2">
        <v>548.28875623643398</v>
      </c>
      <c r="G564" s="2">
        <v>259.00102463318035</v>
      </c>
      <c r="H564" s="2">
        <v>29.079919320531189</v>
      </c>
      <c r="I564" s="2">
        <v>0.8405925082112663</v>
      </c>
      <c r="J564" s="2">
        <v>9</v>
      </c>
      <c r="K564" s="2">
        <v>178.53239275717053</v>
      </c>
      <c r="L564" s="2">
        <v>50</v>
      </c>
      <c r="M564" s="2">
        <v>25</v>
      </c>
      <c r="N564" s="2">
        <v>1.2040376291518022</v>
      </c>
      <c r="O564" s="2">
        <v>52.198393417179744</v>
      </c>
      <c r="P564" s="2">
        <v>1350.6569264223799</v>
      </c>
      <c r="Q564" s="2">
        <v>1.2032464865596812</v>
      </c>
      <c r="R564" s="2">
        <v>50.982237015646348</v>
      </c>
      <c r="S564" s="2">
        <v>1342.3691545706999</v>
      </c>
      <c r="T564" s="2">
        <v>-7.9114259212098581E-4</v>
      </c>
      <c r="U564" s="2">
        <v>-1.2161564015333965</v>
      </c>
      <c r="V564" s="2">
        <v>-8.2877718516799632</v>
      </c>
    </row>
    <row r="565" spans="1:22" ht="15">
      <c r="A565" s="2">
        <v>564</v>
      </c>
      <c r="B565" s="2" t="s">
        <v>78</v>
      </c>
      <c r="C565" s="2" t="s">
        <v>13</v>
      </c>
      <c r="D565" s="2">
        <v>1479.0081457584165</v>
      </c>
      <c r="E565" s="2">
        <v>683.32447134889662</v>
      </c>
      <c r="F565" s="2">
        <v>423.3022796921432</v>
      </c>
      <c r="G565" s="2">
        <v>312.20734612550586</v>
      </c>
      <c r="H565" s="2">
        <v>29.280736475717276</v>
      </c>
      <c r="I565" s="2">
        <v>0.83160462314262995</v>
      </c>
      <c r="J565" s="2">
        <v>9</v>
      </c>
      <c r="K565" s="2">
        <v>197.61102072350624</v>
      </c>
      <c r="L565" s="2">
        <v>50</v>
      </c>
      <c r="M565" s="2">
        <v>25</v>
      </c>
      <c r="N565" s="2">
        <v>1.194385159098321</v>
      </c>
      <c r="O565" s="2">
        <v>52.196231706600699</v>
      </c>
      <c r="P565" s="2">
        <v>1479.0081457584165</v>
      </c>
      <c r="Q565" s="2">
        <v>1.1863625572755381</v>
      </c>
      <c r="R565" s="2">
        <v>52.216043296424466</v>
      </c>
      <c r="S565" s="2">
        <v>1470.9134493136357</v>
      </c>
      <c r="T565" s="2">
        <v>-8.0226018227829154E-3</v>
      </c>
      <c r="U565" s="2">
        <v>1.9811589823767406E-2</v>
      </c>
      <c r="V565" s="2">
        <v>-8.0946964447807659</v>
      </c>
    </row>
    <row r="566" spans="1:22" ht="15">
      <c r="A566" s="2">
        <v>565</v>
      </c>
      <c r="B566" s="2" t="s">
        <v>78</v>
      </c>
      <c r="C566" s="2" t="s">
        <v>13</v>
      </c>
      <c r="D566" s="2">
        <v>1483.7850500363857</v>
      </c>
      <c r="E566" s="2">
        <v>1015.2287132921629</v>
      </c>
      <c r="F566" s="2">
        <v>397.65342753380537</v>
      </c>
      <c r="G566" s="2">
        <v>89.933060326147825</v>
      </c>
      <c r="H566" s="2">
        <v>19.990560948848724</v>
      </c>
      <c r="I566" s="2">
        <v>0.84618097489932553</v>
      </c>
      <c r="J566" s="2">
        <v>9</v>
      </c>
      <c r="K566" s="2">
        <v>194.83421448847068</v>
      </c>
      <c r="L566" s="2">
        <v>50</v>
      </c>
      <c r="M566" s="2">
        <v>25</v>
      </c>
      <c r="N566" s="2">
        <v>1.2185761671860116</v>
      </c>
      <c r="O566" s="2">
        <v>52.209326460239637</v>
      </c>
      <c r="P566" s="2">
        <v>1483.7850500363857</v>
      </c>
      <c r="Q566" s="2">
        <v>1.2180907293102008</v>
      </c>
      <c r="R566" s="2">
        <v>52.609418460680828</v>
      </c>
      <c r="S566" s="2">
        <v>1487.7014527265094</v>
      </c>
      <c r="T566" s="2">
        <v>-4.8543787581079023E-4</v>
      </c>
      <c r="U566" s="2">
        <v>0.40009200044119098</v>
      </c>
      <c r="V566" s="2">
        <v>3.9164026901237321</v>
      </c>
    </row>
    <row r="567" spans="1:22" ht="15">
      <c r="A567" s="2">
        <v>566</v>
      </c>
      <c r="B567" s="2" t="s">
        <v>78</v>
      </c>
      <c r="C567" s="2" t="s">
        <v>13</v>
      </c>
      <c r="D567" s="2">
        <v>1480.2943245624192</v>
      </c>
      <c r="E567" s="2">
        <v>1016.0106459399685</v>
      </c>
      <c r="F567" s="2">
        <v>549.30917443707585</v>
      </c>
      <c r="G567" s="2">
        <v>328.75441426411271</v>
      </c>
      <c r="H567" s="2">
        <v>8.0369569570757449</v>
      </c>
      <c r="I567" s="2">
        <v>0.81854877424892036</v>
      </c>
      <c r="J567" s="2">
        <v>10</v>
      </c>
      <c r="K567" s="2">
        <v>180.84375313135124</v>
      </c>
      <c r="L567" s="2">
        <v>35</v>
      </c>
      <c r="M567" s="2">
        <v>25</v>
      </c>
      <c r="N567" s="2">
        <v>1.1540259962293566</v>
      </c>
      <c r="O567" s="2">
        <v>52.303148361151578</v>
      </c>
      <c r="P567" s="2">
        <v>1480.2943245624192</v>
      </c>
      <c r="Q567" s="2">
        <v>1.167005934718683</v>
      </c>
      <c r="R567" s="2">
        <v>52.520543842152684</v>
      </c>
      <c r="S567" s="2">
        <v>1486.6483089081996</v>
      </c>
      <c r="T567" s="2">
        <v>1.2979938489326326E-2</v>
      </c>
      <c r="U567" s="2">
        <v>0.2173954810011054</v>
      </c>
      <c r="V567" s="2">
        <v>6.3539843457804182</v>
      </c>
    </row>
    <row r="568" spans="1:22" ht="15">
      <c r="A568" s="2">
        <v>567</v>
      </c>
      <c r="B568" s="2" t="s">
        <v>78</v>
      </c>
      <c r="C568" s="2" t="s">
        <v>13</v>
      </c>
      <c r="D568" s="2">
        <v>1466.5537604363635</v>
      </c>
      <c r="E568" s="2">
        <v>1178.5023136180826</v>
      </c>
      <c r="F568" s="2">
        <v>514.31958228349686</v>
      </c>
      <c r="G568" s="2">
        <v>171.95476671447977</v>
      </c>
      <c r="H568" s="2">
        <v>13.90325231384486</v>
      </c>
      <c r="I568" s="2">
        <v>0.83534472096478574</v>
      </c>
      <c r="J568" s="2">
        <v>9</v>
      </c>
      <c r="K568" s="2">
        <v>195.06966852925362</v>
      </c>
      <c r="L568" s="2">
        <v>40</v>
      </c>
      <c r="M568" s="2">
        <v>25</v>
      </c>
      <c r="N568" s="2">
        <v>1.1990159866790031</v>
      </c>
      <c r="O568" s="2">
        <v>52.265765301118407</v>
      </c>
      <c r="P568" s="2">
        <v>1466.5537604363635</v>
      </c>
      <c r="Q568" s="2">
        <v>1.2003466868757737</v>
      </c>
      <c r="R568" s="2">
        <v>54.044229144557271</v>
      </c>
      <c r="S568" s="2">
        <v>1467.3985272663401</v>
      </c>
      <c r="T568" s="2">
        <v>1.3307001967706178E-3</v>
      </c>
      <c r="U568" s="2">
        <v>1.778463843438864</v>
      </c>
      <c r="V568" s="2">
        <v>0.84476682997660646</v>
      </c>
    </row>
    <row r="569" spans="1:22" ht="15">
      <c r="A569" s="2">
        <v>568</v>
      </c>
      <c r="B569" s="2" t="s">
        <v>78</v>
      </c>
      <c r="C569" s="2" t="s">
        <v>13</v>
      </c>
      <c r="D569" s="2">
        <v>1409.0112111414783</v>
      </c>
      <c r="E569" s="2">
        <v>1127.0870151929557</v>
      </c>
      <c r="F569" s="2">
        <v>637.6358381472528</v>
      </c>
      <c r="G569" s="2">
        <v>291.19952818844467</v>
      </c>
      <c r="H569" s="2">
        <v>25.923388039227575</v>
      </c>
      <c r="I569" s="2">
        <v>0.8494029248971493</v>
      </c>
      <c r="J569" s="2">
        <v>9</v>
      </c>
      <c r="K569" s="2">
        <v>184.31394176903598</v>
      </c>
      <c r="L569" s="2">
        <v>35</v>
      </c>
      <c r="M569" s="2">
        <v>25</v>
      </c>
      <c r="N569" s="2">
        <v>1.2414819593630466</v>
      </c>
      <c r="O569" s="2">
        <v>52.29556969733985</v>
      </c>
      <c r="P569" s="2">
        <v>1409.0112111414783</v>
      </c>
      <c r="Q569" s="2">
        <v>1.2373459706328762</v>
      </c>
      <c r="R569" s="2">
        <v>52.351057036778499</v>
      </c>
      <c r="S569" s="2">
        <v>1379.7037035579476</v>
      </c>
      <c r="T569" s="2">
        <v>-4.1359887301704035E-3</v>
      </c>
      <c r="U569" s="2">
        <v>5.548733943864903E-2</v>
      </c>
      <c r="V569" s="2">
        <v>-29.307507583530651</v>
      </c>
    </row>
    <row r="570" spans="1:22" ht="15">
      <c r="A570" s="2">
        <v>569</v>
      </c>
      <c r="B570" s="2" t="s">
        <v>78</v>
      </c>
      <c r="C570" s="2" t="s">
        <v>13</v>
      </c>
      <c r="D570" s="2">
        <v>1414.7913616150618</v>
      </c>
      <c r="E570" s="2">
        <v>715.27752861147746</v>
      </c>
      <c r="F570" s="2">
        <v>677.23458576947451</v>
      </c>
      <c r="G570" s="2">
        <v>232.06570230657235</v>
      </c>
      <c r="H570" s="2">
        <v>27.549097968265414</v>
      </c>
      <c r="I570" s="2">
        <v>0.82019266215385878</v>
      </c>
      <c r="J570" s="2">
        <v>9</v>
      </c>
      <c r="K570" s="2">
        <v>191.66111504416577</v>
      </c>
      <c r="L570" s="2">
        <v>45</v>
      </c>
      <c r="M570" s="2">
        <v>25</v>
      </c>
      <c r="N570" s="2">
        <v>1.2326281430762953</v>
      </c>
      <c r="O570" s="2">
        <v>52.228312296067003</v>
      </c>
      <c r="P570" s="2">
        <v>1414.7913616150618</v>
      </c>
      <c r="Q570" s="2">
        <v>1.2246238080864</v>
      </c>
      <c r="R570" s="2">
        <v>51.51161477919144</v>
      </c>
      <c r="S570" s="2">
        <v>1406.3021277855248</v>
      </c>
      <c r="T570" s="2">
        <v>-8.0043349898952787E-3</v>
      </c>
      <c r="U570" s="2">
        <v>-0.71669751687556271</v>
      </c>
      <c r="V570" s="2">
        <v>-8.4892338295369427</v>
      </c>
    </row>
    <row r="571" spans="1:22" ht="15">
      <c r="A571" s="2">
        <v>570</v>
      </c>
      <c r="B571" s="2" t="s">
        <v>78</v>
      </c>
      <c r="C571" s="2" t="s">
        <v>13</v>
      </c>
      <c r="D571" s="2">
        <v>1483.3401160896756</v>
      </c>
      <c r="E571" s="2">
        <v>782.62557371053845</v>
      </c>
      <c r="F571" s="2">
        <v>434.01521006599069</v>
      </c>
      <c r="G571" s="2">
        <v>274.97642642818391</v>
      </c>
      <c r="H571" s="2">
        <v>25.179128211457282</v>
      </c>
      <c r="I571" s="2">
        <v>0.85866259061265737</v>
      </c>
      <c r="J571" s="2">
        <v>9</v>
      </c>
      <c r="K571" s="2">
        <v>191.94450795487921</v>
      </c>
      <c r="L571" s="2">
        <v>50</v>
      </c>
      <c r="M571" s="2">
        <v>25</v>
      </c>
      <c r="N571" s="2">
        <v>1.2322300000279527</v>
      </c>
      <c r="O571" s="2">
        <v>52.207580413501169</v>
      </c>
      <c r="P571" s="2">
        <v>1483.3401160896756</v>
      </c>
      <c r="Q571" s="2">
        <v>1.2135902728774539</v>
      </c>
      <c r="R571" s="2">
        <v>52.010816573159971</v>
      </c>
      <c r="S571" s="2">
        <v>1483.880190221256</v>
      </c>
      <c r="T571" s="2">
        <v>-1.8639727150498775E-2</v>
      </c>
      <c r="U571" s="2">
        <v>-0.1967638403411982</v>
      </c>
      <c r="V571" s="2">
        <v>0.54007413158046802</v>
      </c>
    </row>
    <row r="572" spans="1:22" ht="15">
      <c r="A572" s="2">
        <v>571</v>
      </c>
      <c r="B572" s="2" t="s">
        <v>78</v>
      </c>
      <c r="C572" s="2" t="s">
        <v>13</v>
      </c>
      <c r="D572" s="2">
        <v>1487.964088912122</v>
      </c>
      <c r="E572" s="2">
        <v>1078.862131445203</v>
      </c>
      <c r="F572" s="2">
        <v>376.33108235895634</v>
      </c>
      <c r="G572" s="2">
        <v>104.55670683411881</v>
      </c>
      <c r="H572" s="2">
        <v>13.408484824933112</v>
      </c>
      <c r="I572" s="2">
        <v>0.81989864560542636</v>
      </c>
      <c r="J572" s="2">
        <v>10</v>
      </c>
      <c r="K572" s="2">
        <v>181.48146687245534</v>
      </c>
      <c r="L572" s="2">
        <v>45</v>
      </c>
      <c r="M572" s="2">
        <v>25</v>
      </c>
      <c r="N572" s="2">
        <v>1.2327843631636211</v>
      </c>
      <c r="O572" s="2">
        <v>52.245226673750572</v>
      </c>
      <c r="P572" s="2">
        <v>1487.964088912122</v>
      </c>
      <c r="Q572" s="2">
        <v>1.2488334281581142</v>
      </c>
      <c r="R572" s="2">
        <v>52.817022382179324</v>
      </c>
      <c r="S572" s="2">
        <v>1488.395314509796</v>
      </c>
      <c r="T572" s="2">
        <v>1.6049064994493101E-2</v>
      </c>
      <c r="U572" s="2">
        <v>0.57179570842875194</v>
      </c>
      <c r="V572" s="2">
        <v>0.4312255976740289</v>
      </c>
    </row>
    <row r="573" spans="1:22" ht="15">
      <c r="A573" s="2">
        <v>572</v>
      </c>
      <c r="B573" s="2" t="s">
        <v>78</v>
      </c>
      <c r="C573" s="2" t="s">
        <v>13</v>
      </c>
      <c r="D573" s="2">
        <v>1374.5872903964482</v>
      </c>
      <c r="E573" s="2">
        <v>794.81515693478286</v>
      </c>
      <c r="F573" s="2">
        <v>505.40987802669406</v>
      </c>
      <c r="G573" s="2">
        <v>156.0309825418517</v>
      </c>
      <c r="H573" s="2">
        <v>10.660457264166325</v>
      </c>
      <c r="I573" s="2">
        <v>0.79261269226670272</v>
      </c>
      <c r="J573" s="2">
        <v>9</v>
      </c>
      <c r="K573" s="2">
        <v>192.69426624797075</v>
      </c>
      <c r="L573" s="2">
        <v>55</v>
      </c>
      <c r="M573" s="2">
        <v>25</v>
      </c>
      <c r="N573" s="2">
        <v>1.2479615057335423</v>
      </c>
      <c r="O573" s="2">
        <v>52.202066719529206</v>
      </c>
      <c r="P573" s="2">
        <v>1374.5872903964482</v>
      </c>
      <c r="Q573" s="2">
        <v>1.2441609577582353</v>
      </c>
      <c r="R573" s="2">
        <v>51.286226802963277</v>
      </c>
      <c r="S573" s="2">
        <v>1392.0786648704109</v>
      </c>
      <c r="T573" s="2">
        <v>-3.8005479753069338E-3</v>
      </c>
      <c r="U573" s="2">
        <v>-0.915839916565929</v>
      </c>
      <c r="V573" s="2">
        <v>17.491374473962651</v>
      </c>
    </row>
    <row r="574" spans="1:22" ht="15">
      <c r="A574" s="2">
        <v>573</v>
      </c>
      <c r="B574" s="2" t="s">
        <v>78</v>
      </c>
      <c r="C574" s="2" t="s">
        <v>13</v>
      </c>
      <c r="D574" s="2">
        <v>1405.089023290202</v>
      </c>
      <c r="E574" s="2">
        <v>1214.9100509355776</v>
      </c>
      <c r="F574" s="2">
        <v>599.83244594186544</v>
      </c>
      <c r="G574" s="2">
        <v>109.0678579476662</v>
      </c>
      <c r="H574" s="2">
        <v>28.703525241464376</v>
      </c>
      <c r="I574" s="2">
        <v>0.83628286693478004</v>
      </c>
      <c r="J574" s="2">
        <v>9</v>
      </c>
      <c r="K574" s="2">
        <v>186.68444465450921</v>
      </c>
      <c r="L574" s="2">
        <v>35</v>
      </c>
      <c r="M574" s="2">
        <v>25</v>
      </c>
      <c r="N574" s="2">
        <v>1.1870947645062071</v>
      </c>
      <c r="O574" s="2">
        <v>52.274970129576104</v>
      </c>
      <c r="P574" s="2">
        <v>1405.089023290202</v>
      </c>
      <c r="Q574" s="2">
        <v>1.1819642991224011</v>
      </c>
      <c r="R574" s="2">
        <v>52.830921623618423</v>
      </c>
      <c r="S574" s="2">
        <v>1377.2302093269229</v>
      </c>
      <c r="T574" s="2">
        <v>-5.1304653838060155E-3</v>
      </c>
      <c r="U574" s="2">
        <v>0.55595149404231847</v>
      </c>
      <c r="V574" s="2">
        <v>-27.85881396327909</v>
      </c>
    </row>
    <row r="575" spans="1:22" ht="15">
      <c r="A575" s="2">
        <v>574</v>
      </c>
      <c r="B575" s="2" t="s">
        <v>78</v>
      </c>
      <c r="C575" s="2" t="s">
        <v>13</v>
      </c>
      <c r="D575" s="2">
        <v>1440.9042280283757</v>
      </c>
      <c r="E575" s="2">
        <v>797.46622096281499</v>
      </c>
      <c r="F575" s="2">
        <v>451.47219197824597</v>
      </c>
      <c r="G575" s="2">
        <v>264.23736188560724</v>
      </c>
      <c r="H575" s="2">
        <v>8.3352477573789656</v>
      </c>
      <c r="I575" s="2">
        <v>0.80103087562602016</v>
      </c>
      <c r="J575" s="2">
        <v>9</v>
      </c>
      <c r="K575" s="2">
        <v>199.8680383647</v>
      </c>
      <c r="L575" s="2">
        <v>50</v>
      </c>
      <c r="M575" s="2">
        <v>25</v>
      </c>
      <c r="N575" s="2">
        <v>1.1751819485149979</v>
      </c>
      <c r="O575" s="2">
        <v>52.210941932689842</v>
      </c>
      <c r="P575" s="2">
        <v>1440.9042280283757</v>
      </c>
      <c r="Q575" s="2">
        <v>1.1823535388590483</v>
      </c>
      <c r="R575" s="2">
        <v>51.5512920453411</v>
      </c>
      <c r="S575" s="2">
        <v>1443.5638649272694</v>
      </c>
      <c r="T575" s="2">
        <v>7.1715903440503492E-3</v>
      </c>
      <c r="U575" s="2">
        <v>-0.65964988734874197</v>
      </c>
      <c r="V575" s="2">
        <v>2.6596368988937229</v>
      </c>
    </row>
    <row r="576" spans="1:22" ht="15">
      <c r="A576" s="2">
        <v>575</v>
      </c>
      <c r="B576" s="2" t="s">
        <v>79</v>
      </c>
      <c r="C576" s="2" t="s">
        <v>13</v>
      </c>
      <c r="D576" s="2">
        <v>1373.0974145466462</v>
      </c>
      <c r="E576" s="2">
        <v>857.21995934145525</v>
      </c>
      <c r="F576" s="2">
        <v>384.62585732340813</v>
      </c>
      <c r="G576" s="2">
        <v>142.24277190631256</v>
      </c>
      <c r="H576" s="2">
        <v>26.385342634283006</v>
      </c>
      <c r="I576" s="2">
        <v>0.82067853512009614</v>
      </c>
      <c r="J576" s="2">
        <v>9</v>
      </c>
      <c r="K576" s="2">
        <v>185.90272910177382</v>
      </c>
      <c r="L576" s="2">
        <v>50</v>
      </c>
      <c r="M576" s="2">
        <v>25</v>
      </c>
      <c r="N576" s="2">
        <v>1.1560798917381121</v>
      </c>
      <c r="O576" s="2">
        <v>52.190814013172961</v>
      </c>
      <c r="P576" s="2">
        <v>1373.0974145466462</v>
      </c>
      <c r="Q576" s="2">
        <v>1.1557765307738779</v>
      </c>
      <c r="R576" s="2">
        <v>51.476304448423399</v>
      </c>
      <c r="S576" s="2">
        <v>1371.9056902887964</v>
      </c>
      <c r="T576" s="2">
        <v>-3.0336096423422276E-4</v>
      </c>
      <c r="U576" s="2">
        <v>-0.71450956474956229</v>
      </c>
      <c r="V576" s="2">
        <v>-1.191724257849728</v>
      </c>
    </row>
    <row r="577" spans="1:22" ht="15">
      <c r="A577" s="2">
        <v>576</v>
      </c>
      <c r="B577" s="2" t="s">
        <v>79</v>
      </c>
      <c r="C577" s="2" t="s">
        <v>13</v>
      </c>
      <c r="D577" s="2">
        <v>1369.8115268605761</v>
      </c>
      <c r="E577" s="2">
        <v>891.01711772382259</v>
      </c>
      <c r="F577" s="2">
        <v>393.89134040102363</v>
      </c>
      <c r="G577" s="2">
        <v>284.88012686837465</v>
      </c>
      <c r="H577" s="2">
        <v>21.392946557607502</v>
      </c>
      <c r="I577" s="2">
        <v>0.83315276327542964</v>
      </c>
      <c r="J577" s="2">
        <v>9</v>
      </c>
      <c r="K577" s="2">
        <v>182.6811210034605</v>
      </c>
      <c r="L577" s="2">
        <v>45</v>
      </c>
      <c r="M577" s="2">
        <v>25</v>
      </c>
      <c r="N577" s="2">
        <v>1.1667939373930829</v>
      </c>
      <c r="O577" s="2">
        <v>52.219769285115063</v>
      </c>
      <c r="P577" s="2">
        <v>1369.8115268605761</v>
      </c>
      <c r="Q577" s="2">
        <v>1.1688410071188309</v>
      </c>
      <c r="R577" s="2">
        <v>51.994848264489903</v>
      </c>
      <c r="S577" s="2">
        <v>1361.1568827265883</v>
      </c>
      <c r="T577" s="2">
        <v>2.0470697257479742E-3</v>
      </c>
      <c r="U577" s="2">
        <v>-0.22492102062516039</v>
      </c>
      <c r="V577" s="2">
        <v>-8.6546441339878584</v>
      </c>
    </row>
    <row r="578" spans="1:22" ht="15">
      <c r="A578" s="2">
        <v>577</v>
      </c>
      <c r="B578" s="2" t="s">
        <v>79</v>
      </c>
      <c r="C578" s="2" t="s">
        <v>13</v>
      </c>
      <c r="D578" s="2">
        <v>1432.9401615075767</v>
      </c>
      <c r="E578" s="2">
        <v>850.22224517306313</v>
      </c>
      <c r="F578" s="2">
        <v>464.51746169477701</v>
      </c>
      <c r="G578" s="2">
        <v>125.22167990216985</v>
      </c>
      <c r="H578" s="2">
        <v>23.466541418805718</v>
      </c>
      <c r="I578" s="2">
        <v>0.80924565042601904</v>
      </c>
      <c r="J578" s="2">
        <v>9</v>
      </c>
      <c r="K578" s="2">
        <v>196.74566482627921</v>
      </c>
      <c r="L578" s="2">
        <v>50</v>
      </c>
      <c r="M578" s="2">
        <v>25</v>
      </c>
      <c r="N578" s="2">
        <v>1.1860042830293862</v>
      </c>
      <c r="O578" s="2">
        <v>52.199525979232114</v>
      </c>
      <c r="P578" s="2">
        <v>1432.9401615075767</v>
      </c>
      <c r="Q578" s="2">
        <v>1.1698560656378842</v>
      </c>
      <c r="R578" s="2">
        <v>52.170513361673144</v>
      </c>
      <c r="S578" s="2">
        <v>1427.3234216573717</v>
      </c>
      <c r="T578" s="2">
        <v>-1.6148217391501962E-2</v>
      </c>
      <c r="U578" s="2">
        <v>-2.9012617558969112E-2</v>
      </c>
      <c r="V578" s="2">
        <v>-5.6167398502050219</v>
      </c>
    </row>
    <row r="579" spans="1:22" ht="15">
      <c r="A579" s="2">
        <v>578</v>
      </c>
      <c r="B579" s="2" t="s">
        <v>80</v>
      </c>
      <c r="C579" s="2" t="s">
        <v>13</v>
      </c>
      <c r="D579" s="2">
        <v>1377.8112200670876</v>
      </c>
      <c r="E579" s="2">
        <v>1061.4669143455103</v>
      </c>
      <c r="F579" s="2">
        <v>454.02778023853898</v>
      </c>
      <c r="G579" s="2">
        <v>164.58046452142298</v>
      </c>
      <c r="H579" s="2">
        <v>17.391757302451879</v>
      </c>
      <c r="I579" s="2">
        <v>0.84096432446036495</v>
      </c>
      <c r="J579" s="2">
        <v>9</v>
      </c>
      <c r="K579" s="2">
        <v>182.04117714654012</v>
      </c>
      <c r="L579" s="2">
        <v>45</v>
      </c>
      <c r="M579" s="2">
        <v>25</v>
      </c>
      <c r="N579" s="2">
        <v>1.2226797896864299</v>
      </c>
      <c r="O579" s="2">
        <v>52.236965719183516</v>
      </c>
      <c r="P579" s="2">
        <v>1377.8112200670876</v>
      </c>
      <c r="Q579" s="2">
        <v>1.220350980849932</v>
      </c>
      <c r="R579" s="2">
        <v>52.361218632772214</v>
      </c>
      <c r="S579" s="2">
        <v>1375.5953346927754</v>
      </c>
      <c r="T579" s="2">
        <v>-2.3288088364978865E-3</v>
      </c>
      <c r="U579" s="2">
        <v>0.12425291358869828</v>
      </c>
      <c r="V579" s="2">
        <v>-2.2158853743121654</v>
      </c>
    </row>
    <row r="580" spans="1:22" ht="15">
      <c r="A580" s="2">
        <v>579</v>
      </c>
      <c r="B580" s="2" t="s">
        <v>80</v>
      </c>
      <c r="C580" s="2" t="s">
        <v>13</v>
      </c>
      <c r="D580" s="2">
        <v>1403.2877441262826</v>
      </c>
      <c r="E580" s="2">
        <v>893.37531827623025</v>
      </c>
      <c r="F580" s="2">
        <v>353.13718430697918</v>
      </c>
      <c r="G580" s="2">
        <v>90.084852285217494</v>
      </c>
      <c r="H580" s="2">
        <v>12.203499947674572</v>
      </c>
      <c r="I580" s="2">
        <v>0.85982149497373039</v>
      </c>
      <c r="J580" s="2">
        <v>9</v>
      </c>
      <c r="K580" s="2">
        <v>181.34096596787174</v>
      </c>
      <c r="L580" s="2">
        <v>55</v>
      </c>
      <c r="M580" s="2">
        <v>25</v>
      </c>
      <c r="N580" s="2">
        <v>1.1552166746038415</v>
      </c>
      <c r="O580" s="2">
        <v>52.183408942557861</v>
      </c>
      <c r="P580" s="2">
        <v>1403.2877441262826</v>
      </c>
      <c r="Q580" s="2">
        <v>1.1560589645041626</v>
      </c>
      <c r="R580" s="2">
        <v>52.2929253617189</v>
      </c>
      <c r="S580" s="2">
        <v>1420.8579268289272</v>
      </c>
      <c r="T580" s="2">
        <v>8.4228990032109152E-4</v>
      </c>
      <c r="U580" s="2">
        <v>0.10951641916103938</v>
      </c>
      <c r="V580" s="2">
        <v>17.570182702644615</v>
      </c>
    </row>
    <row r="581" spans="1:22" ht="15">
      <c r="A581" s="2">
        <v>580</v>
      </c>
      <c r="B581" s="2" t="s">
        <v>80</v>
      </c>
      <c r="C581" s="2" t="s">
        <v>13</v>
      </c>
      <c r="D581" s="2">
        <v>1476.8470994546078</v>
      </c>
      <c r="E581" s="2">
        <v>832.39613366313279</v>
      </c>
      <c r="F581" s="2">
        <v>367.12603596970439</v>
      </c>
      <c r="G581" s="2">
        <v>85.906038335524499</v>
      </c>
      <c r="H581" s="2">
        <v>13.058014027308673</v>
      </c>
      <c r="I581" s="2">
        <v>0.84088459527119996</v>
      </c>
      <c r="J581" s="2">
        <v>9</v>
      </c>
      <c r="K581" s="2">
        <v>195.14464063728016</v>
      </c>
      <c r="L581" s="2">
        <v>60</v>
      </c>
      <c r="M581" s="2">
        <v>25</v>
      </c>
      <c r="N581" s="2">
        <v>1.2086243738873403</v>
      </c>
      <c r="O581" s="2">
        <v>52.175430393327467</v>
      </c>
      <c r="P581" s="2">
        <v>1476.8470994546078</v>
      </c>
      <c r="Q581" s="2">
        <v>1.2032826137588428</v>
      </c>
      <c r="R581" s="2">
        <v>53.035284216593041</v>
      </c>
      <c r="S581" s="2">
        <v>1496.3328467477791</v>
      </c>
      <c r="T581" s="2">
        <v>-5.3417601284975191E-3</v>
      </c>
      <c r="U581" s="2">
        <v>0.85985382326557414</v>
      </c>
      <c r="V581" s="2">
        <v>19.485747293171244</v>
      </c>
    </row>
    <row r="582" spans="1:22" ht="15">
      <c r="A582" s="2">
        <v>581</v>
      </c>
      <c r="B582" s="2" t="s">
        <v>78</v>
      </c>
      <c r="C582" s="2" t="s">
        <v>13</v>
      </c>
      <c r="D582" s="2">
        <v>1399.2843242827803</v>
      </c>
      <c r="E582" s="2">
        <v>709.57696008263156</v>
      </c>
      <c r="F582" s="2">
        <v>653.33890747278929</v>
      </c>
      <c r="G582" s="2">
        <v>135.86770857917145</v>
      </c>
      <c r="H582" s="2">
        <v>8.5842969939112663</v>
      </c>
      <c r="I582" s="2">
        <v>0.8095595449418761</v>
      </c>
      <c r="J582" s="2">
        <v>9</v>
      </c>
      <c r="K582" s="2">
        <v>192.05015493033653</v>
      </c>
      <c r="L582" s="2">
        <v>50</v>
      </c>
      <c r="M582" s="2">
        <v>25</v>
      </c>
      <c r="N582" s="2">
        <v>1.1654773509806242</v>
      </c>
      <c r="O582" s="2">
        <v>52.208697829108779</v>
      </c>
      <c r="P582" s="2">
        <v>1399.2843242827803</v>
      </c>
      <c r="Q582" s="2">
        <v>1.1627871225029272</v>
      </c>
      <c r="R582" s="2">
        <v>52.562297603379285</v>
      </c>
      <c r="S582" s="2">
        <v>1411.6156092914989</v>
      </c>
      <c r="T582" s="2">
        <v>-2.6902284776970653E-3</v>
      </c>
      <c r="U582" s="2">
        <v>0.35359977427050637</v>
      </c>
      <c r="V582" s="2">
        <v>12.331285008718623</v>
      </c>
    </row>
    <row r="583" spans="1:22" ht="15">
      <c r="A583" s="2">
        <v>582</v>
      </c>
      <c r="B583" s="2" t="s">
        <v>78</v>
      </c>
      <c r="C583" s="2" t="s">
        <v>13</v>
      </c>
      <c r="D583" s="2">
        <v>1465.9565365989693</v>
      </c>
      <c r="E583" s="2">
        <v>987.80124594923109</v>
      </c>
      <c r="F583" s="2">
        <v>609.91250844672322</v>
      </c>
      <c r="G583" s="2">
        <v>181.59341944381595</v>
      </c>
      <c r="H583" s="2">
        <v>16.40547056356445</v>
      </c>
      <c r="I583" s="2">
        <v>0.79344690346624702</v>
      </c>
      <c r="J583" s="2">
        <v>10</v>
      </c>
      <c r="K583" s="2">
        <v>184.75798824027177</v>
      </c>
      <c r="L583" s="2">
        <v>35</v>
      </c>
      <c r="M583" s="2">
        <v>25</v>
      </c>
      <c r="N583" s="2">
        <v>1.1336370923415127</v>
      </c>
      <c r="O583" s="2">
        <v>52.283264967867744</v>
      </c>
      <c r="P583" s="2">
        <v>1465.9565365989693</v>
      </c>
      <c r="Q583" s="2">
        <v>1.1507112461628894</v>
      </c>
      <c r="R583" s="2">
        <v>52.244038416372454</v>
      </c>
      <c r="S583" s="2">
        <v>1469.1863093021311</v>
      </c>
      <c r="T583" s="2">
        <v>1.7074153821376781E-2</v>
      </c>
      <c r="U583" s="2">
        <v>-3.9226551495289641E-2</v>
      </c>
      <c r="V583" s="2">
        <v>3.2297727031618706</v>
      </c>
    </row>
    <row r="584" spans="1:22" ht="15">
      <c r="A584" s="2">
        <v>583</v>
      </c>
      <c r="B584" s="2" t="s">
        <v>78</v>
      </c>
      <c r="C584" s="2" t="s">
        <v>13</v>
      </c>
      <c r="D584" s="2">
        <v>1471.3450289564207</v>
      </c>
      <c r="E584" s="2">
        <v>1118.8468225416727</v>
      </c>
      <c r="F584" s="2">
        <v>418.1448370218277</v>
      </c>
      <c r="G584" s="2">
        <v>129.54434180399403</v>
      </c>
      <c r="H584" s="2">
        <v>17.201129200868309</v>
      </c>
      <c r="I584" s="2">
        <v>0.84337999775772921</v>
      </c>
      <c r="J584" s="2">
        <v>9</v>
      </c>
      <c r="K584" s="2">
        <v>193.84237405416889</v>
      </c>
      <c r="L584" s="2">
        <v>45</v>
      </c>
      <c r="M584" s="2">
        <v>25</v>
      </c>
      <c r="N584" s="2">
        <v>1.212584819915155</v>
      </c>
      <c r="O584" s="2">
        <v>52.234854626013224</v>
      </c>
      <c r="P584" s="2">
        <v>1471.3450289564207</v>
      </c>
      <c r="Q584" s="2">
        <v>1.2131656797964494</v>
      </c>
      <c r="R584" s="2">
        <v>52.304614324053482</v>
      </c>
      <c r="S584" s="2">
        <v>1481.2601033917499</v>
      </c>
      <c r="T584" s="2">
        <v>5.8085988129441546E-4</v>
      </c>
      <c r="U584" s="2">
        <v>6.9759698040257945E-2</v>
      </c>
      <c r="V584" s="2">
        <v>9.9150744353291884</v>
      </c>
    </row>
    <row r="585" spans="1:22" ht="15">
      <c r="A585" s="2">
        <v>584</v>
      </c>
      <c r="B585" s="2" t="s">
        <v>78</v>
      </c>
      <c r="C585" s="2" t="s">
        <v>13</v>
      </c>
      <c r="D585" s="2">
        <v>1401.5256670187227</v>
      </c>
      <c r="E585" s="2">
        <v>1233.9863200671971</v>
      </c>
      <c r="F585" s="2">
        <v>462.52555912360549</v>
      </c>
      <c r="G585" s="2">
        <v>142.95463035348803</v>
      </c>
      <c r="H585" s="2">
        <v>18.1293396926485</v>
      </c>
      <c r="I585" s="2">
        <v>0.81655354910530153</v>
      </c>
      <c r="J585" s="2">
        <v>9</v>
      </c>
      <c r="K585" s="2">
        <v>190.71017973508231</v>
      </c>
      <c r="L585" s="2">
        <v>40</v>
      </c>
      <c r="M585" s="2">
        <v>25</v>
      </c>
      <c r="N585" s="2">
        <v>1.2064408070109345</v>
      </c>
      <c r="O585" s="2">
        <v>52.261818815500696</v>
      </c>
      <c r="P585" s="2">
        <v>1401.5256670187227</v>
      </c>
      <c r="Q585" s="2">
        <v>1.2051765525044407</v>
      </c>
      <c r="R585" s="2">
        <v>53.900935773931593</v>
      </c>
      <c r="S585" s="2">
        <v>1400.2519224877915</v>
      </c>
      <c r="T585" s="2">
        <v>-1.2642545064938115E-3</v>
      </c>
      <c r="U585" s="2">
        <v>1.6391169584308969</v>
      </c>
      <c r="V585" s="2">
        <v>-1.2737445309312534</v>
      </c>
    </row>
    <row r="586" spans="1:22" ht="15">
      <c r="A586" s="2">
        <v>585</v>
      </c>
      <c r="B586" s="2" t="s">
        <v>78</v>
      </c>
      <c r="C586" s="2" t="s">
        <v>13</v>
      </c>
      <c r="D586" s="2">
        <v>1368.311601318419</v>
      </c>
      <c r="E586" s="2">
        <v>615.57719487464055</v>
      </c>
      <c r="F586" s="2">
        <v>524.6110113337636</v>
      </c>
      <c r="G586" s="2">
        <v>135.04220124566928</v>
      </c>
      <c r="H586" s="2">
        <v>23.755998795852065</v>
      </c>
      <c r="I586" s="2">
        <v>0.83801096701296052</v>
      </c>
      <c r="J586" s="2">
        <v>9</v>
      </c>
      <c r="K586" s="2">
        <v>181.42318937737943</v>
      </c>
      <c r="L586" s="2">
        <v>60</v>
      </c>
      <c r="M586" s="2">
        <v>25</v>
      </c>
      <c r="N586" s="2">
        <v>1.2384370523640897</v>
      </c>
      <c r="O586" s="2">
        <v>52.173840301282269</v>
      </c>
      <c r="P586" s="2">
        <v>1368.311601318419</v>
      </c>
      <c r="Q586" s="2">
        <v>1.2285428352524232</v>
      </c>
      <c r="R586" s="2">
        <v>52.097918206312315</v>
      </c>
      <c r="S586" s="2">
        <v>1366.7183115885014</v>
      </c>
      <c r="T586" s="2">
        <v>-9.8942171116664923E-3</v>
      </c>
      <c r="U586" s="2">
        <v>-7.5922094969953946E-2</v>
      </c>
      <c r="V586" s="2">
        <v>-1.5932897299176147</v>
      </c>
    </row>
    <row r="587" spans="1:22" ht="15">
      <c r="A587" s="2">
        <v>586</v>
      </c>
      <c r="B587" s="2" t="s">
        <v>78</v>
      </c>
      <c r="C587" s="2" t="s">
        <v>13</v>
      </c>
      <c r="D587" s="2">
        <v>1425.487536995206</v>
      </c>
      <c r="E587" s="2">
        <v>1154.3509453767911</v>
      </c>
      <c r="F587" s="2">
        <v>510.49076030030847</v>
      </c>
      <c r="G587" s="2">
        <v>190.76003755442798</v>
      </c>
      <c r="H587" s="2">
        <v>22.126400415319949</v>
      </c>
      <c r="I587" s="2">
        <v>0.85314256404060873</v>
      </c>
      <c r="J587" s="2">
        <v>9</v>
      </c>
      <c r="K587" s="2">
        <v>185.65186029452323</v>
      </c>
      <c r="L587" s="2">
        <v>40</v>
      </c>
      <c r="M587" s="2">
        <v>25</v>
      </c>
      <c r="N587" s="2">
        <v>1.2372555212486915</v>
      </c>
      <c r="O587" s="2">
        <v>52.264334701813368</v>
      </c>
      <c r="P587" s="2">
        <v>1425.487536995206</v>
      </c>
      <c r="Q587" s="2">
        <v>1.2468396095263519</v>
      </c>
      <c r="R587" s="2">
        <v>53.572771035455631</v>
      </c>
      <c r="S587" s="2">
        <v>1412.6613971012573</v>
      </c>
      <c r="T587" s="2">
        <v>9.5840882776603298E-3</v>
      </c>
      <c r="U587" s="2">
        <v>1.3084363336422626</v>
      </c>
      <c r="V587" s="2">
        <v>-12.826139893948721</v>
      </c>
    </row>
    <row r="588" spans="1:22" ht="15">
      <c r="A588" s="2">
        <v>587</v>
      </c>
      <c r="B588" s="2" t="s">
        <v>78</v>
      </c>
      <c r="C588" s="2" t="s">
        <v>13</v>
      </c>
      <c r="D588" s="2">
        <v>1377.2796521661803</v>
      </c>
      <c r="E588" s="2">
        <v>1243.2057979167439</v>
      </c>
      <c r="F588" s="2">
        <v>586.44403107464314</v>
      </c>
      <c r="G588" s="2">
        <v>264.53231843886897</v>
      </c>
      <c r="H588" s="2">
        <v>27.040247739292681</v>
      </c>
      <c r="I588" s="2">
        <v>0.83951463221339517</v>
      </c>
      <c r="J588" s="2">
        <v>9</v>
      </c>
      <c r="K588" s="2">
        <v>182.28517597059601</v>
      </c>
      <c r="L588" s="2">
        <v>30</v>
      </c>
      <c r="M588" s="2">
        <v>25</v>
      </c>
      <c r="N588" s="2">
        <v>1.1342216192338994</v>
      </c>
      <c r="O588" s="2">
        <v>52.301535351338053</v>
      </c>
      <c r="P588" s="2">
        <v>1377.2796521661803</v>
      </c>
      <c r="Q588" s="2">
        <v>1.1302624918470854</v>
      </c>
      <c r="R588" s="2">
        <v>54.04864889851288</v>
      </c>
      <c r="S588" s="2">
        <v>1354.7689916426643</v>
      </c>
      <c r="T588" s="2">
        <v>-3.959127386814032E-3</v>
      </c>
      <c r="U588" s="2">
        <v>1.7471135471748269</v>
      </c>
      <c r="V588" s="2">
        <v>-22.51066052351598</v>
      </c>
    </row>
    <row r="589" spans="1:22" ht="15">
      <c r="A589" s="2">
        <v>588</v>
      </c>
      <c r="B589" s="2" t="s">
        <v>78</v>
      </c>
      <c r="C589" s="2" t="s">
        <v>13</v>
      </c>
      <c r="D589" s="2">
        <v>1446.9649220234714</v>
      </c>
      <c r="E589" s="2">
        <v>1129.7123638447374</v>
      </c>
      <c r="F589" s="2">
        <v>642.84482700750232</v>
      </c>
      <c r="G589" s="2">
        <v>98.81365745794028</v>
      </c>
      <c r="H589" s="2">
        <v>17.87335107056424</v>
      </c>
      <c r="I589" s="2">
        <v>0.80554072018712763</v>
      </c>
      <c r="J589" s="2">
        <v>9</v>
      </c>
      <c r="K589" s="2">
        <v>199.58504417688815</v>
      </c>
      <c r="L589" s="2">
        <v>40</v>
      </c>
      <c r="M589" s="2">
        <v>25</v>
      </c>
      <c r="N589" s="2">
        <v>1.2243299618355818</v>
      </c>
      <c r="O589" s="2">
        <v>52.266793499522763</v>
      </c>
      <c r="P589" s="2">
        <v>1446.9649220234714</v>
      </c>
      <c r="Q589" s="2">
        <v>1.2422338591660245</v>
      </c>
      <c r="R589" s="2">
        <v>53.600116998709566</v>
      </c>
      <c r="S589" s="2">
        <v>1438.9697020575722</v>
      </c>
      <c r="T589" s="2">
        <v>1.790389733044262E-2</v>
      </c>
      <c r="U589" s="2">
        <v>1.3333234991868039</v>
      </c>
      <c r="V589" s="2">
        <v>-7.9952199658991958</v>
      </c>
    </row>
    <row r="590" spans="1:22" ht="15">
      <c r="A590" s="2">
        <v>589</v>
      </c>
      <c r="B590" s="2" t="s">
        <v>78</v>
      </c>
      <c r="C590" s="2" t="s">
        <v>13</v>
      </c>
      <c r="D590" s="2">
        <v>1400.9556659962982</v>
      </c>
      <c r="E590" s="2">
        <v>1099.8616314376704</v>
      </c>
      <c r="F590" s="2">
        <v>648.77721276134253</v>
      </c>
      <c r="G590" s="2">
        <v>226.56172675313428</v>
      </c>
      <c r="H590" s="2">
        <v>27.117186356335878</v>
      </c>
      <c r="I590" s="2">
        <v>0.85304223984712735</v>
      </c>
      <c r="J590" s="2">
        <v>9</v>
      </c>
      <c r="K590" s="2">
        <v>182.47835030320573</v>
      </c>
      <c r="L590" s="2">
        <v>35</v>
      </c>
      <c r="M590" s="2">
        <v>25</v>
      </c>
      <c r="N590" s="2">
        <v>1.2054379235535007</v>
      </c>
      <c r="O590" s="2">
        <v>52.282983149025718</v>
      </c>
      <c r="P590" s="2">
        <v>1400.9556659962982</v>
      </c>
      <c r="Q590" s="2">
        <v>1.1997277385529426</v>
      </c>
      <c r="R590" s="2">
        <v>52.634944808123315</v>
      </c>
      <c r="S590" s="2">
        <v>1375.3363600239666</v>
      </c>
      <c r="T590" s="2">
        <v>-5.7101850005580879E-3</v>
      </c>
      <c r="U590" s="2">
        <v>0.35196165909759713</v>
      </c>
      <c r="V590" s="2">
        <v>-25.619305972331631</v>
      </c>
    </row>
    <row r="591" spans="1:22" ht="15">
      <c r="A591" s="2">
        <v>590</v>
      </c>
      <c r="B591" s="2" t="s">
        <v>78</v>
      </c>
      <c r="C591" s="2" t="s">
        <v>13</v>
      </c>
      <c r="D591" s="2">
        <v>1463.631010253448</v>
      </c>
      <c r="E591" s="2">
        <v>1001.9267049385235</v>
      </c>
      <c r="F591" s="2">
        <v>443.52737115696073</v>
      </c>
      <c r="G591" s="2">
        <v>293.68889324367046</v>
      </c>
      <c r="H591" s="2">
        <v>13.635820413473994</v>
      </c>
      <c r="I591" s="2">
        <v>0.83825937836896636</v>
      </c>
      <c r="J591" s="2">
        <v>9</v>
      </c>
      <c r="K591" s="2">
        <v>194.00399447050114</v>
      </c>
      <c r="L591" s="2">
        <v>45</v>
      </c>
      <c r="M591" s="2">
        <v>25</v>
      </c>
      <c r="N591" s="2">
        <v>1.2445697989894033</v>
      </c>
      <c r="O591" s="2">
        <v>52.246175867494202</v>
      </c>
      <c r="P591" s="2">
        <v>1463.631010253448</v>
      </c>
      <c r="Q591" s="2">
        <v>1.2538634310362162</v>
      </c>
      <c r="R591" s="2">
        <v>53.444807242462566</v>
      </c>
      <c r="S591" s="2">
        <v>1472.3050464782984</v>
      </c>
      <c r="T591" s="2">
        <v>9.293632046812883E-3</v>
      </c>
      <c r="U591" s="2">
        <v>1.1986313749683646</v>
      </c>
      <c r="V591" s="2">
        <v>8.674036224850397</v>
      </c>
    </row>
    <row r="592" spans="1:22" ht="15">
      <c r="A592" s="2">
        <v>591</v>
      </c>
      <c r="B592" s="2" t="s">
        <v>78</v>
      </c>
      <c r="C592" s="2" t="s">
        <v>13</v>
      </c>
      <c r="D592" s="2">
        <v>1449.3687128880993</v>
      </c>
      <c r="E592" s="2">
        <v>782.99779045628384</v>
      </c>
      <c r="F592" s="2">
        <v>504.21749427914619</v>
      </c>
      <c r="G592" s="2">
        <v>185.68261559819803</v>
      </c>
      <c r="H592" s="2">
        <v>22.497611372731626</v>
      </c>
      <c r="I592" s="2">
        <v>0.84652083663037048</v>
      </c>
      <c r="J592" s="2">
        <v>9</v>
      </c>
      <c r="K592" s="2">
        <v>190.23863457361713</v>
      </c>
      <c r="L592" s="2">
        <v>50</v>
      </c>
      <c r="M592" s="2">
        <v>25</v>
      </c>
      <c r="N592" s="2">
        <v>1.2067421928692761</v>
      </c>
      <c r="O592" s="2">
        <v>52.204661605109514</v>
      </c>
      <c r="P592" s="2">
        <v>1449.3687128880993</v>
      </c>
      <c r="Q592" s="2">
        <v>1.191909369746381</v>
      </c>
      <c r="R592" s="2">
        <v>52.415505003430987</v>
      </c>
      <c r="S592" s="2">
        <v>1451.3761602271579</v>
      </c>
      <c r="T592" s="2">
        <v>-1.4832823122895133E-2</v>
      </c>
      <c r="U592" s="2">
        <v>0.21084339832147236</v>
      </c>
      <c r="V592" s="2">
        <v>2.0074473390586718</v>
      </c>
    </row>
    <row r="593" spans="1:22" ht="15">
      <c r="A593" s="2">
        <v>592</v>
      </c>
      <c r="B593" s="2" t="s">
        <v>78</v>
      </c>
      <c r="C593" s="2" t="s">
        <v>13</v>
      </c>
      <c r="D593" s="2">
        <v>1383.8170036557131</v>
      </c>
      <c r="E593" s="2">
        <v>1178.1542940065265</v>
      </c>
      <c r="F593" s="2">
        <v>429.80024358257651</v>
      </c>
      <c r="G593" s="2">
        <v>326.79779831785709</v>
      </c>
      <c r="H593" s="2">
        <v>22.455058136489242</v>
      </c>
      <c r="I593" s="2">
        <v>0.80539406641386457</v>
      </c>
      <c r="J593" s="2">
        <v>9</v>
      </c>
      <c r="K593" s="2">
        <v>190.90958235545787</v>
      </c>
      <c r="L593" s="2">
        <v>35</v>
      </c>
      <c r="M593" s="2">
        <v>25</v>
      </c>
      <c r="N593" s="2">
        <v>1.1570558199803476</v>
      </c>
      <c r="O593" s="2">
        <v>52.276676257976284</v>
      </c>
      <c r="P593" s="2">
        <v>1383.8170036557131</v>
      </c>
      <c r="Q593" s="2">
        <v>1.1652137730185765</v>
      </c>
      <c r="R593" s="2">
        <v>52.547123348791771</v>
      </c>
      <c r="S593" s="2">
        <v>1371.7390731959833</v>
      </c>
      <c r="T593" s="2">
        <v>8.1579530382289711E-3</v>
      </c>
      <c r="U593" s="2">
        <v>0.27044709081548746</v>
      </c>
      <c r="V593" s="2">
        <v>-12.077930459729714</v>
      </c>
    </row>
    <row r="594" spans="1:22" ht="15">
      <c r="A594" s="2">
        <v>593</v>
      </c>
      <c r="B594" s="2" t="s">
        <v>78</v>
      </c>
      <c r="C594" s="2" t="s">
        <v>13</v>
      </c>
      <c r="D594" s="2">
        <v>1368.0254892446101</v>
      </c>
      <c r="E594" s="2">
        <v>655.87868219008669</v>
      </c>
      <c r="F594" s="2">
        <v>668.10254547744989</v>
      </c>
      <c r="G594" s="2">
        <v>163.71127588907257</v>
      </c>
      <c r="H594" s="2">
        <v>14.205430151894689</v>
      </c>
      <c r="I594" s="2">
        <v>0.8244179751654156</v>
      </c>
      <c r="J594" s="2">
        <v>9</v>
      </c>
      <c r="K594" s="2">
        <v>184.37593152647037</v>
      </c>
      <c r="L594" s="2">
        <v>50</v>
      </c>
      <c r="M594" s="2">
        <v>25</v>
      </c>
      <c r="N594" s="2">
        <v>1.1820629354408649</v>
      </c>
      <c r="O594" s="2">
        <v>52.206968453617066</v>
      </c>
      <c r="P594" s="2">
        <v>1368.0254892446101</v>
      </c>
      <c r="Q594" s="2">
        <v>1.1911211424271047</v>
      </c>
      <c r="R594" s="2">
        <v>52.088069506496858</v>
      </c>
      <c r="S594" s="2">
        <v>1379.413114053222</v>
      </c>
      <c r="T594" s="2">
        <v>9.0582069862397141E-3</v>
      </c>
      <c r="U594" s="2">
        <v>-0.11889894712020777</v>
      </c>
      <c r="V594" s="2">
        <v>11.387624808611918</v>
      </c>
    </row>
    <row r="595" spans="1:22" ht="15">
      <c r="A595" s="2">
        <v>594</v>
      </c>
      <c r="B595" s="2" t="s">
        <v>78</v>
      </c>
      <c r="C595" s="2" t="s">
        <v>13</v>
      </c>
      <c r="D595" s="2">
        <v>1453.5109240212478</v>
      </c>
      <c r="E595" s="2">
        <v>1060.2722079725936</v>
      </c>
      <c r="F595" s="2">
        <v>688.71985459700227</v>
      </c>
      <c r="G595" s="2">
        <v>180.2501652110368</v>
      </c>
      <c r="H595" s="2">
        <v>26.943310693372041</v>
      </c>
      <c r="I595" s="2">
        <v>0.81998984704259792</v>
      </c>
      <c r="J595" s="2">
        <v>9</v>
      </c>
      <c r="K595" s="2">
        <v>196.95513836252263</v>
      </c>
      <c r="L595" s="2">
        <v>35</v>
      </c>
      <c r="M595" s="2">
        <v>25</v>
      </c>
      <c r="N595" s="2">
        <v>1.1799982450867765</v>
      </c>
      <c r="O595" s="2">
        <v>52.275817094366694</v>
      </c>
      <c r="P595" s="2">
        <v>1453.5109240212478</v>
      </c>
      <c r="Q595" s="2">
        <v>1.186206944822437</v>
      </c>
      <c r="R595" s="2">
        <v>52.077461753283266</v>
      </c>
      <c r="S595" s="2">
        <v>1427.8726549296393</v>
      </c>
      <c r="T595" s="2">
        <v>6.2086997356605167E-3</v>
      </c>
      <c r="U595" s="2">
        <v>-0.19835534108342756</v>
      </c>
      <c r="V595" s="2">
        <v>-25.638269091608436</v>
      </c>
    </row>
    <row r="596" spans="1:22" ht="15">
      <c r="A596" s="2">
        <v>595</v>
      </c>
      <c r="B596" s="2" t="s">
        <v>79</v>
      </c>
      <c r="C596" s="2" t="s">
        <v>13</v>
      </c>
      <c r="D596" s="2">
        <v>1496.0328573128209</v>
      </c>
      <c r="E596" s="2">
        <v>934.65821590507403</v>
      </c>
      <c r="F596" s="2">
        <v>577.86066196858883</v>
      </c>
      <c r="G596" s="2">
        <v>244.24403403652832</v>
      </c>
      <c r="H596" s="2">
        <v>17.659904805012047</v>
      </c>
      <c r="I596" s="2">
        <v>0.848033366620075</v>
      </c>
      <c r="J596" s="2">
        <v>9</v>
      </c>
      <c r="K596" s="2">
        <v>196.01336406994025</v>
      </c>
      <c r="L596" s="2">
        <v>40</v>
      </c>
      <c r="M596" s="2">
        <v>25</v>
      </c>
      <c r="N596" s="2">
        <v>1.1540343437508565</v>
      </c>
      <c r="O596" s="2">
        <v>52.2489232570396</v>
      </c>
      <c r="P596" s="2">
        <v>1496.0328573128209</v>
      </c>
      <c r="Q596" s="2">
        <v>1.1595733545185074</v>
      </c>
      <c r="R596" s="2">
        <v>53.252183853926525</v>
      </c>
      <c r="S596" s="2">
        <v>1492.7117716485795</v>
      </c>
      <c r="T596" s="2">
        <v>5.5390107676509537E-3</v>
      </c>
      <c r="U596" s="2">
        <v>1.0032605968869248</v>
      </c>
      <c r="V596" s="2">
        <v>-3.3210856642413091</v>
      </c>
    </row>
    <row r="597" spans="1:22" ht="15">
      <c r="A597" s="2">
        <v>596</v>
      </c>
      <c r="B597" s="2" t="s">
        <v>79</v>
      </c>
      <c r="C597" s="2" t="s">
        <v>13</v>
      </c>
      <c r="D597" s="2">
        <v>1363.2415202795528</v>
      </c>
      <c r="E597" s="2">
        <v>716.79858029820025</v>
      </c>
      <c r="F597" s="2">
        <v>725.57848868891597</v>
      </c>
      <c r="G597" s="2">
        <v>253.94506686832756</v>
      </c>
      <c r="H597" s="2">
        <v>27.48724766029045</v>
      </c>
      <c r="I597" s="2">
        <v>0.84760758297517902</v>
      </c>
      <c r="J597" s="2">
        <v>9</v>
      </c>
      <c r="K597" s="2">
        <v>178.70448905068022</v>
      </c>
      <c r="L597" s="2">
        <v>40</v>
      </c>
      <c r="M597" s="2">
        <v>25</v>
      </c>
      <c r="N597" s="2">
        <v>1.1683953103471449</v>
      </c>
      <c r="O597" s="2">
        <v>52.239499029033254</v>
      </c>
      <c r="P597" s="2">
        <v>1363.2415202795528</v>
      </c>
      <c r="Q597" s="2">
        <v>1.1733283863668025</v>
      </c>
      <c r="R597" s="2">
        <v>50.802420886213241</v>
      </c>
      <c r="S597" s="2">
        <v>1348.277445827355</v>
      </c>
      <c r="T597" s="2">
        <v>4.9330760196575341E-3</v>
      </c>
      <c r="U597" s="2">
        <v>-1.4370781428200132</v>
      </c>
      <c r="V597" s="2">
        <v>-14.964074452197792</v>
      </c>
    </row>
    <row r="598" spans="1:22" ht="15">
      <c r="A598" s="2">
        <v>597</v>
      </c>
      <c r="B598" s="2" t="s">
        <v>79</v>
      </c>
      <c r="C598" s="2" t="s">
        <v>13</v>
      </c>
      <c r="D598" s="2">
        <v>1467.194475280121</v>
      </c>
      <c r="E598" s="2">
        <v>1117.2953035566024</v>
      </c>
      <c r="F598" s="2">
        <v>361.44414525479078</v>
      </c>
      <c r="G598" s="2">
        <v>305.1921373535879</v>
      </c>
      <c r="H598" s="2">
        <v>8.127201721072197</v>
      </c>
      <c r="I598" s="2">
        <v>0.81430356441298501</v>
      </c>
      <c r="J598" s="2">
        <v>10</v>
      </c>
      <c r="K598" s="2">
        <v>180.17782795016893</v>
      </c>
      <c r="L598" s="2">
        <v>40</v>
      </c>
      <c r="M598" s="2">
        <v>25</v>
      </c>
      <c r="N598" s="2">
        <v>1.2333510622224295</v>
      </c>
      <c r="O598" s="2">
        <v>52.284066147303079</v>
      </c>
      <c r="P598" s="2">
        <v>1467.194475280121</v>
      </c>
      <c r="Q598" s="2">
        <v>1.2552919302767944</v>
      </c>
      <c r="R598" s="2">
        <v>53.275340458453847</v>
      </c>
      <c r="S598" s="2">
        <v>1462.8951969635502</v>
      </c>
      <c r="T598" s="2">
        <v>2.1940868054364904E-2</v>
      </c>
      <c r="U598" s="2">
        <v>0.99127431115076803</v>
      </c>
      <c r="V598" s="2">
        <v>-4.2992783165707351</v>
      </c>
    </row>
    <row r="599" spans="1:22" ht="15">
      <c r="A599" s="2">
        <v>598</v>
      </c>
      <c r="B599" s="2" t="s">
        <v>80</v>
      </c>
      <c r="C599" s="2" t="s">
        <v>13</v>
      </c>
      <c r="D599" s="2">
        <v>1392.8001579944976</v>
      </c>
      <c r="E599" s="2">
        <v>896.38261029031128</v>
      </c>
      <c r="F599" s="2">
        <v>391.74625398591161</v>
      </c>
      <c r="G599" s="2">
        <v>191.15193041041493</v>
      </c>
      <c r="H599" s="2">
        <v>27.886538243386894</v>
      </c>
      <c r="I599" s="2">
        <v>0.80674612855073069</v>
      </c>
      <c r="J599" s="2">
        <v>9</v>
      </c>
      <c r="K599" s="2">
        <v>191.82685560389177</v>
      </c>
      <c r="L599" s="2">
        <v>50</v>
      </c>
      <c r="M599" s="2">
        <v>25</v>
      </c>
      <c r="N599" s="2">
        <v>1.2342814705674603</v>
      </c>
      <c r="O599" s="2">
        <v>52.205656857911514</v>
      </c>
      <c r="P599" s="2">
        <v>1392.8001579944976</v>
      </c>
      <c r="Q599" s="2">
        <v>1.2184882965424286</v>
      </c>
      <c r="R599" s="2">
        <v>52.632382304527212</v>
      </c>
      <c r="S599" s="2">
        <v>1384.0641400874613</v>
      </c>
      <c r="T599" s="2">
        <v>-1.5793174025031664E-2</v>
      </c>
      <c r="U599" s="2">
        <v>0.42672544661569844</v>
      </c>
      <c r="V599" s="2">
        <v>-8.7360179070362847</v>
      </c>
    </row>
    <row r="600" spans="1:22" ht="15">
      <c r="A600" s="2">
        <v>599</v>
      </c>
      <c r="B600" s="2" t="s">
        <v>80</v>
      </c>
      <c r="C600" s="2" t="s">
        <v>13</v>
      </c>
      <c r="D600" s="2">
        <v>1381.4924066187814</v>
      </c>
      <c r="E600" s="2">
        <v>745.32839973689988</v>
      </c>
      <c r="F600" s="2">
        <v>478.00999730825424</v>
      </c>
      <c r="G600" s="2">
        <v>289.49794439366087</v>
      </c>
      <c r="H600" s="2">
        <v>18.991978938691318</v>
      </c>
      <c r="I600" s="2">
        <v>0.85025224726414317</v>
      </c>
      <c r="J600" s="2">
        <v>9</v>
      </c>
      <c r="K600" s="2">
        <v>180.53366725567616</v>
      </c>
      <c r="L600" s="2">
        <v>50</v>
      </c>
      <c r="M600" s="2">
        <v>25</v>
      </c>
      <c r="N600" s="2">
        <v>1.2218259536887719</v>
      </c>
      <c r="O600" s="2">
        <v>52.210889006538842</v>
      </c>
      <c r="P600" s="2">
        <v>1381.4924066187814</v>
      </c>
      <c r="Q600" s="2">
        <v>1.2099544576526127</v>
      </c>
      <c r="R600" s="2">
        <v>51.375595361903848</v>
      </c>
      <c r="S600" s="2">
        <v>1386.9151039197338</v>
      </c>
      <c r="T600" s="2">
        <v>-1.1871496036159224E-2</v>
      </c>
      <c r="U600" s="2">
        <v>-0.83529364463499434</v>
      </c>
      <c r="V600" s="2">
        <v>5.42269730095245</v>
      </c>
    </row>
    <row r="601" spans="1:22" ht="15">
      <c r="A601" s="2">
        <v>600</v>
      </c>
      <c r="B601" s="2" t="s">
        <v>80</v>
      </c>
      <c r="C601" s="2" t="s">
        <v>13</v>
      </c>
      <c r="D601" s="2">
        <v>1406.1969312722795</v>
      </c>
      <c r="E601" s="2">
        <v>740.55680995807052</v>
      </c>
      <c r="F601" s="2">
        <v>428.48593210801482</v>
      </c>
      <c r="G601" s="2">
        <v>261.60580156836659</v>
      </c>
      <c r="H601" s="2">
        <v>26.1167869172059</v>
      </c>
      <c r="I601" s="2">
        <v>0.82161727403290574</v>
      </c>
      <c r="J601" s="2">
        <v>9</v>
      </c>
      <c r="K601" s="2">
        <v>190.16652693750467</v>
      </c>
      <c r="L601" s="2">
        <v>50</v>
      </c>
      <c r="M601" s="2">
        <v>25</v>
      </c>
      <c r="N601" s="2">
        <v>1.1901346093774718</v>
      </c>
      <c r="O601" s="2">
        <v>52.198073874166198</v>
      </c>
      <c r="P601" s="2">
        <v>1406.1969312722795</v>
      </c>
      <c r="Q601" s="2">
        <v>1.1711696247851513</v>
      </c>
      <c r="R601" s="2">
        <v>51.841694623411215</v>
      </c>
      <c r="S601" s="2">
        <v>1402.4378687561887</v>
      </c>
      <c r="T601" s="2">
        <v>-1.8964984592320544E-2</v>
      </c>
      <c r="U601" s="2">
        <v>-0.35637925075498345</v>
      </c>
      <c r="V601" s="2">
        <v>-3.7590625160908075</v>
      </c>
    </row>
    <row r="602" spans="1:22" ht="15">
      <c r="A602" s="2">
        <v>601</v>
      </c>
      <c r="B602" s="2" t="s">
        <v>78</v>
      </c>
      <c r="C602" s="2" t="s">
        <v>13</v>
      </c>
      <c r="D602" s="2">
        <v>1355.565769225359</v>
      </c>
      <c r="E602" s="2">
        <v>1022.196825069841</v>
      </c>
      <c r="F602" s="2">
        <v>395.34988272935152</v>
      </c>
      <c r="G602" s="2">
        <v>147.48578936094418</v>
      </c>
      <c r="H602" s="2">
        <v>16.144665656611323</v>
      </c>
      <c r="I602" s="2">
        <v>0.82434952934505423</v>
      </c>
      <c r="J602" s="2">
        <v>9</v>
      </c>
      <c r="K602" s="2">
        <v>182.71183938502881</v>
      </c>
      <c r="L602" s="2">
        <v>50</v>
      </c>
      <c r="M602" s="2">
        <v>25</v>
      </c>
      <c r="N602" s="2">
        <v>1.248771437115769</v>
      </c>
      <c r="O602" s="2">
        <v>52.219027692119688</v>
      </c>
      <c r="P602" s="2">
        <v>1355.565769225359</v>
      </c>
      <c r="Q602" s="2">
        <v>1.2440078708317219</v>
      </c>
      <c r="R602" s="2">
        <v>52.502394588914896</v>
      </c>
      <c r="S602" s="2">
        <v>1357.3103243075568</v>
      </c>
      <c r="T602" s="2">
        <v>-4.7635662840470605E-3</v>
      </c>
      <c r="U602" s="2">
        <v>0.28336689679520788</v>
      </c>
      <c r="V602" s="2">
        <v>1.7445550821978486</v>
      </c>
    </row>
    <row r="603" spans="1:22" ht="15">
      <c r="A603" s="2">
        <v>602</v>
      </c>
      <c r="B603" s="2" t="s">
        <v>78</v>
      </c>
      <c r="C603" s="2" t="s">
        <v>13</v>
      </c>
      <c r="D603" s="2">
        <v>1419.5499716908671</v>
      </c>
      <c r="E603" s="2">
        <v>1042.1687247464433</v>
      </c>
      <c r="F603" s="2">
        <v>473.07861903682351</v>
      </c>
      <c r="G603" s="2">
        <v>287.98716112039983</v>
      </c>
      <c r="H603" s="2">
        <v>20.1775215533562</v>
      </c>
      <c r="I603" s="2">
        <v>0.80990894064772878</v>
      </c>
      <c r="J603" s="2">
        <v>9</v>
      </c>
      <c r="K603" s="2">
        <v>194.74754100896206</v>
      </c>
      <c r="L603" s="2">
        <v>40</v>
      </c>
      <c r="M603" s="2">
        <v>25</v>
      </c>
      <c r="N603" s="2">
        <v>1.1953939489297969</v>
      </c>
      <c r="O603" s="2">
        <v>52.256169340177095</v>
      </c>
      <c r="P603" s="2">
        <v>1419.5499716908671</v>
      </c>
      <c r="Q603" s="2">
        <v>1.1995023530752194</v>
      </c>
      <c r="R603" s="2">
        <v>52.313783260233777</v>
      </c>
      <c r="S603" s="2">
        <v>1413.7634687589511</v>
      </c>
      <c r="T603" s="2">
        <v>4.1084041454224618E-3</v>
      </c>
      <c r="U603" s="2">
        <v>5.7613920056681422E-2</v>
      </c>
      <c r="V603" s="2">
        <v>-5.7865029319159476</v>
      </c>
    </row>
    <row r="604" spans="1:22" ht="15">
      <c r="A604" s="2">
        <v>603</v>
      </c>
      <c r="B604" s="2" t="s">
        <v>78</v>
      </c>
      <c r="C604" s="2" t="s">
        <v>13</v>
      </c>
      <c r="D604" s="2">
        <v>1455.6715317768976</v>
      </c>
      <c r="E604" s="2">
        <v>997.9782578186132</v>
      </c>
      <c r="F604" s="2">
        <v>358.02443660795689</v>
      </c>
      <c r="G604" s="2">
        <v>186.10753035871312</v>
      </c>
      <c r="H604" s="2">
        <v>25.24688505474478</v>
      </c>
      <c r="I604" s="2">
        <v>0.82353395963786169</v>
      </c>
      <c r="J604" s="2">
        <v>9</v>
      </c>
      <c r="K604" s="2">
        <v>196.39904270574075</v>
      </c>
      <c r="L604" s="2">
        <v>45</v>
      </c>
      <c r="M604" s="2">
        <v>25</v>
      </c>
      <c r="N604" s="2">
        <v>1.1658970759470038</v>
      </c>
      <c r="O604" s="2">
        <v>52.215453536799643</v>
      </c>
      <c r="P604" s="2">
        <v>1455.6715317768976</v>
      </c>
      <c r="Q604" s="2">
        <v>1.1683349318096878</v>
      </c>
      <c r="R604" s="2">
        <v>52.426726028096603</v>
      </c>
      <c r="S604" s="2">
        <v>1457.196504449541</v>
      </c>
      <c r="T604" s="2">
        <v>2.4378558626840796E-3</v>
      </c>
      <c r="U604" s="2">
        <v>0.21127249129695969</v>
      </c>
      <c r="V604" s="2">
        <v>1.5249726726433437</v>
      </c>
    </row>
    <row r="605" spans="1:22" ht="15">
      <c r="A605" s="2">
        <v>604</v>
      </c>
      <c r="B605" s="2" t="s">
        <v>78</v>
      </c>
      <c r="C605" s="2" t="s">
        <v>13</v>
      </c>
      <c r="D605" s="2">
        <v>1440.144038235303</v>
      </c>
      <c r="E605" s="2">
        <v>992.83319259993732</v>
      </c>
      <c r="F605" s="2">
        <v>548.98867262527347</v>
      </c>
      <c r="G605" s="2">
        <v>151.70548278372735</v>
      </c>
      <c r="H605" s="2">
        <v>19.241786773782223</v>
      </c>
      <c r="I605" s="2">
        <v>0.81648267127573493</v>
      </c>
      <c r="J605" s="2">
        <v>9</v>
      </c>
      <c r="K605" s="2">
        <v>195.98211925103783</v>
      </c>
      <c r="L605" s="2">
        <v>45</v>
      </c>
      <c r="M605" s="2">
        <v>25</v>
      </c>
      <c r="N605" s="2">
        <v>1.2406376512827748</v>
      </c>
      <c r="O605" s="2">
        <v>52.239063251738294</v>
      </c>
      <c r="P605" s="2">
        <v>1440.144038235303</v>
      </c>
      <c r="Q605" s="2">
        <v>1.249754336449121</v>
      </c>
      <c r="R605" s="2">
        <v>53.156040665035057</v>
      </c>
      <c r="S605" s="2">
        <v>1432.6842608727964</v>
      </c>
      <c r="T605" s="2">
        <v>9.1166851663462278E-3</v>
      </c>
      <c r="U605" s="2">
        <v>0.91697741329676319</v>
      </c>
      <c r="V605" s="2">
        <v>-7.4597773625066566</v>
      </c>
    </row>
    <row r="606" spans="1:22" ht="15">
      <c r="A606" s="2">
        <v>605</v>
      </c>
      <c r="B606" s="2" t="s">
        <v>78</v>
      </c>
      <c r="C606" s="2" t="s">
        <v>13</v>
      </c>
      <c r="D606" s="2">
        <v>1397.0324866008013</v>
      </c>
      <c r="E606" s="2">
        <v>1185.7340440968983</v>
      </c>
      <c r="F606" s="2">
        <v>542.73512121289968</v>
      </c>
      <c r="G606" s="2">
        <v>156.290056866128</v>
      </c>
      <c r="H606" s="2">
        <v>9.4011434726417065</v>
      </c>
      <c r="I606" s="2">
        <v>0.79487548198783775</v>
      </c>
      <c r="J606" s="2">
        <v>9</v>
      </c>
      <c r="K606" s="2">
        <v>195.28320518371277</v>
      </c>
      <c r="L606" s="2">
        <v>40</v>
      </c>
      <c r="M606" s="2">
        <v>25</v>
      </c>
      <c r="N606" s="2">
        <v>1.1863790428264933</v>
      </c>
      <c r="O606" s="2">
        <v>52.26888108171778</v>
      </c>
      <c r="P606" s="2">
        <v>1397.0324866008013</v>
      </c>
      <c r="Q606" s="2">
        <v>1.2111727205690983</v>
      </c>
      <c r="R606" s="2">
        <v>54.067831620870251</v>
      </c>
      <c r="S606" s="2">
        <v>1402.04419647027</v>
      </c>
      <c r="T606" s="2">
        <v>2.4793677742604991E-2</v>
      </c>
      <c r="U606" s="2">
        <v>1.7989505391524716</v>
      </c>
      <c r="V606" s="2">
        <v>5.011709869468632</v>
      </c>
    </row>
    <row r="607" spans="1:22" ht="15">
      <c r="A607" s="2">
        <v>606</v>
      </c>
      <c r="B607" s="2" t="s">
        <v>78</v>
      </c>
      <c r="C607" s="2" t="s">
        <v>13</v>
      </c>
      <c r="D607" s="2">
        <v>1350.0409565982409</v>
      </c>
      <c r="E607" s="2">
        <v>1070.9981589345261</v>
      </c>
      <c r="F607" s="2">
        <v>727.81210737302899</v>
      </c>
      <c r="G607" s="2">
        <v>200.282675139606</v>
      </c>
      <c r="H607" s="2">
        <v>14.939129638019949</v>
      </c>
      <c r="I607" s="2">
        <v>0.81530888359528042</v>
      </c>
      <c r="J607" s="2">
        <v>9</v>
      </c>
      <c r="K607" s="2">
        <v>183.98493350355812</v>
      </c>
      <c r="L607" s="2">
        <v>35</v>
      </c>
      <c r="M607" s="2">
        <v>25</v>
      </c>
      <c r="N607" s="2">
        <v>1.1463571939444577</v>
      </c>
      <c r="O607" s="2">
        <v>52.286708566895143</v>
      </c>
      <c r="P607" s="2">
        <v>1350.0409565982409</v>
      </c>
      <c r="Q607" s="2">
        <v>1.1560573977578323</v>
      </c>
      <c r="R607" s="2">
        <v>53.709145479870251</v>
      </c>
      <c r="S607" s="2">
        <v>1353.1763341404051</v>
      </c>
      <c r="T607" s="2">
        <v>9.7002038133746638E-3</v>
      </c>
      <c r="U607" s="2">
        <v>1.4224369129751082</v>
      </c>
      <c r="V607" s="2">
        <v>3.1353775421641785</v>
      </c>
    </row>
    <row r="608" spans="1:22" ht="15">
      <c r="A608" s="2">
        <v>607</v>
      </c>
      <c r="B608" s="2" t="s">
        <v>78</v>
      </c>
      <c r="C608" s="2" t="s">
        <v>13</v>
      </c>
      <c r="D608" s="2">
        <v>1406.3192252302542</v>
      </c>
      <c r="E608" s="2">
        <v>789.7418676991947</v>
      </c>
      <c r="F608" s="2">
        <v>618.16995963454247</v>
      </c>
      <c r="G608" s="2">
        <v>140.3049224591814</v>
      </c>
      <c r="H608" s="2">
        <v>17.686455867253244</v>
      </c>
      <c r="I608" s="2">
        <v>0.83819161170860756</v>
      </c>
      <c r="J608" s="2">
        <v>9</v>
      </c>
      <c r="K608" s="2">
        <v>186.42239973474292</v>
      </c>
      <c r="L608" s="2">
        <v>50</v>
      </c>
      <c r="M608" s="2">
        <v>25</v>
      </c>
      <c r="N608" s="2">
        <v>1.2428252050998205</v>
      </c>
      <c r="O608" s="2">
        <v>52.216405696711455</v>
      </c>
      <c r="P608" s="2">
        <v>1406.3192252302542</v>
      </c>
      <c r="Q608" s="2">
        <v>1.2333676130562303</v>
      </c>
      <c r="R608" s="2">
        <v>51.639051864317501</v>
      </c>
      <c r="S608" s="2">
        <v>1418.8766712930069</v>
      </c>
      <c r="T608" s="2">
        <v>-9.4575920435902017E-3</v>
      </c>
      <c r="U608" s="2">
        <v>-0.57735383239395333</v>
      </c>
      <c r="V608" s="2">
        <v>12.557446062752661</v>
      </c>
    </row>
    <row r="609" spans="1:22" ht="15">
      <c r="A609" s="2">
        <v>608</v>
      </c>
      <c r="B609" s="2" t="s">
        <v>78</v>
      </c>
      <c r="C609" s="2" t="s">
        <v>13</v>
      </c>
      <c r="D609" s="2">
        <v>1491.7553355800919</v>
      </c>
      <c r="E609" s="2">
        <v>969.92214322090149</v>
      </c>
      <c r="F609" s="2">
        <v>632.39320209249854</v>
      </c>
      <c r="G609" s="2">
        <v>229.4626282947138</v>
      </c>
      <c r="H609" s="2">
        <v>15.953374148812145</v>
      </c>
      <c r="I609" s="2">
        <v>0.81322264934889976</v>
      </c>
      <c r="J609" s="2">
        <v>10</v>
      </c>
      <c r="K609" s="2">
        <v>183.43750469498775</v>
      </c>
      <c r="L609" s="2">
        <v>35</v>
      </c>
      <c r="M609" s="2">
        <v>25</v>
      </c>
      <c r="N609" s="2">
        <v>1.1619352966320853</v>
      </c>
      <c r="O609" s="2">
        <v>52.292355533927605</v>
      </c>
      <c r="P609" s="2">
        <v>1491.7553355800919</v>
      </c>
      <c r="Q609" s="2">
        <v>1.1818760275615632</v>
      </c>
      <c r="R609" s="2">
        <v>51.565039444995271</v>
      </c>
      <c r="S609" s="2">
        <v>1494.8300351370315</v>
      </c>
      <c r="T609" s="2">
        <v>1.9940730929477901E-2</v>
      </c>
      <c r="U609" s="2">
        <v>-0.72731608893233357</v>
      </c>
      <c r="V609" s="2">
        <v>3.0746995569395494</v>
      </c>
    </row>
    <row r="610" spans="1:22" ht="15">
      <c r="A610" s="2">
        <v>609</v>
      </c>
      <c r="B610" s="2" t="s">
        <v>78</v>
      </c>
      <c r="C610" s="2" t="s">
        <v>13</v>
      </c>
      <c r="D610" s="2">
        <v>1461.1516146920621</v>
      </c>
      <c r="E610" s="2">
        <v>716.37383619090542</v>
      </c>
      <c r="F610" s="2">
        <v>450.3875995054841</v>
      </c>
      <c r="G610" s="2">
        <v>182.18378441641107</v>
      </c>
      <c r="H610" s="2">
        <v>10.003999346867204</v>
      </c>
      <c r="I610" s="2">
        <v>0.80974744397448384</v>
      </c>
      <c r="J610" s="2">
        <v>10</v>
      </c>
      <c r="K610" s="2">
        <v>180.44535065406208</v>
      </c>
      <c r="L610" s="2">
        <v>50</v>
      </c>
      <c r="M610" s="2">
        <v>25</v>
      </c>
      <c r="N610" s="2">
        <v>1.1673890332088503</v>
      </c>
      <c r="O610" s="2">
        <v>52.208704759384545</v>
      </c>
      <c r="P610" s="2">
        <v>1461.1516146920621</v>
      </c>
      <c r="Q610" s="2">
        <v>1.1620638009838169</v>
      </c>
      <c r="R610" s="2">
        <v>52.600989583374833</v>
      </c>
      <c r="S610" s="2">
        <v>1476.1805834830652</v>
      </c>
      <c r="T610" s="2">
        <v>-5.3252322250334494E-3</v>
      </c>
      <c r="U610" s="2">
        <v>0.39228482399028763</v>
      </c>
      <c r="V610" s="2">
        <v>15.028968791003081</v>
      </c>
    </row>
    <row r="611" spans="1:22" ht="15">
      <c r="A611" s="2">
        <v>610</v>
      </c>
      <c r="B611" s="2" t="s">
        <v>78</v>
      </c>
      <c r="C611" s="2" t="s">
        <v>13</v>
      </c>
      <c r="D611" s="2">
        <v>1390.9992226981558</v>
      </c>
      <c r="E611" s="2">
        <v>1105.1446560071781</v>
      </c>
      <c r="F611" s="2">
        <v>572.75971109047532</v>
      </c>
      <c r="G611" s="2">
        <v>81.581289106979966</v>
      </c>
      <c r="H611" s="2">
        <v>21.575565435457975</v>
      </c>
      <c r="I611" s="2">
        <v>0.83215893527958551</v>
      </c>
      <c r="J611" s="2">
        <v>9</v>
      </c>
      <c r="K611" s="2">
        <v>185.72830577942065</v>
      </c>
      <c r="L611" s="2">
        <v>40</v>
      </c>
      <c r="M611" s="2">
        <v>25</v>
      </c>
      <c r="N611" s="2">
        <v>1.1762765647088016</v>
      </c>
      <c r="O611" s="2">
        <v>52.249347800943703</v>
      </c>
      <c r="P611" s="2">
        <v>1390.9992226981558</v>
      </c>
      <c r="Q611" s="2">
        <v>1.1788431352369859</v>
      </c>
      <c r="R611" s="2">
        <v>53.562983583312452</v>
      </c>
      <c r="S611" s="2">
        <v>1381.1595936764113</v>
      </c>
      <c r="T611" s="2">
        <v>2.5665705281843199E-3</v>
      </c>
      <c r="U611" s="2">
        <v>1.313635782368749</v>
      </c>
      <c r="V611" s="2">
        <v>-9.8396290217444857</v>
      </c>
    </row>
    <row r="612" spans="1:22" ht="15">
      <c r="A612" s="2">
        <v>611</v>
      </c>
      <c r="B612" s="2" t="s">
        <v>78</v>
      </c>
      <c r="C612" s="2" t="s">
        <v>13</v>
      </c>
      <c r="D612" s="2">
        <v>1388.8158194487914</v>
      </c>
      <c r="E612" s="2">
        <v>1194.8721805238165</v>
      </c>
      <c r="F612" s="2">
        <v>546.75728492438793</v>
      </c>
      <c r="G612" s="2">
        <v>276.32247247500345</v>
      </c>
      <c r="H612" s="2">
        <v>27.581183453090489</v>
      </c>
      <c r="I612" s="2">
        <v>0.79184784360928462</v>
      </c>
      <c r="J612" s="2">
        <v>9</v>
      </c>
      <c r="K612" s="2">
        <v>194.87691994496976</v>
      </c>
      <c r="L612" s="2">
        <v>35</v>
      </c>
      <c r="M612" s="2">
        <v>25</v>
      </c>
      <c r="N612" s="2">
        <v>1.2308260937980402</v>
      </c>
      <c r="O612" s="2">
        <v>52.289649155920678</v>
      </c>
      <c r="P612" s="2">
        <v>1388.8158194487914</v>
      </c>
      <c r="Q612" s="2">
        <v>1.2464270539559661</v>
      </c>
      <c r="R612" s="2">
        <v>52.222111473614355</v>
      </c>
      <c r="S612" s="2">
        <v>1358.9387943454892</v>
      </c>
      <c r="T612" s="2">
        <v>1.5600960157925892E-2</v>
      </c>
      <c r="U612" s="2">
        <v>-6.7537682306323177E-2</v>
      </c>
      <c r="V612" s="2">
        <v>-29.87702510330223</v>
      </c>
    </row>
    <row r="613" spans="1:22" ht="15">
      <c r="A613" s="2">
        <v>612</v>
      </c>
      <c r="B613" s="2" t="s">
        <v>78</v>
      </c>
      <c r="C613" s="2" t="s">
        <v>13</v>
      </c>
      <c r="D613" s="2">
        <v>1381.7239704891108</v>
      </c>
      <c r="E613" s="2">
        <v>1152.0171933341771</v>
      </c>
      <c r="F613" s="2">
        <v>394.41769449040294</v>
      </c>
      <c r="G613" s="2">
        <v>115.84301692899317</v>
      </c>
      <c r="H613" s="2">
        <v>21.795823849271983</v>
      </c>
      <c r="I613" s="2">
        <v>0.81827428815886383</v>
      </c>
      <c r="J613" s="2">
        <v>9</v>
      </c>
      <c r="K613" s="2">
        <v>187.62032222145922</v>
      </c>
      <c r="L613" s="2">
        <v>45</v>
      </c>
      <c r="M613" s="2">
        <v>25</v>
      </c>
      <c r="N613" s="2">
        <v>1.231510806048804</v>
      </c>
      <c r="O613" s="2">
        <v>52.234190682298696</v>
      </c>
      <c r="P613" s="2">
        <v>1381.7239704891108</v>
      </c>
      <c r="Q613" s="2">
        <v>1.2306438813043483</v>
      </c>
      <c r="R613" s="2">
        <v>51.994061657387256</v>
      </c>
      <c r="S613" s="2">
        <v>1378.5683803980214</v>
      </c>
      <c r="T613" s="2">
        <v>-8.6692474445571044E-4</v>
      </c>
      <c r="U613" s="2">
        <v>-0.24012902491143961</v>
      </c>
      <c r="V613" s="2">
        <v>-3.1555900910893797</v>
      </c>
    </row>
    <row r="614" spans="1:22" ht="15">
      <c r="A614" s="2">
        <v>613</v>
      </c>
      <c r="B614" s="2" t="s">
        <v>78</v>
      </c>
      <c r="C614" s="2" t="s">
        <v>13</v>
      </c>
      <c r="D614" s="2">
        <v>1447.7503357920796</v>
      </c>
      <c r="E614" s="2">
        <v>873.40953106759116</v>
      </c>
      <c r="F614" s="2">
        <v>536.55043970793486</v>
      </c>
      <c r="G614" s="2">
        <v>308.17627462791279</v>
      </c>
      <c r="H614" s="2">
        <v>23.183697737753391</v>
      </c>
      <c r="I614" s="2">
        <v>0.80804227525601169</v>
      </c>
      <c r="J614" s="2">
        <v>9</v>
      </c>
      <c r="K614" s="2">
        <v>199.07516394532277</v>
      </c>
      <c r="L614" s="2">
        <v>40</v>
      </c>
      <c r="M614" s="2">
        <v>25</v>
      </c>
      <c r="N614" s="2">
        <v>1.1596103643990825</v>
      </c>
      <c r="O614" s="2">
        <v>52.242900394064527</v>
      </c>
      <c r="P614" s="2">
        <v>1447.7503357920796</v>
      </c>
      <c r="Q614" s="2">
        <v>1.1514188768790359</v>
      </c>
      <c r="R614" s="2">
        <v>53.221780886594011</v>
      </c>
      <c r="S614" s="2">
        <v>1437.8346234296998</v>
      </c>
      <c r="T614" s="2">
        <v>-8.1914875200466142E-3</v>
      </c>
      <c r="U614" s="2">
        <v>0.97888049252948406</v>
      </c>
      <c r="V614" s="2">
        <v>-9.9157123623797361</v>
      </c>
    </row>
    <row r="615" spans="1:22" ht="15">
      <c r="A615" s="2">
        <v>614</v>
      </c>
      <c r="B615" s="2" t="s">
        <v>78</v>
      </c>
      <c r="C615" s="2" t="s">
        <v>13</v>
      </c>
      <c r="D615" s="2">
        <v>1366.0215693642385</v>
      </c>
      <c r="E615" s="2">
        <v>1198.6768886214122</v>
      </c>
      <c r="F615" s="2">
        <v>597.06260832026601</v>
      </c>
      <c r="G615" s="2">
        <v>319.0884249471128</v>
      </c>
      <c r="H615" s="2">
        <v>27.320583580527455</v>
      </c>
      <c r="I615" s="2">
        <v>0.85865686820354314</v>
      </c>
      <c r="J615" s="2">
        <v>8</v>
      </c>
      <c r="K615" s="2">
        <v>198.86022285918895</v>
      </c>
      <c r="L615" s="2">
        <v>35</v>
      </c>
      <c r="M615" s="2">
        <v>25</v>
      </c>
      <c r="N615" s="2">
        <v>1.1750554915981344</v>
      </c>
      <c r="O615" s="2">
        <v>52.268115149973788</v>
      </c>
      <c r="P615" s="2">
        <v>1366.0215693642385</v>
      </c>
      <c r="Q615" s="2">
        <v>1.1679317767303237</v>
      </c>
      <c r="R615" s="2">
        <v>53.544648759444549</v>
      </c>
      <c r="S615" s="2">
        <v>1338.5927648148397</v>
      </c>
      <c r="T615" s="2">
        <v>-7.1237148678107154E-3</v>
      </c>
      <c r="U615" s="2">
        <v>1.2765336094707607</v>
      </c>
      <c r="V615" s="2">
        <v>-27.428804549398819</v>
      </c>
    </row>
    <row r="616" spans="1:22" ht="15">
      <c r="A616" s="2">
        <v>615</v>
      </c>
      <c r="B616" s="2" t="s">
        <v>79</v>
      </c>
      <c r="C616" s="2" t="s">
        <v>13</v>
      </c>
      <c r="D616" s="2">
        <v>1376.6338023589924</v>
      </c>
      <c r="E616" s="2">
        <v>666.22112357290462</v>
      </c>
      <c r="F616" s="2">
        <v>669.48269009590149</v>
      </c>
      <c r="G616" s="2">
        <v>216.97441847762093</v>
      </c>
      <c r="H616" s="2">
        <v>21.458144056610763</v>
      </c>
      <c r="I616" s="2">
        <v>0.82318421728676183</v>
      </c>
      <c r="J616" s="2">
        <v>9</v>
      </c>
      <c r="K616" s="2">
        <v>185.81419342243893</v>
      </c>
      <c r="L616" s="2">
        <v>45</v>
      </c>
      <c r="M616" s="2">
        <v>25</v>
      </c>
      <c r="N616" s="2">
        <v>1.1554747291004637</v>
      </c>
      <c r="O616" s="2">
        <v>52.217101353347424</v>
      </c>
      <c r="P616" s="2">
        <v>1376.6338023589924</v>
      </c>
      <c r="Q616" s="2">
        <v>1.1484482682039268</v>
      </c>
      <c r="R616" s="2">
        <v>52.346826094442712</v>
      </c>
      <c r="S616" s="2">
        <v>1383.725816641715</v>
      </c>
      <c r="T616" s="2">
        <v>-7.0264608965369124E-3</v>
      </c>
      <c r="U616" s="2">
        <v>0.12972474109528775</v>
      </c>
      <c r="V616" s="2">
        <v>7.09201428272263</v>
      </c>
    </row>
    <row r="617" spans="1:22" ht="15">
      <c r="A617" s="2">
        <v>616</v>
      </c>
      <c r="B617" s="2" t="s">
        <v>79</v>
      </c>
      <c r="C617" s="2" t="s">
        <v>13</v>
      </c>
      <c r="D617" s="2">
        <v>1405.2660622517578</v>
      </c>
      <c r="E617" s="2">
        <v>936.61248022690415</v>
      </c>
      <c r="F617" s="2">
        <v>375.90391999110579</v>
      </c>
      <c r="G617" s="2">
        <v>215.53149031940848</v>
      </c>
      <c r="H617" s="2">
        <v>17.938799781259149</v>
      </c>
      <c r="I617" s="2">
        <v>0.79604353205300871</v>
      </c>
      <c r="J617" s="2">
        <v>9</v>
      </c>
      <c r="K617" s="2">
        <v>196.14589817825592</v>
      </c>
      <c r="L617" s="2">
        <v>50</v>
      </c>
      <c r="M617" s="2">
        <v>25</v>
      </c>
      <c r="N617" s="2">
        <v>1.2287293938622454</v>
      </c>
      <c r="O617" s="2">
        <v>52.213260867332046</v>
      </c>
      <c r="P617" s="2">
        <v>1405.2660622517578</v>
      </c>
      <c r="Q617" s="2">
        <v>1.239119838279477</v>
      </c>
      <c r="R617" s="2">
        <v>52.112825821471148</v>
      </c>
      <c r="S617" s="2">
        <v>1412.9520963648329</v>
      </c>
      <c r="T617" s="2">
        <v>1.0390444417231581E-2</v>
      </c>
      <c r="U617" s="2">
        <v>-0.10043504586089824</v>
      </c>
      <c r="V617" s="2">
        <v>7.6860341130750385</v>
      </c>
    </row>
    <row r="618" spans="1:22" ht="15">
      <c r="A618" s="2">
        <v>617</v>
      </c>
      <c r="B618" s="2" t="s">
        <v>79</v>
      </c>
      <c r="C618" s="2" t="s">
        <v>13</v>
      </c>
      <c r="D618" s="2">
        <v>1448.9835223183036</v>
      </c>
      <c r="E618" s="2">
        <v>1175.8873042068444</v>
      </c>
      <c r="F618" s="2">
        <v>699.83328003436327</v>
      </c>
      <c r="G618" s="2">
        <v>289.29774228716269</v>
      </c>
      <c r="H618" s="2">
        <v>19.747782876715064</v>
      </c>
      <c r="I618" s="2">
        <v>0.80109296218724924</v>
      </c>
      <c r="J618" s="2">
        <v>10</v>
      </c>
      <c r="K618" s="2">
        <v>180.87582724008689</v>
      </c>
      <c r="L618" s="2">
        <v>30</v>
      </c>
      <c r="M618" s="2">
        <v>25</v>
      </c>
      <c r="N618" s="2">
        <v>1.2143359629487891</v>
      </c>
      <c r="O618" s="2">
        <v>52.350089425071033</v>
      </c>
      <c r="P618" s="2">
        <v>1448.9835223183036</v>
      </c>
      <c r="Q618" s="2">
        <v>1.2377546513910009</v>
      </c>
      <c r="R618" s="2">
        <v>53.095499994674931</v>
      </c>
      <c r="S618" s="2">
        <v>1441.2990976585154</v>
      </c>
      <c r="T618" s="2">
        <v>2.3418688442211844E-2</v>
      </c>
      <c r="U618" s="2">
        <v>0.74541056960389795</v>
      </c>
      <c r="V618" s="2">
        <v>-7.684424659788192</v>
      </c>
    </row>
    <row r="619" spans="1:22" ht="15">
      <c r="A619" s="2">
        <v>618</v>
      </c>
      <c r="B619" s="2" t="s">
        <v>80</v>
      </c>
      <c r="C619" s="2" t="s">
        <v>13</v>
      </c>
      <c r="D619" s="2">
        <v>1383.5533906356432</v>
      </c>
      <c r="E619" s="2">
        <v>1002.8179560089484</v>
      </c>
      <c r="F619" s="2">
        <v>572.56613979116082</v>
      </c>
      <c r="G619" s="2">
        <v>203.91441944055259</v>
      </c>
      <c r="H619" s="2">
        <v>26.307192553300411</v>
      </c>
      <c r="I619" s="2">
        <v>0.83097633835393936</v>
      </c>
      <c r="J619" s="2">
        <v>9</v>
      </c>
      <c r="K619" s="2">
        <v>184.99702990290649</v>
      </c>
      <c r="L619" s="2">
        <v>40</v>
      </c>
      <c r="M619" s="2">
        <v>25</v>
      </c>
      <c r="N619" s="2">
        <v>1.2127028171303582</v>
      </c>
      <c r="O619" s="2">
        <v>52.252437120988901</v>
      </c>
      <c r="P619" s="2">
        <v>1383.5533906356432</v>
      </c>
      <c r="Q619" s="2">
        <v>1.215507315472224</v>
      </c>
      <c r="R619" s="2">
        <v>51.56280626823748</v>
      </c>
      <c r="S619" s="2">
        <v>1363.8671188951673</v>
      </c>
      <c r="T619" s="2">
        <v>2.804498341865802E-3</v>
      </c>
      <c r="U619" s="2">
        <v>-0.68963085275142078</v>
      </c>
      <c r="V619" s="2">
        <v>-19.686271740475831</v>
      </c>
    </row>
    <row r="620" spans="1:22" ht="15">
      <c r="A620" s="2">
        <v>619</v>
      </c>
      <c r="B620" s="2" t="s">
        <v>80</v>
      </c>
      <c r="C620" s="2" t="s">
        <v>13</v>
      </c>
      <c r="D620" s="2">
        <v>1462.9216796485707</v>
      </c>
      <c r="E620" s="2">
        <v>791.65134342620149</v>
      </c>
      <c r="F620" s="2">
        <v>538.22195716202259</v>
      </c>
      <c r="G620" s="2">
        <v>234.79519049404189</v>
      </c>
      <c r="H620" s="2">
        <v>10.065719769336283</v>
      </c>
      <c r="I620" s="2">
        <v>0.79443084052531054</v>
      </c>
      <c r="J620" s="2">
        <v>10</v>
      </c>
      <c r="K620" s="2">
        <v>184.14714094951631</v>
      </c>
      <c r="L620" s="2">
        <v>45</v>
      </c>
      <c r="M620" s="2">
        <v>25</v>
      </c>
      <c r="N620" s="2">
        <v>1.2216500909056889</v>
      </c>
      <c r="O620" s="2">
        <v>52.246078816080001</v>
      </c>
      <c r="P620" s="2">
        <v>1462.9216796485707</v>
      </c>
      <c r="Q620" s="2">
        <v>1.2361189038430573</v>
      </c>
      <c r="R620" s="2">
        <v>51.031124477431227</v>
      </c>
      <c r="S620" s="2">
        <v>1465.0763312004283</v>
      </c>
      <c r="T620" s="2">
        <v>1.4468812937368458E-2</v>
      </c>
      <c r="U620" s="2">
        <v>-1.2149543386487736</v>
      </c>
      <c r="V620" s="2">
        <v>2.1546515518575688</v>
      </c>
    </row>
    <row r="621" spans="1:22" ht="15">
      <c r="A621" s="2">
        <v>620</v>
      </c>
      <c r="B621" s="2" t="s">
        <v>80</v>
      </c>
      <c r="C621" s="2" t="s">
        <v>13</v>
      </c>
      <c r="D621" s="2">
        <v>1469.4101309753023</v>
      </c>
      <c r="E621" s="2">
        <v>962.57806434296072</v>
      </c>
      <c r="F621" s="2">
        <v>722.91978402063251</v>
      </c>
      <c r="G621" s="2">
        <v>328.70258278679103</v>
      </c>
      <c r="H621" s="2">
        <v>27.85545553592965</v>
      </c>
      <c r="I621" s="2">
        <v>0.82601639587432152</v>
      </c>
      <c r="J621" s="2">
        <v>9</v>
      </c>
      <c r="K621" s="2">
        <v>197.65684209908872</v>
      </c>
      <c r="L621" s="2">
        <v>35</v>
      </c>
      <c r="M621" s="2">
        <v>25</v>
      </c>
      <c r="N621" s="2">
        <v>1.2303971773810396</v>
      </c>
      <c r="O621" s="2">
        <v>52.289064202227124</v>
      </c>
      <c r="P621" s="2">
        <v>1469.4101309753023</v>
      </c>
      <c r="Q621" s="2">
        <v>1.2349961884883669</v>
      </c>
      <c r="R621" s="2">
        <v>53.419503410384976</v>
      </c>
      <c r="S621" s="2">
        <v>1449.6182659947719</v>
      </c>
      <c r="T621" s="2">
        <v>4.5990111073272999E-3</v>
      </c>
      <c r="U621" s="2">
        <v>1.1304392081578527</v>
      </c>
      <c r="V621" s="2">
        <v>-19.791864980530363</v>
      </c>
    </row>
    <row r="622" spans="1:22" ht="15">
      <c r="A622" s="2">
        <v>621</v>
      </c>
      <c r="B622" s="2" t="s">
        <v>78</v>
      </c>
      <c r="C622" s="2" t="s">
        <v>13</v>
      </c>
      <c r="D622" s="2">
        <v>1448.0611538048834</v>
      </c>
      <c r="E622" s="2">
        <v>935.60483407927677</v>
      </c>
      <c r="F622" s="2">
        <v>620.70153262466192</v>
      </c>
      <c r="G622" s="2">
        <v>306.88703407766297</v>
      </c>
      <c r="H622" s="2">
        <v>25.548530135303736</v>
      </c>
      <c r="I622" s="2">
        <v>0.79100851498777047</v>
      </c>
      <c r="J622" s="2">
        <v>10</v>
      </c>
      <c r="K622" s="2">
        <v>183.06517899207083</v>
      </c>
      <c r="L622" s="2">
        <v>35</v>
      </c>
      <c r="M622" s="2">
        <v>25</v>
      </c>
      <c r="N622" s="2">
        <v>1.2320278443608359</v>
      </c>
      <c r="O622" s="2">
        <v>52.297798256685411</v>
      </c>
      <c r="P622" s="2">
        <v>1448.0611538048834</v>
      </c>
      <c r="Q622" s="2">
        <v>1.2366505381521311</v>
      </c>
      <c r="R622" s="2">
        <v>51.478776588738164</v>
      </c>
      <c r="S622" s="2">
        <v>1439.3629372153032</v>
      </c>
      <c r="T622" s="2">
        <v>4.6226937912952071E-3</v>
      </c>
      <c r="U622" s="2">
        <v>-0.81902166794724707</v>
      </c>
      <c r="V622" s="2">
        <v>-8.69821658958017</v>
      </c>
    </row>
    <row r="623" spans="1:22" ht="15">
      <c r="A623" s="2">
        <v>622</v>
      </c>
      <c r="B623" s="2" t="s">
        <v>78</v>
      </c>
      <c r="C623" s="2" t="s">
        <v>13</v>
      </c>
      <c r="D623" s="2">
        <v>1361.2630648654886</v>
      </c>
      <c r="E623" s="2">
        <v>983.30683417152613</v>
      </c>
      <c r="F623" s="2">
        <v>480.21141039207578</v>
      </c>
      <c r="G623" s="2">
        <v>231.44378691911697</v>
      </c>
      <c r="H623" s="2">
        <v>10.502591202501208</v>
      </c>
      <c r="I623" s="2">
        <v>0.84986539594363431</v>
      </c>
      <c r="J623" s="2">
        <v>9</v>
      </c>
      <c r="K623" s="2">
        <v>177.97106738742002</v>
      </c>
      <c r="L623" s="2">
        <v>45</v>
      </c>
      <c r="M623" s="2">
        <v>25</v>
      </c>
      <c r="N623" s="2">
        <v>1.1993001802878853</v>
      </c>
      <c r="O623" s="2">
        <v>52.239286954758946</v>
      </c>
      <c r="P623" s="2">
        <v>1361.2630648654886</v>
      </c>
      <c r="Q623" s="2">
        <v>1.2003834424892947</v>
      </c>
      <c r="R623" s="2">
        <v>53.16088010725705</v>
      </c>
      <c r="S623" s="2">
        <v>1373.8003380012074</v>
      </c>
      <c r="T623" s="2">
        <v>1.0832622014094184E-3</v>
      </c>
      <c r="U623" s="2">
        <v>0.92159315249810447</v>
      </c>
      <c r="V623" s="2">
        <v>12.537273135718806</v>
      </c>
    </row>
    <row r="624" spans="1:22" ht="15">
      <c r="A624" s="2">
        <v>623</v>
      </c>
      <c r="B624" s="2" t="s">
        <v>78</v>
      </c>
      <c r="C624" s="2" t="s">
        <v>13</v>
      </c>
      <c r="D624" s="2">
        <v>1381.179633946158</v>
      </c>
      <c r="E624" s="2">
        <v>884.28583975182846</v>
      </c>
      <c r="F624" s="2">
        <v>590.52744284272194</v>
      </c>
      <c r="G624" s="2">
        <v>102.6406067959033</v>
      </c>
      <c r="H624" s="2">
        <v>22.523867084644735</v>
      </c>
      <c r="I624" s="2">
        <v>0.81243997534504164</v>
      </c>
      <c r="J624" s="2">
        <v>9</v>
      </c>
      <c r="K624" s="2">
        <v>188.89322095040845</v>
      </c>
      <c r="L624" s="2">
        <v>45</v>
      </c>
      <c r="M624" s="2">
        <v>25</v>
      </c>
      <c r="N624" s="2">
        <v>1.1772958483039671</v>
      </c>
      <c r="O624" s="2">
        <v>52.2209644977032</v>
      </c>
      <c r="P624" s="2">
        <v>1381.179633946158</v>
      </c>
      <c r="Q624" s="2">
        <v>1.1809409248659783</v>
      </c>
      <c r="R624" s="2">
        <v>53.115902056796834</v>
      </c>
      <c r="S624" s="2">
        <v>1382.9962681444968</v>
      </c>
      <c r="T624" s="2">
        <v>3.6450765620112957E-3</v>
      </c>
      <c r="U624" s="2">
        <v>0.89493755909363415</v>
      </c>
      <c r="V624" s="2">
        <v>1.8166341983387611</v>
      </c>
    </row>
    <row r="625" spans="1:22" ht="15">
      <c r="A625" s="2">
        <v>624</v>
      </c>
      <c r="B625" s="2" t="s">
        <v>78</v>
      </c>
      <c r="C625" s="2" t="s">
        <v>13</v>
      </c>
      <c r="D625" s="2">
        <v>1445.6673856708221</v>
      </c>
      <c r="E625" s="2">
        <v>775.69032479077578</v>
      </c>
      <c r="F625" s="2">
        <v>498.50249132141471</v>
      </c>
      <c r="G625" s="2">
        <v>207.3712293477729</v>
      </c>
      <c r="H625" s="2">
        <v>21.600144350435585</v>
      </c>
      <c r="I625" s="2">
        <v>0.80739946789108219</v>
      </c>
      <c r="J625" s="2">
        <v>9</v>
      </c>
      <c r="K625" s="2">
        <v>198.94700938872688</v>
      </c>
      <c r="L625" s="2">
        <v>50</v>
      </c>
      <c r="M625" s="2">
        <v>25</v>
      </c>
      <c r="N625" s="2">
        <v>1.2094524372084834</v>
      </c>
      <c r="O625" s="2">
        <v>52.206012873788346</v>
      </c>
      <c r="P625" s="2">
        <v>1445.6673856708221</v>
      </c>
      <c r="Q625" s="2">
        <v>1.2147861930068133</v>
      </c>
      <c r="R625" s="2">
        <v>50.85877544767677</v>
      </c>
      <c r="S625" s="2">
        <v>1439.5905238697476</v>
      </c>
      <c r="T625" s="2">
        <v>5.3337557983299533E-3</v>
      </c>
      <c r="U625" s="2">
        <v>-1.347237426111576</v>
      </c>
      <c r="V625" s="2">
        <v>-6.0768618010745286</v>
      </c>
    </row>
    <row r="626" spans="1:22" ht="15">
      <c r="A626" s="2">
        <v>625</v>
      </c>
      <c r="B626" s="2" t="s">
        <v>78</v>
      </c>
      <c r="C626" s="2" t="s">
        <v>13</v>
      </c>
      <c r="D626" s="2">
        <v>1391.3644057698548</v>
      </c>
      <c r="E626" s="2">
        <v>699.33847499778494</v>
      </c>
      <c r="F626" s="2">
        <v>736.79376635700464</v>
      </c>
      <c r="G626" s="2">
        <v>322.73286393145099</v>
      </c>
      <c r="H626" s="2">
        <v>28.183019267395139</v>
      </c>
      <c r="I626" s="2">
        <v>0.79426222457783302</v>
      </c>
      <c r="J626" s="2">
        <v>9</v>
      </c>
      <c r="K626" s="2">
        <v>194.64106475378512</v>
      </c>
      <c r="L626" s="2">
        <v>40</v>
      </c>
      <c r="M626" s="2">
        <v>25</v>
      </c>
      <c r="N626" s="2">
        <v>1.2098648297064591</v>
      </c>
      <c r="O626" s="2">
        <v>52.249251041541754</v>
      </c>
      <c r="P626" s="2">
        <v>1391.3644057698548</v>
      </c>
      <c r="Q626" s="2">
        <v>1.2046283977257495</v>
      </c>
      <c r="R626" s="2">
        <v>52.530675683839377</v>
      </c>
      <c r="S626" s="2">
        <v>1368.6407240399137</v>
      </c>
      <c r="T626" s="2">
        <v>-5.236431980709666E-3</v>
      </c>
      <c r="U626" s="2">
        <v>0.28142464229762254</v>
      </c>
      <c r="V626" s="2">
        <v>-22.723681729941063</v>
      </c>
    </row>
    <row r="627" spans="1:22" ht="15">
      <c r="A627" s="2">
        <v>626</v>
      </c>
      <c r="B627" s="2" t="s">
        <v>78</v>
      </c>
      <c r="C627" s="2" t="s">
        <v>13</v>
      </c>
      <c r="D627" s="2">
        <v>1359.156578744296</v>
      </c>
      <c r="E627" s="2">
        <v>771.793029201217</v>
      </c>
      <c r="F627" s="2">
        <v>408.69251573458314</v>
      </c>
      <c r="G627" s="2">
        <v>113.8626850862056</v>
      </c>
      <c r="H627" s="2">
        <v>16.352089643944055</v>
      </c>
      <c r="I627" s="2">
        <v>0.80657116802874951</v>
      </c>
      <c r="J627" s="2">
        <v>9</v>
      </c>
      <c r="K627" s="2">
        <v>187.23381596609738</v>
      </c>
      <c r="L627" s="2">
        <v>60</v>
      </c>
      <c r="M627" s="2">
        <v>25</v>
      </c>
      <c r="N627" s="2">
        <v>1.2288313626848908</v>
      </c>
      <c r="O627" s="2">
        <v>52.176821247766178</v>
      </c>
      <c r="P627" s="2">
        <v>1359.156578744296</v>
      </c>
      <c r="Q627" s="2">
        <v>1.2327860724338151</v>
      </c>
      <c r="R627" s="2">
        <v>51.038695438917834</v>
      </c>
      <c r="S627" s="2">
        <v>1379.2060864887912</v>
      </c>
      <c r="T627" s="2">
        <v>3.9547097489243122E-3</v>
      </c>
      <c r="U627" s="2">
        <v>-1.1381258088483435</v>
      </c>
      <c r="V627" s="2">
        <v>20.049507744495259</v>
      </c>
    </row>
    <row r="628" spans="1:22" ht="15">
      <c r="A628" s="2">
        <v>627</v>
      </c>
      <c r="B628" s="2" t="s">
        <v>78</v>
      </c>
      <c r="C628" s="2" t="s">
        <v>13</v>
      </c>
      <c r="D628" s="2">
        <v>1450.4957308759913</v>
      </c>
      <c r="E628" s="2">
        <v>998.00173972034827</v>
      </c>
      <c r="F628" s="2">
        <v>411.07827387750149</v>
      </c>
      <c r="G628" s="2">
        <v>85.158210813533515</v>
      </c>
      <c r="H628" s="2">
        <v>10.628682327456772</v>
      </c>
      <c r="I628" s="2">
        <v>0.85568738077534368</v>
      </c>
      <c r="J628" s="2">
        <v>9</v>
      </c>
      <c r="K628" s="2">
        <v>188.34704816322159</v>
      </c>
      <c r="L628" s="2">
        <v>50</v>
      </c>
      <c r="M628" s="2">
        <v>25</v>
      </c>
      <c r="N628" s="2">
        <v>1.1711879218840164</v>
      </c>
      <c r="O628" s="2">
        <v>52.207989095141343</v>
      </c>
      <c r="P628" s="2">
        <v>1450.4957308759913</v>
      </c>
      <c r="Q628" s="2">
        <v>1.181157690114059</v>
      </c>
      <c r="R628" s="2">
        <v>52.019226559225793</v>
      </c>
      <c r="S628" s="2">
        <v>1465.2503758664236</v>
      </c>
      <c r="T628" s="2">
        <v>9.9697682300425861E-3</v>
      </c>
      <c r="U628" s="2">
        <v>-0.1887625359155507</v>
      </c>
      <c r="V628" s="2">
        <v>14.754644990432325</v>
      </c>
    </row>
    <row r="629" spans="1:22" ht="15">
      <c r="A629" s="2">
        <v>628</v>
      </c>
      <c r="B629" s="2" t="s">
        <v>78</v>
      </c>
      <c r="C629" s="2" t="s">
        <v>13</v>
      </c>
      <c r="D629" s="2">
        <v>1484.1766217141412</v>
      </c>
      <c r="E629" s="2">
        <v>1148.8986829761416</v>
      </c>
      <c r="F629" s="2">
        <v>432.2923350147903</v>
      </c>
      <c r="G629" s="2">
        <v>169.60480184759945</v>
      </c>
      <c r="H629" s="2">
        <v>29.279488443862647</v>
      </c>
      <c r="I629" s="2">
        <v>0.80175845960155134</v>
      </c>
      <c r="J629" s="2">
        <v>10</v>
      </c>
      <c r="K629" s="2">
        <v>185.11518075552706</v>
      </c>
      <c r="L629" s="2">
        <v>35</v>
      </c>
      <c r="M629" s="2">
        <v>25</v>
      </c>
      <c r="N629" s="2">
        <v>1.1851748336687307</v>
      </c>
      <c r="O629" s="2">
        <v>52.27832537578702</v>
      </c>
      <c r="P629" s="2">
        <v>1484.1766217141412</v>
      </c>
      <c r="Q629" s="2">
        <v>1.1907536309662816</v>
      </c>
      <c r="R629" s="2">
        <v>53.951532705666907</v>
      </c>
      <c r="S629" s="2">
        <v>1465.8921306433388</v>
      </c>
      <c r="T629" s="2">
        <v>5.5787972975509525E-3</v>
      </c>
      <c r="U629" s="2">
        <v>1.6732073298798866</v>
      </c>
      <c r="V629" s="2">
        <v>-18.28449107080246</v>
      </c>
    </row>
    <row r="630" spans="1:22" ht="15">
      <c r="A630" s="2">
        <v>629</v>
      </c>
      <c r="B630" s="2" t="s">
        <v>78</v>
      </c>
      <c r="C630" s="2" t="s">
        <v>13</v>
      </c>
      <c r="D630" s="2">
        <v>1458.169160457328</v>
      </c>
      <c r="E630" s="2">
        <v>847.95519559411332</v>
      </c>
      <c r="F630" s="2">
        <v>673.31721466034651</v>
      </c>
      <c r="G630" s="2">
        <v>130.72481400566176</v>
      </c>
      <c r="H630" s="2">
        <v>10.644379526376724</v>
      </c>
      <c r="I630" s="2">
        <v>0.83144202878931539</v>
      </c>
      <c r="J630" s="2">
        <v>9</v>
      </c>
      <c r="K630" s="2">
        <v>194.86481317559759</v>
      </c>
      <c r="L630" s="2">
        <v>45</v>
      </c>
      <c r="M630" s="2">
        <v>25</v>
      </c>
      <c r="N630" s="2">
        <v>1.1709081984073466</v>
      </c>
      <c r="O630" s="2">
        <v>52.23258766719276</v>
      </c>
      <c r="P630" s="2">
        <v>1458.169160457328</v>
      </c>
      <c r="Q630" s="2">
        <v>1.1725818946858071</v>
      </c>
      <c r="R630" s="2">
        <v>51.916250768392736</v>
      </c>
      <c r="S630" s="2">
        <v>1460.5250220409027</v>
      </c>
      <c r="T630" s="2">
        <v>1.6736962784604792E-3</v>
      </c>
      <c r="U630" s="2">
        <v>-0.31633689880002436</v>
      </c>
      <c r="V630" s="2">
        <v>2.3558615835747787</v>
      </c>
    </row>
    <row r="631" spans="1:22" ht="15">
      <c r="A631" s="2">
        <v>630</v>
      </c>
      <c r="B631" s="2" t="s">
        <v>78</v>
      </c>
      <c r="C631" s="2" t="s">
        <v>13</v>
      </c>
      <c r="D631" s="2">
        <v>1411.2761356984265</v>
      </c>
      <c r="E631" s="2">
        <v>795.79568372573704</v>
      </c>
      <c r="F631" s="2">
        <v>481.62939371541142</v>
      </c>
      <c r="G631" s="2">
        <v>149.37583396211267</v>
      </c>
      <c r="H631" s="2">
        <v>18.475764533970505</v>
      </c>
      <c r="I631" s="2">
        <v>0.85730946300085642</v>
      </c>
      <c r="J631" s="2">
        <v>9</v>
      </c>
      <c r="K631" s="2">
        <v>182.90765037535897</v>
      </c>
      <c r="L631" s="2">
        <v>50</v>
      </c>
      <c r="M631" s="2">
        <v>25</v>
      </c>
      <c r="N631" s="2">
        <v>1.154771689417065</v>
      </c>
      <c r="O631" s="2">
        <v>52.197473932110547</v>
      </c>
      <c r="P631" s="2">
        <v>1411.2761356984265</v>
      </c>
      <c r="Q631" s="2">
        <v>1.1420039255296366</v>
      </c>
      <c r="R631" s="2">
        <v>51.892621813634065</v>
      </c>
      <c r="S631" s="2">
        <v>1424.3391704856126</v>
      </c>
      <c r="T631" s="2">
        <v>-1.2767763887428396E-2</v>
      </c>
      <c r="U631" s="2">
        <v>-0.3048521184764823</v>
      </c>
      <c r="V631" s="2">
        <v>13.063034787186098</v>
      </c>
    </row>
    <row r="632" spans="1:22" ht="15">
      <c r="A632" s="2">
        <v>631</v>
      </c>
      <c r="B632" s="2" t="s">
        <v>78</v>
      </c>
      <c r="C632" s="2" t="s">
        <v>13</v>
      </c>
      <c r="D632" s="2">
        <v>1488.3114219876006</v>
      </c>
      <c r="E632" s="2">
        <v>622.07446304382756</v>
      </c>
      <c r="F632" s="2">
        <v>626.33366733789444</v>
      </c>
      <c r="G632" s="2">
        <v>325.03299867501482</v>
      </c>
      <c r="H632" s="2">
        <v>17.780013958923519</v>
      </c>
      <c r="I632" s="2">
        <v>0.81204514000331984</v>
      </c>
      <c r="J632" s="2">
        <v>10</v>
      </c>
      <c r="K632" s="2">
        <v>183.27939527863143</v>
      </c>
      <c r="L632" s="2">
        <v>40</v>
      </c>
      <c r="M632" s="2">
        <v>25</v>
      </c>
      <c r="N632" s="2">
        <v>1.1400783502477914</v>
      </c>
      <c r="O632" s="2">
        <v>52.247598675609076</v>
      </c>
      <c r="P632" s="2">
        <v>1488.3114219876006</v>
      </c>
      <c r="Q632" s="2">
        <v>1.1290984735530041</v>
      </c>
      <c r="R632" s="2">
        <v>50.669444942478847</v>
      </c>
      <c r="S632" s="2">
        <v>1485.3884336416786</v>
      </c>
      <c r="T632" s="2">
        <v>-1.0979876694787283E-2</v>
      </c>
      <c r="U632" s="2">
        <v>-1.5781537331302289</v>
      </c>
      <c r="V632" s="2">
        <v>-2.9229883459220218</v>
      </c>
    </row>
    <row r="633" spans="1:22" ht="15">
      <c r="A633" s="2">
        <v>632</v>
      </c>
      <c r="B633" s="2" t="s">
        <v>78</v>
      </c>
      <c r="C633" s="2" t="s">
        <v>13</v>
      </c>
      <c r="D633" s="2">
        <v>1372.9174776817672</v>
      </c>
      <c r="E633" s="2">
        <v>1033.1099043600261</v>
      </c>
      <c r="F633" s="2">
        <v>514.30711066350341</v>
      </c>
      <c r="G633" s="2">
        <v>197.37772321794182</v>
      </c>
      <c r="H633" s="2">
        <v>26.810557728167623</v>
      </c>
      <c r="I633" s="2">
        <v>0.81162355241365736</v>
      </c>
      <c r="J633" s="2">
        <v>9</v>
      </c>
      <c r="K633" s="2">
        <v>187.95214352199758</v>
      </c>
      <c r="L633" s="2">
        <v>40</v>
      </c>
      <c r="M633" s="2">
        <v>25</v>
      </c>
      <c r="N633" s="2">
        <v>1.1943590908677417</v>
      </c>
      <c r="O633" s="2">
        <v>52.247057119560296</v>
      </c>
      <c r="P633" s="2">
        <v>1372.9174776817672</v>
      </c>
      <c r="Q633" s="2">
        <v>1.1833171662836954</v>
      </c>
      <c r="R633" s="2">
        <v>52.590465928908607</v>
      </c>
      <c r="S633" s="2">
        <v>1356.5102388743608</v>
      </c>
      <c r="T633" s="2">
        <v>-1.1041924584046292E-2</v>
      </c>
      <c r="U633" s="2">
        <v>0.34340880934831119</v>
      </c>
      <c r="V633" s="2">
        <v>-16.407238807406429</v>
      </c>
    </row>
    <row r="634" spans="1:22" ht="15">
      <c r="A634" s="2">
        <v>633</v>
      </c>
      <c r="B634" s="2" t="s">
        <v>78</v>
      </c>
      <c r="C634" s="2" t="s">
        <v>13</v>
      </c>
      <c r="D634" s="2">
        <v>1489.6956894546747</v>
      </c>
      <c r="E634" s="2">
        <v>612.56553292041644</v>
      </c>
      <c r="F634" s="2">
        <v>409.77140832692385</v>
      </c>
      <c r="G634" s="2">
        <v>266.17035128409043</v>
      </c>
      <c r="H634" s="2">
        <v>9.1429566573351622</v>
      </c>
      <c r="I634" s="2">
        <v>0.83175673795165495</v>
      </c>
      <c r="J634" s="2">
        <v>9</v>
      </c>
      <c r="K634" s="2">
        <v>199.00258780033164</v>
      </c>
      <c r="L634" s="2">
        <v>60</v>
      </c>
      <c r="M634" s="2">
        <v>25</v>
      </c>
      <c r="N634" s="2">
        <v>1.1967983896125201</v>
      </c>
      <c r="O634" s="2">
        <v>52.175910499587957</v>
      </c>
      <c r="P634" s="2">
        <v>1489.6956894546747</v>
      </c>
      <c r="Q634" s="2">
        <v>1.2009017867126315</v>
      </c>
      <c r="R634" s="2">
        <v>51.452186103110357</v>
      </c>
      <c r="S634" s="2">
        <v>1501.2053687271575</v>
      </c>
      <c r="T634" s="2">
        <v>4.1033971001114278E-3</v>
      </c>
      <c r="U634" s="2">
        <v>-0.7237243964775999</v>
      </c>
      <c r="V634" s="2">
        <v>11.509679272482799</v>
      </c>
    </row>
    <row r="635" spans="1:22" ht="15">
      <c r="A635" s="2">
        <v>634</v>
      </c>
      <c r="B635" s="2" t="s">
        <v>78</v>
      </c>
      <c r="C635" s="2" t="s">
        <v>13</v>
      </c>
      <c r="D635" s="2">
        <v>1383.3264986635186</v>
      </c>
      <c r="E635" s="2">
        <v>1144.2583864787593</v>
      </c>
      <c r="F635" s="2">
        <v>469.5063010789454</v>
      </c>
      <c r="G635" s="2">
        <v>155.14413795433939</v>
      </c>
      <c r="H635" s="2">
        <v>17.261598717886955</v>
      </c>
      <c r="I635" s="2">
        <v>0.85299804695416248</v>
      </c>
      <c r="J635" s="2">
        <v>9</v>
      </c>
      <c r="K635" s="2">
        <v>180.19143753585408</v>
      </c>
      <c r="L635" s="2">
        <v>40</v>
      </c>
      <c r="M635" s="2">
        <v>25</v>
      </c>
      <c r="N635" s="2">
        <v>1.1592481155210068</v>
      </c>
      <c r="O635" s="2">
        <v>52.250817108617966</v>
      </c>
      <c r="P635" s="2">
        <v>1383.3264986635186</v>
      </c>
      <c r="Q635" s="2">
        <v>1.1599468526414356</v>
      </c>
      <c r="R635" s="2">
        <v>52.948207303865473</v>
      </c>
      <c r="S635" s="2">
        <v>1388.5531600191505</v>
      </c>
      <c r="T635" s="2">
        <v>6.9873712042878289E-4</v>
      </c>
      <c r="U635" s="2">
        <v>0.69739019524750745</v>
      </c>
      <c r="V635" s="2">
        <v>5.2266613556319044</v>
      </c>
    </row>
    <row r="636" spans="1:22" ht="15">
      <c r="A636" s="2">
        <v>635</v>
      </c>
      <c r="B636" s="2" t="s">
        <v>79</v>
      </c>
      <c r="C636" s="2" t="s">
        <v>13</v>
      </c>
      <c r="D636" s="2">
        <v>1471.1850945604965</v>
      </c>
      <c r="E636" s="2">
        <v>621.3785276398994</v>
      </c>
      <c r="F636" s="2">
        <v>563.63937593996525</v>
      </c>
      <c r="G636" s="2">
        <v>190.4147873702459</v>
      </c>
      <c r="H636" s="2">
        <v>28.500871756114066</v>
      </c>
      <c r="I636" s="2">
        <v>0.84966972189722589</v>
      </c>
      <c r="J636" s="2">
        <v>9</v>
      </c>
      <c r="K636" s="2">
        <v>192.38653125325112</v>
      </c>
      <c r="L636" s="2">
        <v>50</v>
      </c>
      <c r="M636" s="2">
        <v>25</v>
      </c>
      <c r="N636" s="2">
        <v>1.1583290610576322</v>
      </c>
      <c r="O636" s="2">
        <v>52.189464342336393</v>
      </c>
      <c r="P636" s="2">
        <v>1471.1850945604965</v>
      </c>
      <c r="Q636" s="2">
        <v>1.1415225032225917</v>
      </c>
      <c r="R636" s="2">
        <v>51.840517766511532</v>
      </c>
      <c r="S636" s="2">
        <v>1470.2849297362698</v>
      </c>
      <c r="T636" s="2">
        <v>-1.6806557835040481E-2</v>
      </c>
      <c r="U636" s="2">
        <v>-0.34894657582486133</v>
      </c>
      <c r="V636" s="2">
        <v>-0.90016482422674926</v>
      </c>
    </row>
    <row r="637" spans="1:22" ht="15">
      <c r="A637" s="2">
        <v>636</v>
      </c>
      <c r="B637" s="2" t="s">
        <v>79</v>
      </c>
      <c r="C637" s="2" t="s">
        <v>13</v>
      </c>
      <c r="D637" s="2">
        <v>1363.0858015618287</v>
      </c>
      <c r="E637" s="2">
        <v>726.77122834138572</v>
      </c>
      <c r="F637" s="2">
        <v>739.10715533420444</v>
      </c>
      <c r="G637" s="2">
        <v>256.34990985970944</v>
      </c>
      <c r="H637" s="2">
        <v>20.559907894115895</v>
      </c>
      <c r="I637" s="2">
        <v>0.84053029119968414</v>
      </c>
      <c r="J637" s="2">
        <v>9</v>
      </c>
      <c r="K637" s="2">
        <v>180.18860181129807</v>
      </c>
      <c r="L637" s="2">
        <v>40</v>
      </c>
      <c r="M637" s="2">
        <v>25</v>
      </c>
      <c r="N637" s="2">
        <v>1.1484511780962934</v>
      </c>
      <c r="O637" s="2">
        <v>52.243538446669497</v>
      </c>
      <c r="P637" s="2">
        <v>1363.0858015618287</v>
      </c>
      <c r="Q637" s="2">
        <v>1.147905319635222</v>
      </c>
      <c r="R637" s="2">
        <v>50.856936326363893</v>
      </c>
      <c r="S637" s="2">
        <v>1353.9581962500868</v>
      </c>
      <c r="T637" s="2">
        <v>-5.4585846107135794E-4</v>
      </c>
      <c r="U637" s="2">
        <v>-1.3866021203056036</v>
      </c>
      <c r="V637" s="2">
        <v>-9.1276053117419451</v>
      </c>
    </row>
    <row r="638" spans="1:22" ht="15">
      <c r="A638" s="2">
        <v>637</v>
      </c>
      <c r="B638" s="2" t="s">
        <v>79</v>
      </c>
      <c r="C638" s="2" t="s">
        <v>13</v>
      </c>
      <c r="D638" s="2">
        <v>1426.7032581847161</v>
      </c>
      <c r="E638" s="2">
        <v>930.37381217582151</v>
      </c>
      <c r="F638" s="2">
        <v>364.24993332475424</v>
      </c>
      <c r="G638" s="2">
        <v>245.43410980375484</v>
      </c>
      <c r="H638" s="2">
        <v>9.8161517642438412</v>
      </c>
      <c r="I638" s="2">
        <v>0.83839186985278502</v>
      </c>
      <c r="J638" s="2">
        <v>9</v>
      </c>
      <c r="K638" s="2">
        <v>189.07934337505151</v>
      </c>
      <c r="L638" s="2">
        <v>50</v>
      </c>
      <c r="M638" s="2">
        <v>25</v>
      </c>
      <c r="N638" s="2">
        <v>1.2020273108676292</v>
      </c>
      <c r="O638" s="2">
        <v>52.215133521088326</v>
      </c>
      <c r="P638" s="2">
        <v>1426.7032581847161</v>
      </c>
      <c r="Q638" s="2">
        <v>1.1952953183795689</v>
      </c>
      <c r="R638" s="2">
        <v>51.905569775708948</v>
      </c>
      <c r="S638" s="2">
        <v>1438.9178173883279</v>
      </c>
      <c r="T638" s="2">
        <v>-6.7319924880602233E-3</v>
      </c>
      <c r="U638" s="2">
        <v>-0.30956374537937847</v>
      </c>
      <c r="V638" s="2">
        <v>12.21455920361177</v>
      </c>
    </row>
    <row r="639" spans="1:22" ht="15">
      <c r="A639" s="2">
        <v>638</v>
      </c>
      <c r="B639" s="2" t="s">
        <v>80</v>
      </c>
      <c r="C639" s="2" t="s">
        <v>13</v>
      </c>
      <c r="D639" s="2">
        <v>1421.0728172329254</v>
      </c>
      <c r="E639" s="2">
        <v>888.23093499522656</v>
      </c>
      <c r="F639" s="2">
        <v>442.62591497972608</v>
      </c>
      <c r="G639" s="2">
        <v>233.47426105290651</v>
      </c>
      <c r="H639" s="2">
        <v>12.698855253402144</v>
      </c>
      <c r="I639" s="2">
        <v>0.83847234192769982</v>
      </c>
      <c r="J639" s="2">
        <v>9</v>
      </c>
      <c r="K639" s="2">
        <v>188.31507230105211</v>
      </c>
      <c r="L639" s="2">
        <v>50</v>
      </c>
      <c r="M639" s="2">
        <v>25</v>
      </c>
      <c r="N639" s="2">
        <v>1.2330970946802391</v>
      </c>
      <c r="O639" s="2">
        <v>52.218918328487021</v>
      </c>
      <c r="P639" s="2">
        <v>1421.0728172329254</v>
      </c>
      <c r="Q639" s="2">
        <v>1.2396207516839715</v>
      </c>
      <c r="R639" s="2">
        <v>51.241002028651252</v>
      </c>
      <c r="S639" s="2">
        <v>1422.2307826028871</v>
      </c>
      <c r="T639" s="2">
        <v>6.5236570037323638E-3</v>
      </c>
      <c r="U639" s="2">
        <v>-0.97791629983576911</v>
      </c>
      <c r="V639" s="2">
        <v>1.1579653699616301</v>
      </c>
    </row>
    <row r="640" spans="1:22" ht="15">
      <c r="A640" s="2">
        <v>639</v>
      </c>
      <c r="B640" s="2" t="s">
        <v>80</v>
      </c>
      <c r="C640" s="2" t="s">
        <v>13</v>
      </c>
      <c r="D640" s="2">
        <v>1461.5224182838574</v>
      </c>
      <c r="E640" s="2">
        <v>1201.0512459208257</v>
      </c>
      <c r="F640" s="2">
        <v>706.03725835680962</v>
      </c>
      <c r="G640" s="2">
        <v>212.43347354000434</v>
      </c>
      <c r="H640" s="2">
        <v>20.017382866702974</v>
      </c>
      <c r="I640" s="2">
        <v>0.80084902690490711</v>
      </c>
      <c r="J640" s="2">
        <v>10</v>
      </c>
      <c r="K640" s="2">
        <v>182.49662160823212</v>
      </c>
      <c r="L640" s="2">
        <v>30</v>
      </c>
      <c r="M640" s="2">
        <v>25</v>
      </c>
      <c r="N640" s="2">
        <v>1.1930648946181786</v>
      </c>
      <c r="O640" s="2">
        <v>52.3422071826569</v>
      </c>
      <c r="P640" s="2">
        <v>1461.5224182838574</v>
      </c>
      <c r="Q640" s="2">
        <v>1.2025503849403962</v>
      </c>
      <c r="R640" s="2">
        <v>52.008155490280664</v>
      </c>
      <c r="S640" s="2">
        <v>1446.7177332145434</v>
      </c>
      <c r="T640" s="2">
        <v>9.4854903222176823E-3</v>
      </c>
      <c r="U640" s="2">
        <v>-0.33405169237623511</v>
      </c>
      <c r="V640" s="2">
        <v>-14.804685069314019</v>
      </c>
    </row>
    <row r="641" spans="1:22" ht="15">
      <c r="A641" s="2">
        <v>640</v>
      </c>
      <c r="B641" s="2" t="s">
        <v>80</v>
      </c>
      <c r="C641" s="2" t="s">
        <v>13</v>
      </c>
      <c r="D641" s="2">
        <v>1369.224876340013</v>
      </c>
      <c r="E641" s="2">
        <v>915.03357626497746</v>
      </c>
      <c r="F641" s="2">
        <v>606.60101165995002</v>
      </c>
      <c r="G641" s="2">
        <v>138.35029215086251</v>
      </c>
      <c r="H641" s="2">
        <v>14.957227872218937</v>
      </c>
      <c r="I641" s="2">
        <v>0.8374647747259587</v>
      </c>
      <c r="J641" s="2">
        <v>9</v>
      </c>
      <c r="K641" s="2">
        <v>181.66268237478482</v>
      </c>
      <c r="L641" s="2">
        <v>45</v>
      </c>
      <c r="M641" s="2">
        <v>25</v>
      </c>
      <c r="N641" s="2">
        <v>1.1973457297124011</v>
      </c>
      <c r="O641" s="2">
        <v>52.233833142425816</v>
      </c>
      <c r="P641" s="2">
        <v>1369.224876340013</v>
      </c>
      <c r="Q641" s="2">
        <v>1.2081078288223452</v>
      </c>
      <c r="R641" s="2">
        <v>53.293661885486216</v>
      </c>
      <c r="S641" s="2">
        <v>1377.5391297353317</v>
      </c>
      <c r="T641" s="2">
        <v>1.076209910994419E-2</v>
      </c>
      <c r="U641" s="2">
        <v>1.0598287430604003</v>
      </c>
      <c r="V641" s="2">
        <v>8.3142533953187012</v>
      </c>
    </row>
    <row r="642" spans="1:22" ht="15">
      <c r="A642" s="2">
        <v>641</v>
      </c>
      <c r="B642" s="2" t="s">
        <v>78</v>
      </c>
      <c r="C642" s="2" t="s">
        <v>13</v>
      </c>
      <c r="D642" s="2">
        <v>1492.3484022729099</v>
      </c>
      <c r="E642" s="2">
        <v>1075.3818820579909</v>
      </c>
      <c r="F642" s="2">
        <v>676.57031361013651</v>
      </c>
      <c r="G642" s="2">
        <v>171.05568850645795</v>
      </c>
      <c r="H642" s="2">
        <v>10.545682052150369</v>
      </c>
      <c r="I642" s="2">
        <v>0.79830884407507263</v>
      </c>
      <c r="J642" s="2">
        <v>10</v>
      </c>
      <c r="K642" s="2">
        <v>186.93872845689907</v>
      </c>
      <c r="L642" s="2">
        <v>35</v>
      </c>
      <c r="M642" s="2">
        <v>25</v>
      </c>
      <c r="N642" s="2">
        <v>1.1852278267907186</v>
      </c>
      <c r="O642" s="2">
        <v>52.308161115933252</v>
      </c>
      <c r="P642" s="2">
        <v>1492.3484022729099</v>
      </c>
      <c r="Q642" s="2">
        <v>1.2025320611087165</v>
      </c>
      <c r="R642" s="2">
        <v>52.771131121097881</v>
      </c>
      <c r="S642" s="2">
        <v>1484.1452373909333</v>
      </c>
      <c r="T642" s="2">
        <v>1.730423431799788E-2</v>
      </c>
      <c r="U642" s="2">
        <v>0.46297000516462816</v>
      </c>
      <c r="V642" s="2">
        <v>-8.2031648819765906</v>
      </c>
    </row>
    <row r="643" spans="1:22" ht="15">
      <c r="A643" s="2">
        <v>642</v>
      </c>
      <c r="B643" s="2" t="s">
        <v>78</v>
      </c>
      <c r="C643" s="2" t="s">
        <v>13</v>
      </c>
      <c r="D643" s="2">
        <v>1491.8536891811527</v>
      </c>
      <c r="E643" s="2">
        <v>1238.7093014316633</v>
      </c>
      <c r="F643" s="2">
        <v>721.32905954495072</v>
      </c>
      <c r="G643" s="2">
        <v>203.29140515066683</v>
      </c>
      <c r="H643" s="2">
        <v>24.295435809064656</v>
      </c>
      <c r="I643" s="2">
        <v>0.83290229602251209</v>
      </c>
      <c r="J643" s="2">
        <v>9</v>
      </c>
      <c r="K643" s="2">
        <v>199.01676560589982</v>
      </c>
      <c r="L643" s="2">
        <v>30</v>
      </c>
      <c r="M643" s="2">
        <v>25</v>
      </c>
      <c r="N643" s="2">
        <v>1.1480193703993666</v>
      </c>
      <c r="O643" s="2">
        <v>52.312317193783393</v>
      </c>
      <c r="P643" s="2">
        <v>1491.8536891811527</v>
      </c>
      <c r="Q643" s="2">
        <v>1.1645098450015641</v>
      </c>
      <c r="R643" s="2">
        <v>53.446479894721939</v>
      </c>
      <c r="S643" s="2">
        <v>1465.0894656586963</v>
      </c>
      <c r="T643" s="2">
        <v>1.6490474602197436E-2</v>
      </c>
      <c r="U643" s="2">
        <v>1.1341627009385462</v>
      </c>
      <c r="V643" s="2">
        <v>-26.764223522456405</v>
      </c>
    </row>
    <row r="644" spans="1:22" ht="15">
      <c r="A644" s="2">
        <v>643</v>
      </c>
      <c r="B644" s="2" t="s">
        <v>78</v>
      </c>
      <c r="C644" s="2" t="s">
        <v>13</v>
      </c>
      <c r="D644" s="2">
        <v>1355.7422388112172</v>
      </c>
      <c r="E644" s="2">
        <v>1187.02556170756</v>
      </c>
      <c r="F644" s="2">
        <v>674.0279745310545</v>
      </c>
      <c r="G644" s="2">
        <v>304.20843289000914</v>
      </c>
      <c r="H644" s="2">
        <v>16.868044738657773</v>
      </c>
      <c r="I644" s="2">
        <v>0.8261521673272364</v>
      </c>
      <c r="J644" s="2">
        <v>9</v>
      </c>
      <c r="K644" s="2">
        <v>182.33690171378856</v>
      </c>
      <c r="L644" s="2">
        <v>35</v>
      </c>
      <c r="M644" s="2">
        <v>25</v>
      </c>
      <c r="N644" s="2">
        <v>1.2458152993438862</v>
      </c>
      <c r="O644" s="2">
        <v>52.312618472536379</v>
      </c>
      <c r="P644" s="2">
        <v>1355.7422388112172</v>
      </c>
      <c r="Q644" s="2">
        <v>1.2483050328628393</v>
      </c>
      <c r="R644" s="2">
        <v>52.5757059989364</v>
      </c>
      <c r="S644" s="2">
        <v>1349.8654879314013</v>
      </c>
      <c r="T644" s="2">
        <v>2.4897335189530967E-3</v>
      </c>
      <c r="U644" s="2">
        <v>0.26308752640002098</v>
      </c>
      <c r="V644" s="2">
        <v>-5.8767508798159724</v>
      </c>
    </row>
    <row r="645" spans="1:22" ht="15">
      <c r="A645" s="2">
        <v>644</v>
      </c>
      <c r="B645" s="2" t="s">
        <v>78</v>
      </c>
      <c r="C645" s="2" t="s">
        <v>13</v>
      </c>
      <c r="D645" s="2">
        <v>1490.2062549605034</v>
      </c>
      <c r="E645" s="2">
        <v>1041.7760875541717</v>
      </c>
      <c r="F645" s="2">
        <v>685.74171690270305</v>
      </c>
      <c r="G645" s="2">
        <v>189.84666307922453</v>
      </c>
      <c r="H645" s="2">
        <v>14.677346668671817</v>
      </c>
      <c r="I645" s="2">
        <v>0.84618189295753843</v>
      </c>
      <c r="J645" s="2">
        <v>9</v>
      </c>
      <c r="K645" s="2">
        <v>195.67716368246374</v>
      </c>
      <c r="L645" s="2">
        <v>40</v>
      </c>
      <c r="M645" s="2">
        <v>25</v>
      </c>
      <c r="N645" s="2">
        <v>1.2348984218070627</v>
      </c>
      <c r="O645" s="2">
        <v>52.273965054600566</v>
      </c>
      <c r="P645" s="2">
        <v>1490.2062549605034</v>
      </c>
      <c r="Q645" s="2">
        <v>1.2452793430427977</v>
      </c>
      <c r="R645" s="2">
        <v>53.298928378454924</v>
      </c>
      <c r="S645" s="2">
        <v>1487.1232076869505</v>
      </c>
      <c r="T645" s="2">
        <v>1.0380921235735086E-2</v>
      </c>
      <c r="U645" s="2">
        <v>1.0249633238543581</v>
      </c>
      <c r="V645" s="2">
        <v>-3.0830472735528929</v>
      </c>
    </row>
    <row r="646" spans="1:22" ht="15">
      <c r="A646" s="2">
        <v>645</v>
      </c>
      <c r="B646" s="2" t="s">
        <v>78</v>
      </c>
      <c r="C646" s="2" t="s">
        <v>13</v>
      </c>
      <c r="D646" s="2">
        <v>1494.525625789538</v>
      </c>
      <c r="E646" s="2">
        <v>611.60261573968455</v>
      </c>
      <c r="F646" s="2">
        <v>471.48201894015074</v>
      </c>
      <c r="G646" s="2">
        <v>300.00221471535042</v>
      </c>
      <c r="H646" s="2">
        <v>29.601013444364071</v>
      </c>
      <c r="I646" s="2">
        <v>0.84758128570625568</v>
      </c>
      <c r="J646" s="2">
        <v>9</v>
      </c>
      <c r="K646" s="2">
        <v>195.92032724877163</v>
      </c>
      <c r="L646" s="2">
        <v>50</v>
      </c>
      <c r="M646" s="2">
        <v>25</v>
      </c>
      <c r="N646" s="2">
        <v>1.1686660724695737</v>
      </c>
      <c r="O646" s="2">
        <v>52.190657816991937</v>
      </c>
      <c r="P646" s="2">
        <v>1494.525625789538</v>
      </c>
      <c r="Q646" s="2">
        <v>1.1578045142313449</v>
      </c>
      <c r="R646" s="2">
        <v>51.166965367439431</v>
      </c>
      <c r="S646" s="2">
        <v>1491.7688512666243</v>
      </c>
      <c r="T646" s="2">
        <v>-1.0861558238228763E-2</v>
      </c>
      <c r="U646" s="2">
        <v>-1.0236924495525059</v>
      </c>
      <c r="V646" s="2">
        <v>-2.7567745229137017</v>
      </c>
    </row>
    <row r="647" spans="1:22" ht="15">
      <c r="A647" s="2">
        <v>646</v>
      </c>
      <c r="B647" s="2" t="s">
        <v>78</v>
      </c>
      <c r="C647" s="2" t="s">
        <v>13</v>
      </c>
      <c r="D647" s="2">
        <v>1409.0532063622959</v>
      </c>
      <c r="E647" s="2">
        <v>1136.1650515114889</v>
      </c>
      <c r="F647" s="2">
        <v>679.73005743697286</v>
      </c>
      <c r="G647" s="2">
        <v>91.426541488617659</v>
      </c>
      <c r="H647" s="2">
        <v>14.422973437700421</v>
      </c>
      <c r="I647" s="2">
        <v>0.8506291753938422</v>
      </c>
      <c r="J647" s="2">
        <v>9</v>
      </c>
      <c r="K647" s="2">
        <v>184.0537238816201</v>
      </c>
      <c r="L647" s="2">
        <v>40</v>
      </c>
      <c r="M647" s="2">
        <v>25</v>
      </c>
      <c r="N647" s="2">
        <v>1.2274691282486292</v>
      </c>
      <c r="O647" s="2">
        <v>52.272399128344397</v>
      </c>
      <c r="P647" s="2">
        <v>1409.0532063622959</v>
      </c>
      <c r="Q647" s="2">
        <v>1.2281136416702456</v>
      </c>
      <c r="R647" s="2">
        <v>52.796489406343589</v>
      </c>
      <c r="S647" s="2">
        <v>1412.4582593812518</v>
      </c>
      <c r="T647" s="2">
        <v>6.4451342161642167E-4</v>
      </c>
      <c r="U647" s="2">
        <v>0.52409027799919272</v>
      </c>
      <c r="V647" s="2">
        <v>3.4050530189558685</v>
      </c>
    </row>
    <row r="648" spans="1:22" ht="15">
      <c r="A648" s="2">
        <v>647</v>
      </c>
      <c r="B648" s="2" t="s">
        <v>78</v>
      </c>
      <c r="C648" s="2" t="s">
        <v>13</v>
      </c>
      <c r="D648" s="2">
        <v>1496.8467681901529</v>
      </c>
      <c r="E648" s="2">
        <v>826.33827776880935</v>
      </c>
      <c r="F648" s="2">
        <v>365.53680598735809</v>
      </c>
      <c r="G648" s="2">
        <v>265.25831022998318</v>
      </c>
      <c r="H648" s="2">
        <v>21.01102492492646</v>
      </c>
      <c r="I648" s="2">
        <v>0.8137257319665514</v>
      </c>
      <c r="J648" s="2">
        <v>10</v>
      </c>
      <c r="K648" s="2">
        <v>183.94978914734401</v>
      </c>
      <c r="L648" s="2">
        <v>45</v>
      </c>
      <c r="M648" s="2">
        <v>25</v>
      </c>
      <c r="N648" s="2">
        <v>1.1885136752414664</v>
      </c>
      <c r="O648" s="2">
        <v>52.227448360508099</v>
      </c>
      <c r="P648" s="2">
        <v>1496.8467681901529</v>
      </c>
      <c r="Q648" s="2">
        <v>1.1883202522650025</v>
      </c>
      <c r="R648" s="2">
        <v>51.94781767230905</v>
      </c>
      <c r="S648" s="2">
        <v>1501.7978297090804</v>
      </c>
      <c r="T648" s="2">
        <v>-1.9342297646396389E-4</v>
      </c>
      <c r="U648" s="2">
        <v>-0.2796306881990489</v>
      </c>
      <c r="V648" s="2">
        <v>4.9510615189274176</v>
      </c>
    </row>
    <row r="649" spans="1:22" ht="15">
      <c r="A649" s="2">
        <v>648</v>
      </c>
      <c r="B649" s="2" t="s">
        <v>78</v>
      </c>
      <c r="C649" s="2" t="s">
        <v>13</v>
      </c>
      <c r="D649" s="2">
        <v>1434.6539546619169</v>
      </c>
      <c r="E649" s="2">
        <v>640.27323396876454</v>
      </c>
      <c r="F649" s="2">
        <v>447.36371701583266</v>
      </c>
      <c r="G649" s="2">
        <v>102.18310500029474</v>
      </c>
      <c r="H649" s="2">
        <v>20.484349576290697</v>
      </c>
      <c r="I649" s="2">
        <v>0.85736536123789853</v>
      </c>
      <c r="J649" s="2">
        <v>9</v>
      </c>
      <c r="K649" s="2">
        <v>185.92539676699607</v>
      </c>
      <c r="L649" s="2">
        <v>65</v>
      </c>
      <c r="M649" s="2">
        <v>25</v>
      </c>
      <c r="N649" s="2">
        <v>1.2333263699233217</v>
      </c>
      <c r="O649" s="2">
        <v>52.160522692229449</v>
      </c>
      <c r="P649" s="2">
        <v>1434.6539546619169</v>
      </c>
      <c r="Q649" s="2">
        <v>1.2184541840145444</v>
      </c>
      <c r="R649" s="2">
        <v>52.408986085878745</v>
      </c>
      <c r="S649" s="2">
        <v>1443.485117086087</v>
      </c>
      <c r="T649" s="2">
        <v>-1.4872185908777258E-2</v>
      </c>
      <c r="U649" s="2">
        <v>0.24846339364929548</v>
      </c>
      <c r="V649" s="2">
        <v>8.8311624241700883</v>
      </c>
    </row>
    <row r="650" spans="1:22" ht="15">
      <c r="A650" s="2">
        <v>649</v>
      </c>
      <c r="B650" s="2" t="s">
        <v>78</v>
      </c>
      <c r="C650" s="2" t="s">
        <v>13</v>
      </c>
      <c r="D650" s="2">
        <v>1359.4092713668942</v>
      </c>
      <c r="E650" s="2">
        <v>828.9394274703227</v>
      </c>
      <c r="F650" s="2">
        <v>383.20259768515825</v>
      </c>
      <c r="G650" s="2">
        <v>235.21192323649302</v>
      </c>
      <c r="H650" s="2">
        <v>24.327715074643493</v>
      </c>
      <c r="I650" s="2">
        <v>0.85086218842538075</v>
      </c>
      <c r="J650" s="2">
        <v>8</v>
      </c>
      <c r="K650" s="2">
        <v>199.71055387398266</v>
      </c>
      <c r="L650" s="2">
        <v>55</v>
      </c>
      <c r="M650" s="2">
        <v>25</v>
      </c>
      <c r="N650" s="2">
        <v>1.1732707298420444</v>
      </c>
      <c r="O650" s="2">
        <v>52.175603257247118</v>
      </c>
      <c r="P650" s="2">
        <v>1359.4092713668942</v>
      </c>
      <c r="Q650" s="2">
        <v>1.1738418546190033</v>
      </c>
      <c r="R650" s="2">
        <v>52.136037937659694</v>
      </c>
      <c r="S650" s="2">
        <v>1364.6207850042495</v>
      </c>
      <c r="T650" s="2">
        <v>5.7112477695886454E-4</v>
      </c>
      <c r="U650" s="2">
        <v>-3.9565319587424597E-2</v>
      </c>
      <c r="V650" s="2">
        <v>5.2115136373552104</v>
      </c>
    </row>
    <row r="651" spans="1:22" ht="15">
      <c r="A651" s="2">
        <v>650</v>
      </c>
      <c r="B651" s="2" t="s">
        <v>78</v>
      </c>
      <c r="C651" s="2" t="s">
        <v>13</v>
      </c>
      <c r="D651" s="2">
        <v>1416.8757349834777</v>
      </c>
      <c r="E651" s="2">
        <v>678.79546659532934</v>
      </c>
      <c r="F651" s="2">
        <v>459.21770641580224</v>
      </c>
      <c r="G651" s="2">
        <v>140.74934522621334</v>
      </c>
      <c r="H651" s="2">
        <v>17.933409724850208</v>
      </c>
      <c r="I651" s="2">
        <v>0.80914102811831989</v>
      </c>
      <c r="J651" s="2">
        <v>9</v>
      </c>
      <c r="K651" s="2">
        <v>194.56513975875848</v>
      </c>
      <c r="L651" s="2">
        <v>60</v>
      </c>
      <c r="M651" s="2">
        <v>25</v>
      </c>
      <c r="N651" s="2">
        <v>1.2205467133843944</v>
      </c>
      <c r="O651" s="2">
        <v>52.174391045656158</v>
      </c>
      <c r="P651" s="2">
        <v>1416.8757349834777</v>
      </c>
      <c r="Q651" s="2">
        <v>1.2106457063645113</v>
      </c>
      <c r="R651" s="2">
        <v>52.596646296410228</v>
      </c>
      <c r="S651" s="2">
        <v>1423.7763327680598</v>
      </c>
      <c r="T651" s="2">
        <v>-9.9010070198830569E-3</v>
      </c>
      <c r="U651" s="2">
        <v>0.42225525075406978</v>
      </c>
      <c r="V651" s="2">
        <v>6.9005977845820325</v>
      </c>
    </row>
    <row r="652" spans="1:22" ht="15">
      <c r="A652" s="2">
        <v>651</v>
      </c>
      <c r="B652" s="2" t="s">
        <v>78</v>
      </c>
      <c r="C652" s="2" t="s">
        <v>13</v>
      </c>
      <c r="D652" s="2">
        <v>1481.8648221669719</v>
      </c>
      <c r="E652" s="2">
        <v>723.61992398509756</v>
      </c>
      <c r="F652" s="2">
        <v>385.33260114490986</v>
      </c>
      <c r="G652" s="2">
        <v>137.71745013771579</v>
      </c>
      <c r="H652" s="2">
        <v>25.398257763125002</v>
      </c>
      <c r="I652" s="2">
        <v>0.81608028515009212</v>
      </c>
      <c r="J652" s="2">
        <v>10</v>
      </c>
      <c r="K652" s="2">
        <v>181.58321541788376</v>
      </c>
      <c r="L652" s="2">
        <v>55</v>
      </c>
      <c r="M652" s="2">
        <v>25</v>
      </c>
      <c r="N652" s="2">
        <v>1.2377160657908741</v>
      </c>
      <c r="O652" s="2">
        <v>52.19098557321513</v>
      </c>
      <c r="P652" s="2">
        <v>1481.8648221669719</v>
      </c>
      <c r="Q652" s="2">
        <v>1.2233513444764661</v>
      </c>
      <c r="R652" s="2">
        <v>52.242654187342843</v>
      </c>
      <c r="S652" s="2">
        <v>1480.5865098429285</v>
      </c>
      <c r="T652" s="2">
        <v>-1.4364721314408024E-2</v>
      </c>
      <c r="U652" s="2">
        <v>5.1668614127713397E-2</v>
      </c>
      <c r="V652" s="2">
        <v>-1.278312324043327</v>
      </c>
    </row>
    <row r="653" spans="1:22" ht="15">
      <c r="A653" s="2">
        <v>652</v>
      </c>
      <c r="B653" s="2" t="s">
        <v>78</v>
      </c>
      <c r="C653" s="2" t="s">
        <v>13</v>
      </c>
      <c r="D653" s="2">
        <v>1421.9057606882416</v>
      </c>
      <c r="E653" s="2">
        <v>910.78576198779047</v>
      </c>
      <c r="F653" s="2">
        <v>672.41040570661426</v>
      </c>
      <c r="G653" s="2">
        <v>251.86624452006072</v>
      </c>
      <c r="H653" s="2">
        <v>27.331553760450333</v>
      </c>
      <c r="I653" s="2">
        <v>0.85909830134361986</v>
      </c>
      <c r="J653" s="2">
        <v>9</v>
      </c>
      <c r="K653" s="2">
        <v>183.90157298444936</v>
      </c>
      <c r="L653" s="2">
        <v>40</v>
      </c>
      <c r="M653" s="2">
        <v>25</v>
      </c>
      <c r="N653" s="2">
        <v>1.2517313561581886</v>
      </c>
      <c r="O653" s="2">
        <v>52.261132106624537</v>
      </c>
      <c r="P653" s="2">
        <v>1421.9057606882416</v>
      </c>
      <c r="Q653" s="2">
        <v>1.2593354608322771</v>
      </c>
      <c r="R653" s="2">
        <v>52.132134357864352</v>
      </c>
      <c r="S653" s="2">
        <v>1409.0303735753978</v>
      </c>
      <c r="T653" s="2">
        <v>7.6041046740884521E-3</v>
      </c>
      <c r="U653" s="2">
        <v>-0.12899774876018455</v>
      </c>
      <c r="V653" s="2">
        <v>-12.875387112843782</v>
      </c>
    </row>
    <row r="654" spans="1:22" ht="15">
      <c r="A654" s="2">
        <v>653</v>
      </c>
      <c r="B654" s="2" t="s">
        <v>78</v>
      </c>
      <c r="C654" s="2" t="s">
        <v>13</v>
      </c>
      <c r="D654" s="2">
        <v>1445.4153121914715</v>
      </c>
      <c r="E654" s="2">
        <v>634.38805480254814</v>
      </c>
      <c r="F654" s="2">
        <v>522.53193464130163</v>
      </c>
      <c r="G654" s="2">
        <v>213.08500108541921</v>
      </c>
      <c r="H654" s="2">
        <v>18.599485654383898</v>
      </c>
      <c r="I654" s="2">
        <v>0.8410756869637408</v>
      </c>
      <c r="J654" s="2">
        <v>9</v>
      </c>
      <c r="K654" s="2">
        <v>190.94797750530097</v>
      </c>
      <c r="L654" s="2">
        <v>55</v>
      </c>
      <c r="M654" s="2">
        <v>25</v>
      </c>
      <c r="N654" s="2">
        <v>1.2084088651798868</v>
      </c>
      <c r="O654" s="2">
        <v>52.188618028148277</v>
      </c>
      <c r="P654" s="2">
        <v>1445.4153121914715</v>
      </c>
      <c r="Q654" s="2">
        <v>1.1991516056480218</v>
      </c>
      <c r="R654" s="2">
        <v>50.490637189438431</v>
      </c>
      <c r="S654" s="2">
        <v>1456.1968808955367</v>
      </c>
      <c r="T654" s="2">
        <v>-9.2572595318649586E-3</v>
      </c>
      <c r="U654" s="2">
        <v>-1.6979808387098458</v>
      </c>
      <c r="V654" s="2">
        <v>10.781568704065194</v>
      </c>
    </row>
    <row r="655" spans="1:22" ht="15">
      <c r="A655" s="2">
        <v>654</v>
      </c>
      <c r="B655" s="2" t="s">
        <v>78</v>
      </c>
      <c r="C655" s="2" t="s">
        <v>13</v>
      </c>
      <c r="D655" s="2">
        <v>1350.2671802532859</v>
      </c>
      <c r="E655" s="2">
        <v>659.02561887633055</v>
      </c>
      <c r="F655" s="2">
        <v>547.97188090160489</v>
      </c>
      <c r="G655" s="2">
        <v>104.67808313667774</v>
      </c>
      <c r="H655" s="2">
        <v>16.390806312207133</v>
      </c>
      <c r="I655" s="2">
        <v>0.82840556993614889</v>
      </c>
      <c r="J655" s="2">
        <v>9</v>
      </c>
      <c r="K655" s="2">
        <v>181.10656439257573</v>
      </c>
      <c r="L655" s="2">
        <v>60</v>
      </c>
      <c r="M655" s="2">
        <v>25</v>
      </c>
      <c r="N655" s="2">
        <v>1.2446198220470808</v>
      </c>
      <c r="O655" s="2">
        <v>52.179523015265957</v>
      </c>
      <c r="P655" s="2">
        <v>1350.2671802532859</v>
      </c>
      <c r="Q655" s="2">
        <v>1.2409970437916917</v>
      </c>
      <c r="R655" s="2">
        <v>50.763177571293916</v>
      </c>
      <c r="S655" s="2">
        <v>1368.1187241234795</v>
      </c>
      <c r="T655" s="2">
        <v>-3.6227782553890364E-3</v>
      </c>
      <c r="U655" s="2">
        <v>-1.4163454439720411</v>
      </c>
      <c r="V655" s="2">
        <v>17.851543870193609</v>
      </c>
    </row>
    <row r="656" spans="1:22" ht="15">
      <c r="A656" s="2">
        <v>655</v>
      </c>
      <c r="B656" s="2" t="s">
        <v>79</v>
      </c>
      <c r="C656" s="2" t="s">
        <v>13</v>
      </c>
      <c r="D656" s="2">
        <v>1432.1368543663993</v>
      </c>
      <c r="E656" s="2">
        <v>742.67251613782719</v>
      </c>
      <c r="F656" s="2">
        <v>395.1498456299305</v>
      </c>
      <c r="G656" s="2">
        <v>293.26521824812517</v>
      </c>
      <c r="H656" s="2">
        <v>16.485087930224836</v>
      </c>
      <c r="I656" s="2">
        <v>0.85421085012843834</v>
      </c>
      <c r="J656" s="2">
        <v>9</v>
      </c>
      <c r="K656" s="2">
        <v>186.28458901908829</v>
      </c>
      <c r="L656" s="2">
        <v>55</v>
      </c>
      <c r="M656" s="2">
        <v>25</v>
      </c>
      <c r="N656" s="2">
        <v>1.2505981727989839</v>
      </c>
      <c r="O656" s="2">
        <v>52.198142330913974</v>
      </c>
      <c r="P656" s="2">
        <v>1432.1368543663993</v>
      </c>
      <c r="Q656" s="2">
        <v>1.2475104075147831</v>
      </c>
      <c r="R656" s="2">
        <v>51.986412137162425</v>
      </c>
      <c r="S656" s="2">
        <v>1442.8410382261945</v>
      </c>
      <c r="T656" s="2">
        <v>-3.0877652842007386E-3</v>
      </c>
      <c r="U656" s="2">
        <v>-0.21173019375154922</v>
      </c>
      <c r="V656" s="2">
        <v>10.704183859795194</v>
      </c>
    </row>
    <row r="657" spans="1:22" ht="15">
      <c r="A657" s="2">
        <v>656</v>
      </c>
      <c r="B657" s="2" t="s">
        <v>79</v>
      </c>
      <c r="C657" s="2" t="s">
        <v>13</v>
      </c>
      <c r="D657" s="2">
        <v>1467.1053893747739</v>
      </c>
      <c r="E657" s="2">
        <v>745.85671331733465</v>
      </c>
      <c r="F657" s="2">
        <v>441.80228849872947</v>
      </c>
      <c r="G657" s="2">
        <v>141.68158550281078</v>
      </c>
      <c r="H657" s="2">
        <v>16.811093220021576</v>
      </c>
      <c r="I657" s="2">
        <v>0.82861311941407623</v>
      </c>
      <c r="J657" s="2">
        <v>9</v>
      </c>
      <c r="K657" s="2">
        <v>196.72837191595309</v>
      </c>
      <c r="L657" s="2">
        <v>55</v>
      </c>
      <c r="M657" s="2">
        <v>25</v>
      </c>
      <c r="N657" s="2">
        <v>1.1676443874673359</v>
      </c>
      <c r="O657" s="2">
        <v>52.182277431077694</v>
      </c>
      <c r="P657" s="2">
        <v>1467.1053893747739</v>
      </c>
      <c r="Q657" s="2">
        <v>1.1716247104952298</v>
      </c>
      <c r="R657" s="2">
        <v>51.568084256711664</v>
      </c>
      <c r="S657" s="2">
        <v>1485.2772219425062</v>
      </c>
      <c r="T657" s="2">
        <v>3.9803230278938617E-3</v>
      </c>
      <c r="U657" s="2">
        <v>-0.61419317436602938</v>
      </c>
      <c r="V657" s="2">
        <v>18.171832567732281</v>
      </c>
    </row>
    <row r="658" spans="1:22" ht="15">
      <c r="A658" s="2">
        <v>657</v>
      </c>
      <c r="B658" s="2" t="s">
        <v>79</v>
      </c>
      <c r="C658" s="2" t="s">
        <v>13</v>
      </c>
      <c r="D658" s="2">
        <v>1374.3018158711493</v>
      </c>
      <c r="E658" s="2">
        <v>883.71685644378886</v>
      </c>
      <c r="F658" s="2">
        <v>567.7946338430047</v>
      </c>
      <c r="G658" s="2">
        <v>272.07794783869758</v>
      </c>
      <c r="H658" s="2">
        <v>17.252601714804769</v>
      </c>
      <c r="I658" s="2">
        <v>0.80292718894081194</v>
      </c>
      <c r="J658" s="2">
        <v>9</v>
      </c>
      <c r="K658" s="2">
        <v>190.17938845102103</v>
      </c>
      <c r="L658" s="2">
        <v>45</v>
      </c>
      <c r="M658" s="2">
        <v>25</v>
      </c>
      <c r="N658" s="2">
        <v>1.2515198883664966</v>
      </c>
      <c r="O658" s="2">
        <v>52.243750683139716</v>
      </c>
      <c r="P658" s="2">
        <v>1374.3018158711493</v>
      </c>
      <c r="Q658" s="2">
        <v>1.2672064757845272</v>
      </c>
      <c r="R658" s="2">
        <v>52.721492355668431</v>
      </c>
      <c r="S658" s="2">
        <v>1376.0839933558264</v>
      </c>
      <c r="T658" s="2">
        <v>1.5686587418030529E-2</v>
      </c>
      <c r="U658" s="2">
        <v>0.47774167252871536</v>
      </c>
      <c r="V658" s="2">
        <v>1.7821774846770495</v>
      </c>
    </row>
    <row r="659" spans="1:22" ht="15">
      <c r="A659" s="2">
        <v>658</v>
      </c>
      <c r="B659" s="2" t="s">
        <v>80</v>
      </c>
      <c r="C659" s="2" t="s">
        <v>13</v>
      </c>
      <c r="D659" s="2">
        <v>1372.3264854052104</v>
      </c>
      <c r="E659" s="2">
        <v>940.29364970047027</v>
      </c>
      <c r="F659" s="2">
        <v>682.74575853720307</v>
      </c>
      <c r="G659" s="2">
        <v>160.09770442731678</v>
      </c>
      <c r="H659" s="2">
        <v>24.762140796054155</v>
      </c>
      <c r="I659" s="2">
        <v>0.83327924186829483</v>
      </c>
      <c r="J659" s="2">
        <v>9</v>
      </c>
      <c r="K659" s="2">
        <v>182.98874247569398</v>
      </c>
      <c r="L659" s="2">
        <v>40</v>
      </c>
      <c r="M659" s="2">
        <v>25</v>
      </c>
      <c r="N659" s="2">
        <v>1.2070981739149278</v>
      </c>
      <c r="O659" s="2">
        <v>52.253035654292283</v>
      </c>
      <c r="P659" s="2">
        <v>1372.3264854052104</v>
      </c>
      <c r="Q659" s="2">
        <v>1.2001287636006757</v>
      </c>
      <c r="R659" s="2">
        <v>52.10648344203689</v>
      </c>
      <c r="S659" s="2">
        <v>1363.9996363839437</v>
      </c>
      <c r="T659" s="2">
        <v>-6.9694103142521335E-3</v>
      </c>
      <c r="U659" s="2">
        <v>-0.1465522122553935</v>
      </c>
      <c r="V659" s="2">
        <v>-8.326849021266753</v>
      </c>
    </row>
    <row r="660" spans="1:22" ht="15">
      <c r="A660" s="2">
        <v>659</v>
      </c>
      <c r="B660" s="2" t="s">
        <v>80</v>
      </c>
      <c r="C660" s="2" t="s">
        <v>13</v>
      </c>
      <c r="D660" s="2">
        <v>1481.9105373462662</v>
      </c>
      <c r="E660" s="2">
        <v>914.54145532334223</v>
      </c>
      <c r="F660" s="2">
        <v>515.76385758817196</v>
      </c>
      <c r="G660" s="2">
        <v>192.17446316732094</v>
      </c>
      <c r="H660" s="2">
        <v>8.6442108722403646</v>
      </c>
      <c r="I660" s="2">
        <v>0.81639512684894733</v>
      </c>
      <c r="J660" s="2">
        <v>10</v>
      </c>
      <c r="K660" s="2">
        <v>181.51878773039948</v>
      </c>
      <c r="L660" s="2">
        <v>45</v>
      </c>
      <c r="M660" s="2">
        <v>25</v>
      </c>
      <c r="N660" s="2">
        <v>1.2587545317399416</v>
      </c>
      <c r="O660" s="2">
        <v>52.256094621205655</v>
      </c>
      <c r="P660" s="2">
        <v>1481.9105373462662</v>
      </c>
      <c r="Q660" s="2">
        <v>1.2545827544665331</v>
      </c>
      <c r="R660" s="2">
        <v>52.123365237468661</v>
      </c>
      <c r="S660" s="2">
        <v>1483.5434898178426</v>
      </c>
      <c r="T660" s="2">
        <v>-4.1717772734084502E-3</v>
      </c>
      <c r="U660" s="2">
        <v>-0.13272938373699361</v>
      </c>
      <c r="V660" s="2">
        <v>1.6329524715763455</v>
      </c>
    </row>
    <row r="661" spans="1:22" ht="15">
      <c r="A661" s="2">
        <v>660</v>
      </c>
      <c r="B661" s="2" t="s">
        <v>80</v>
      </c>
      <c r="C661" s="2" t="s">
        <v>13</v>
      </c>
      <c r="D661" s="2">
        <v>1396.5192606090568</v>
      </c>
      <c r="E661" s="2">
        <v>1066.5937735233456</v>
      </c>
      <c r="F661" s="2">
        <v>414.19577179476619</v>
      </c>
      <c r="G661" s="2">
        <v>305.92117020394653</v>
      </c>
      <c r="H661" s="2">
        <v>29.546863123308867</v>
      </c>
      <c r="I661" s="2">
        <v>0.8457894307561219</v>
      </c>
      <c r="J661" s="2">
        <v>9</v>
      </c>
      <c r="K661" s="2">
        <v>183.4603284125001</v>
      </c>
      <c r="L661" s="2">
        <v>40</v>
      </c>
      <c r="M661" s="2">
        <v>25</v>
      </c>
      <c r="N661" s="2">
        <v>1.2336608666267461</v>
      </c>
      <c r="O661" s="2">
        <v>52.253592868317774</v>
      </c>
      <c r="P661" s="2">
        <v>1396.5192606090568</v>
      </c>
      <c r="Q661" s="2">
        <v>1.2231121909704861</v>
      </c>
      <c r="R661" s="2">
        <v>51.958042256189444</v>
      </c>
      <c r="S661" s="2">
        <v>1382.4338020118334</v>
      </c>
      <c r="T661" s="2">
        <v>-1.0548675656260054E-2</v>
      </c>
      <c r="U661" s="2">
        <v>-0.29555061212833067</v>
      </c>
      <c r="V661" s="2">
        <v>-14.085458597223351</v>
      </c>
    </row>
    <row r="662" spans="1:22" ht="15">
      <c r="A662" s="2">
        <v>661</v>
      </c>
      <c r="B662" s="2" t="s">
        <v>78</v>
      </c>
      <c r="C662" s="2" t="s">
        <v>13</v>
      </c>
      <c r="D662" s="2">
        <v>1403.6268301773816</v>
      </c>
      <c r="E662" s="2">
        <v>751.28187573282048</v>
      </c>
      <c r="F662" s="2">
        <v>360.86052637547255</v>
      </c>
      <c r="G662" s="2">
        <v>150.05770161049441</v>
      </c>
      <c r="H662" s="2">
        <v>17.221537724137306</v>
      </c>
      <c r="I662" s="2">
        <v>0.85132561607519164</v>
      </c>
      <c r="J662" s="2">
        <v>9</v>
      </c>
      <c r="K662" s="2">
        <v>183.19493004965682</v>
      </c>
      <c r="L662" s="2">
        <v>60</v>
      </c>
      <c r="M662" s="2">
        <v>25</v>
      </c>
      <c r="N662" s="2">
        <v>1.2029853373145141</v>
      </c>
      <c r="O662" s="2">
        <v>52.171808551172354</v>
      </c>
      <c r="P662" s="2">
        <v>1403.6268301773816</v>
      </c>
      <c r="Q662" s="2">
        <v>1.2010320134087928</v>
      </c>
      <c r="R662" s="2">
        <v>52.642711895701211</v>
      </c>
      <c r="S662" s="2">
        <v>1412.0026673869015</v>
      </c>
      <c r="T662" s="2">
        <v>-1.953323905721227E-3</v>
      </c>
      <c r="U662" s="2">
        <v>0.47090334452885685</v>
      </c>
      <c r="V662" s="2">
        <v>8.3758372095198865</v>
      </c>
    </row>
    <row r="663" spans="1:22" ht="15">
      <c r="A663" s="2">
        <v>662</v>
      </c>
      <c r="B663" s="2" t="s">
        <v>78</v>
      </c>
      <c r="C663" s="2" t="s">
        <v>13</v>
      </c>
      <c r="D663" s="2">
        <v>1479.051115096081</v>
      </c>
      <c r="E663" s="2">
        <v>1218.6505010118708</v>
      </c>
      <c r="F663" s="2">
        <v>429.1636717505753</v>
      </c>
      <c r="G663" s="2">
        <v>83.217384684830904</v>
      </c>
      <c r="H663" s="2">
        <v>27.910837000701576</v>
      </c>
      <c r="I663" s="2">
        <v>0.83821118970867248</v>
      </c>
      <c r="J663" s="2">
        <v>9</v>
      </c>
      <c r="K663" s="2">
        <v>196.05919702118376</v>
      </c>
      <c r="L663" s="2">
        <v>40</v>
      </c>
      <c r="M663" s="2">
        <v>25</v>
      </c>
      <c r="N663" s="2">
        <v>1.1915995854914061</v>
      </c>
      <c r="O663" s="2">
        <v>52.244911095594965</v>
      </c>
      <c r="P663" s="2">
        <v>1479.051115096081</v>
      </c>
      <c r="Q663" s="2">
        <v>1.1932535182747777</v>
      </c>
      <c r="R663" s="2">
        <v>52.93910449899505</v>
      </c>
      <c r="S663" s="2">
        <v>1464.4811006801165</v>
      </c>
      <c r="T663" s="2">
        <v>1.6539327833715589E-3</v>
      </c>
      <c r="U663" s="2">
        <v>0.69419340340008517</v>
      </c>
      <c r="V663" s="2">
        <v>-14.570014415964579</v>
      </c>
    </row>
    <row r="664" spans="1:22" ht="15">
      <c r="A664" s="2">
        <v>663</v>
      </c>
      <c r="B664" s="2" t="s">
        <v>78</v>
      </c>
      <c r="C664" s="2" t="s">
        <v>13</v>
      </c>
      <c r="D664" s="2">
        <v>1428.2156405271962</v>
      </c>
      <c r="E664" s="2">
        <v>705.9878179919906</v>
      </c>
      <c r="F664" s="2">
        <v>612.26910799741745</v>
      </c>
      <c r="G664" s="2">
        <v>318.38536901166663</v>
      </c>
      <c r="H664" s="2">
        <v>26.952660108916461</v>
      </c>
      <c r="I664" s="2">
        <v>0.84651319410419101</v>
      </c>
      <c r="J664" s="2">
        <v>9</v>
      </c>
      <c r="K664" s="2">
        <v>187.46385505919471</v>
      </c>
      <c r="L664" s="2">
        <v>45</v>
      </c>
      <c r="M664" s="2">
        <v>25</v>
      </c>
      <c r="N664" s="2">
        <v>1.2380960307804392</v>
      </c>
      <c r="O664" s="2">
        <v>52.230193449848045</v>
      </c>
      <c r="P664" s="2">
        <v>1428.2156405271962</v>
      </c>
      <c r="Q664" s="2">
        <v>1.2317327525294151</v>
      </c>
      <c r="R664" s="2">
        <v>52.664240635894004</v>
      </c>
      <c r="S664" s="2">
        <v>1411.4552445155748</v>
      </c>
      <c r="T664" s="2">
        <v>-6.3632782510241181E-3</v>
      </c>
      <c r="U664" s="2">
        <v>0.43404718604595871</v>
      </c>
      <c r="V664" s="2">
        <v>-16.760396011621424</v>
      </c>
    </row>
    <row r="665" spans="1:22" ht="15">
      <c r="A665" s="2">
        <v>664</v>
      </c>
      <c r="B665" s="2" t="s">
        <v>78</v>
      </c>
      <c r="C665" s="2" t="s">
        <v>13</v>
      </c>
      <c r="D665" s="2">
        <v>1426.6716296668164</v>
      </c>
      <c r="E665" s="2">
        <v>945.71919878944755</v>
      </c>
      <c r="F665" s="2">
        <v>597.88257693871856</v>
      </c>
      <c r="G665" s="2">
        <v>105.50381852779537</v>
      </c>
      <c r="H665" s="2">
        <v>12.624573518987745</v>
      </c>
      <c r="I665" s="2">
        <v>0.82636878152377902</v>
      </c>
      <c r="J665" s="2">
        <v>9</v>
      </c>
      <c r="K665" s="2">
        <v>191.82606302077272</v>
      </c>
      <c r="L665" s="2">
        <v>45</v>
      </c>
      <c r="M665" s="2">
        <v>25</v>
      </c>
      <c r="N665" s="2">
        <v>1.178648809585958</v>
      </c>
      <c r="O665" s="2">
        <v>52.232136789784356</v>
      </c>
      <c r="P665" s="2">
        <v>1426.6716296668164</v>
      </c>
      <c r="Q665" s="2">
        <v>1.1949300596954826</v>
      </c>
      <c r="R665" s="2">
        <v>51.854666558018756</v>
      </c>
      <c r="S665" s="2">
        <v>1431.9766892583852</v>
      </c>
      <c r="T665" s="2">
        <v>1.6281250109524636E-2</v>
      </c>
      <c r="U665" s="2">
        <v>-0.37747023176559935</v>
      </c>
      <c r="V665" s="2">
        <v>5.3050595915688064</v>
      </c>
    </row>
    <row r="666" spans="1:22" ht="15">
      <c r="A666" s="2">
        <v>665</v>
      </c>
      <c r="B666" s="2" t="s">
        <v>78</v>
      </c>
      <c r="C666" s="2" t="s">
        <v>13</v>
      </c>
      <c r="D666" s="2">
        <v>1402.282440662384</v>
      </c>
      <c r="E666" s="2">
        <v>1098.1329197413288</v>
      </c>
      <c r="F666" s="2">
        <v>689.49330318719149</v>
      </c>
      <c r="G666" s="2">
        <v>320.57178065413609</v>
      </c>
      <c r="H666" s="2">
        <v>12.594508079811931</v>
      </c>
      <c r="I666" s="2">
        <v>0.84331150477053596</v>
      </c>
      <c r="J666" s="2">
        <v>9</v>
      </c>
      <c r="K666" s="2">
        <v>184.75872698546155</v>
      </c>
      <c r="L666" s="2">
        <v>35</v>
      </c>
      <c r="M666" s="2">
        <v>25</v>
      </c>
      <c r="N666" s="2">
        <v>1.1895567053737071</v>
      </c>
      <c r="O666" s="2">
        <v>52.303720773708626</v>
      </c>
      <c r="P666" s="2">
        <v>1402.282440662384</v>
      </c>
      <c r="Q666" s="2">
        <v>1.2109107660717298</v>
      </c>
      <c r="R666" s="2">
        <v>52.864593398849365</v>
      </c>
      <c r="S666" s="2">
        <v>1389.6882143699315</v>
      </c>
      <c r="T666" s="2">
        <v>2.1354060698022703E-2</v>
      </c>
      <c r="U666" s="2">
        <v>0.56087262514073899</v>
      </c>
      <c r="V666" s="2">
        <v>-12.594226292452504</v>
      </c>
    </row>
    <row r="667" spans="1:22" ht="15">
      <c r="A667" s="2">
        <v>666</v>
      </c>
      <c r="B667" s="2" t="s">
        <v>78</v>
      </c>
      <c r="C667" s="2" t="s">
        <v>13</v>
      </c>
      <c r="D667" s="2">
        <v>1498.760273179505</v>
      </c>
      <c r="E667" s="2">
        <v>726.2053499231115</v>
      </c>
      <c r="F667" s="2">
        <v>696.78458431735635</v>
      </c>
      <c r="G667" s="2">
        <v>145.39877294562757</v>
      </c>
      <c r="H667" s="2">
        <v>25.736779626924545</v>
      </c>
      <c r="I667" s="2">
        <v>0.7909609153913334</v>
      </c>
      <c r="J667" s="2">
        <v>10</v>
      </c>
      <c r="K667" s="2">
        <v>189.48600923447435</v>
      </c>
      <c r="L667" s="2">
        <v>40</v>
      </c>
      <c r="M667" s="2">
        <v>25</v>
      </c>
      <c r="N667" s="2">
        <v>1.1743414448973788</v>
      </c>
      <c r="O667" s="2">
        <v>52.246723343519982</v>
      </c>
      <c r="P667" s="2">
        <v>1498.760273179505</v>
      </c>
      <c r="Q667" s="2">
        <v>1.1749208248271217</v>
      </c>
      <c r="R667" s="2">
        <v>52.722636993114726</v>
      </c>
      <c r="S667" s="2">
        <v>1484.2791465179384</v>
      </c>
      <c r="T667" s="2">
        <v>5.7937992974288477E-4</v>
      </c>
      <c r="U667" s="2">
        <v>0.47591364959474447</v>
      </c>
      <c r="V667" s="2">
        <v>-14.481126661566577</v>
      </c>
    </row>
    <row r="668" spans="1:22" ht="15">
      <c r="A668" s="2">
        <v>667</v>
      </c>
      <c r="B668" s="2" t="s">
        <v>78</v>
      </c>
      <c r="C668" s="2" t="s">
        <v>13</v>
      </c>
      <c r="D668" s="2">
        <v>1472.4869549972937</v>
      </c>
      <c r="E668" s="2">
        <v>964.76728661218658</v>
      </c>
      <c r="F668" s="2">
        <v>393.81066597998142</v>
      </c>
      <c r="G668" s="2">
        <v>107.01094857184216</v>
      </c>
      <c r="H668" s="2">
        <v>26.320591413415968</v>
      </c>
      <c r="I668" s="2">
        <v>0.81423244605539369</v>
      </c>
      <c r="J668" s="2">
        <v>10</v>
      </c>
      <c r="K668" s="2">
        <v>180.8435615813224</v>
      </c>
      <c r="L668" s="2">
        <v>45</v>
      </c>
      <c r="M668" s="2">
        <v>25</v>
      </c>
      <c r="N668" s="2">
        <v>1.217380699788551</v>
      </c>
      <c r="O668" s="2">
        <v>52.228913277126665</v>
      </c>
      <c r="P668" s="2">
        <v>1472.4869549972937</v>
      </c>
      <c r="Q668" s="2">
        <v>1.2167798211088776</v>
      </c>
      <c r="R668" s="2">
        <v>51.332128104606021</v>
      </c>
      <c r="S668" s="2">
        <v>1470.7571151336574</v>
      </c>
      <c r="T668" s="2">
        <v>-6.0087867967340003E-4</v>
      </c>
      <c r="U668" s="2">
        <v>-0.89678517252064438</v>
      </c>
      <c r="V668" s="2">
        <v>-1.7298398636362435</v>
      </c>
    </row>
    <row r="669" spans="1:22" ht="15">
      <c r="A669" s="2">
        <v>668</v>
      </c>
      <c r="B669" s="2" t="s">
        <v>78</v>
      </c>
      <c r="C669" s="2" t="s">
        <v>13</v>
      </c>
      <c r="D669" s="2">
        <v>1378.3918284229003</v>
      </c>
      <c r="E669" s="2">
        <v>1005.6685707997531</v>
      </c>
      <c r="F669" s="2">
        <v>523.07977927848697</v>
      </c>
      <c r="G669" s="2">
        <v>151.26919541042298</v>
      </c>
      <c r="H669" s="2">
        <v>22.65266242204234</v>
      </c>
      <c r="I669" s="2">
        <v>0.79035491727292539</v>
      </c>
      <c r="J669" s="2">
        <v>9</v>
      </c>
      <c r="K669" s="2">
        <v>193.77958465925141</v>
      </c>
      <c r="L669" s="2">
        <v>45</v>
      </c>
      <c r="M669" s="2">
        <v>25</v>
      </c>
      <c r="N669" s="2">
        <v>1.2475872514571651</v>
      </c>
      <c r="O669" s="2">
        <v>52.236956735780311</v>
      </c>
      <c r="P669" s="2">
        <v>1378.3918284229003</v>
      </c>
      <c r="Q669" s="2">
        <v>1.2532961577314981</v>
      </c>
      <c r="R669" s="2">
        <v>53.214040860348078</v>
      </c>
      <c r="S669" s="2">
        <v>1374.1648239664084</v>
      </c>
      <c r="T669" s="2">
        <v>5.7089062743329588E-3</v>
      </c>
      <c r="U669" s="2">
        <v>0.97708412456776728</v>
      </c>
      <c r="V669" s="2">
        <v>-4.2270044564918408</v>
      </c>
    </row>
    <row r="670" spans="1:22" ht="15">
      <c r="A670" s="2">
        <v>669</v>
      </c>
      <c r="B670" s="2" t="s">
        <v>78</v>
      </c>
      <c r="C670" s="2" t="s">
        <v>13</v>
      </c>
      <c r="D670" s="2">
        <v>1378.3237501513213</v>
      </c>
      <c r="E670" s="2">
        <v>711.06690400047228</v>
      </c>
      <c r="F670" s="2">
        <v>437.2772729024291</v>
      </c>
      <c r="G670" s="2">
        <v>140.69069058867171</v>
      </c>
      <c r="H670" s="2">
        <v>28.307680975645781</v>
      </c>
      <c r="I670" s="2">
        <v>0.859584716076497</v>
      </c>
      <c r="J670" s="2">
        <v>9</v>
      </c>
      <c r="K670" s="2">
        <v>178.16403722157131</v>
      </c>
      <c r="L670" s="2">
        <v>55</v>
      </c>
      <c r="M670" s="2">
        <v>25</v>
      </c>
      <c r="N670" s="2">
        <v>1.1789303200908308</v>
      </c>
      <c r="O670" s="2">
        <v>52.175992761713616</v>
      </c>
      <c r="P670" s="2">
        <v>1378.3237501513213</v>
      </c>
      <c r="Q670" s="2">
        <v>1.1586545766263847</v>
      </c>
      <c r="R670" s="2">
        <v>51.322864644380111</v>
      </c>
      <c r="S670" s="2">
        <v>1369.1839987105971</v>
      </c>
      <c r="T670" s="2">
        <v>-2.027574346444605E-2</v>
      </c>
      <c r="U670" s="2">
        <v>-0.85312811733350458</v>
      </c>
      <c r="V670" s="2">
        <v>-9.1397514407242397</v>
      </c>
    </row>
    <row r="671" spans="1:22" ht="15">
      <c r="A671" s="2">
        <v>670</v>
      </c>
      <c r="B671" s="2" t="s">
        <v>78</v>
      </c>
      <c r="C671" s="2" t="s">
        <v>13</v>
      </c>
      <c r="D671" s="2">
        <v>1401.0396048543043</v>
      </c>
      <c r="E671" s="2">
        <v>745.94799641054124</v>
      </c>
      <c r="F671" s="2">
        <v>745.18119292333722</v>
      </c>
      <c r="G671" s="2">
        <v>248.48619189113379</v>
      </c>
      <c r="H671" s="2">
        <v>11.306563275400549</v>
      </c>
      <c r="I671" s="2">
        <v>0.82954835023265339</v>
      </c>
      <c r="J671" s="2">
        <v>9</v>
      </c>
      <c r="K671" s="2">
        <v>187.65761774147902</v>
      </c>
      <c r="L671" s="2">
        <v>45</v>
      </c>
      <c r="M671" s="2">
        <v>25</v>
      </c>
      <c r="N671" s="2">
        <v>1.2334905900325834</v>
      </c>
      <c r="O671" s="2">
        <v>52.246249528317513</v>
      </c>
      <c r="P671" s="2">
        <v>1401.0396048543043</v>
      </c>
      <c r="Q671" s="2">
        <v>1.2460253597495192</v>
      </c>
      <c r="R671" s="2">
        <v>51.132574639716658</v>
      </c>
      <c r="S671" s="2">
        <v>1407.4240489008657</v>
      </c>
      <c r="T671" s="2">
        <v>1.253476971693579E-2</v>
      </c>
      <c r="U671" s="2">
        <v>-1.1136748886008547</v>
      </c>
      <c r="V671" s="2">
        <v>6.3844440465613843</v>
      </c>
    </row>
    <row r="672" spans="1:22" ht="15">
      <c r="A672" s="2">
        <v>671</v>
      </c>
      <c r="B672" s="2" t="s">
        <v>78</v>
      </c>
      <c r="C672" s="2" t="s">
        <v>13</v>
      </c>
      <c r="D672" s="2">
        <v>1421.9040151918307</v>
      </c>
      <c r="E672" s="2">
        <v>670.6219709594734</v>
      </c>
      <c r="F672" s="2">
        <v>559.01876911520958</v>
      </c>
      <c r="G672" s="2">
        <v>243.18042710190639</v>
      </c>
      <c r="H672" s="2">
        <v>26.430613867007196</v>
      </c>
      <c r="I672" s="2">
        <v>0.8369015131308698</v>
      </c>
      <c r="J672" s="2">
        <v>9</v>
      </c>
      <c r="K672" s="2">
        <v>188.77888561853882</v>
      </c>
      <c r="L672" s="2">
        <v>50</v>
      </c>
      <c r="M672" s="2">
        <v>25</v>
      </c>
      <c r="N672" s="2">
        <v>1.2233047660882004</v>
      </c>
      <c r="O672" s="2">
        <v>52.204649640492015</v>
      </c>
      <c r="P672" s="2">
        <v>1421.9040151918307</v>
      </c>
      <c r="Q672" s="2">
        <v>1.226018492097503</v>
      </c>
      <c r="R672" s="2">
        <v>51.885118973716743</v>
      </c>
      <c r="S672" s="2">
        <v>1414.1754482238102</v>
      </c>
      <c r="T672" s="2">
        <v>2.7137260093026416E-3</v>
      </c>
      <c r="U672" s="2">
        <v>-0.31953066677527175</v>
      </c>
      <c r="V672" s="2">
        <v>-7.7285669680204592</v>
      </c>
    </row>
    <row r="673" spans="1:22" ht="15">
      <c r="A673" s="2">
        <v>672</v>
      </c>
      <c r="B673" s="2" t="s">
        <v>78</v>
      </c>
      <c r="C673" s="2" t="s">
        <v>13</v>
      </c>
      <c r="D673" s="2">
        <v>1434.3673659372143</v>
      </c>
      <c r="E673" s="2">
        <v>1142.5196297466755</v>
      </c>
      <c r="F673" s="2">
        <v>620.86047222837806</v>
      </c>
      <c r="G673" s="2">
        <v>156.22695632744581</v>
      </c>
      <c r="H673" s="2">
        <v>28.547818274702877</v>
      </c>
      <c r="I673" s="2">
        <v>0.84856834839098161</v>
      </c>
      <c r="J673" s="2">
        <v>9</v>
      </c>
      <c r="K673" s="2">
        <v>187.81533870901492</v>
      </c>
      <c r="L673" s="2">
        <v>35</v>
      </c>
      <c r="M673" s="2">
        <v>25</v>
      </c>
      <c r="N673" s="2">
        <v>1.183975610397408</v>
      </c>
      <c r="O673" s="2">
        <v>52.274314730565813</v>
      </c>
      <c r="P673" s="2">
        <v>1434.3673659372143</v>
      </c>
      <c r="Q673" s="2">
        <v>1.1933982250376218</v>
      </c>
      <c r="R673" s="2">
        <v>51.946486056385773</v>
      </c>
      <c r="S673" s="2">
        <v>1405.3861568007553</v>
      </c>
      <c r="T673" s="2">
        <v>9.4226146402138777E-3</v>
      </c>
      <c r="U673" s="2">
        <v>-0.32782867418004003</v>
      </c>
      <c r="V673" s="2">
        <v>-28.981209136459029</v>
      </c>
    </row>
    <row r="674" spans="1:22" ht="15">
      <c r="A674" s="2">
        <v>673</v>
      </c>
      <c r="B674" s="2" t="s">
        <v>78</v>
      </c>
      <c r="C674" s="2" t="s">
        <v>13</v>
      </c>
      <c r="D674" s="2">
        <v>1395.8115301094949</v>
      </c>
      <c r="E674" s="2">
        <v>697.7847128524445</v>
      </c>
      <c r="F674" s="2">
        <v>382.37224463373423</v>
      </c>
      <c r="G674" s="2">
        <v>145.5788472504355</v>
      </c>
      <c r="H674" s="2">
        <v>24.696814144030213</v>
      </c>
      <c r="I674" s="2">
        <v>0.85922550502466044</v>
      </c>
      <c r="J674" s="2">
        <v>9</v>
      </c>
      <c r="K674" s="2">
        <v>180.4999608428929</v>
      </c>
      <c r="L674" s="2">
        <v>60</v>
      </c>
      <c r="M674" s="2">
        <v>25</v>
      </c>
      <c r="N674" s="2">
        <v>1.197038834957181</v>
      </c>
      <c r="O674" s="2">
        <v>52.166122855353557</v>
      </c>
      <c r="P674" s="2">
        <v>1395.8115301094949</v>
      </c>
      <c r="Q674" s="2">
        <v>1.1851575480547185</v>
      </c>
      <c r="R674" s="2">
        <v>52.11392188981872</v>
      </c>
      <c r="S674" s="2">
        <v>1399.9004990924236</v>
      </c>
      <c r="T674" s="2">
        <v>-1.1881286902462485E-2</v>
      </c>
      <c r="U674" s="2">
        <v>-5.2200965534836996E-2</v>
      </c>
      <c r="V674" s="2">
        <v>4.0889689829286908</v>
      </c>
    </row>
    <row r="675" spans="1:22" ht="15">
      <c r="A675" s="2">
        <v>674</v>
      </c>
      <c r="B675" s="2" t="s">
        <v>78</v>
      </c>
      <c r="C675" s="2" t="s">
        <v>13</v>
      </c>
      <c r="D675" s="2">
        <v>1467.5511331879534</v>
      </c>
      <c r="E675" s="2">
        <v>969.97945413459092</v>
      </c>
      <c r="F675" s="2">
        <v>537.28465372696519</v>
      </c>
      <c r="G675" s="2">
        <v>131.67004116810858</v>
      </c>
      <c r="H675" s="2">
        <v>19.817725845146924</v>
      </c>
      <c r="I675" s="2">
        <v>0.79415510004851975</v>
      </c>
      <c r="J675" s="2">
        <v>10</v>
      </c>
      <c r="K675" s="2">
        <v>184.79401984553041</v>
      </c>
      <c r="L675" s="2">
        <v>40</v>
      </c>
      <c r="M675" s="2">
        <v>25</v>
      </c>
      <c r="N675" s="2">
        <v>1.1937599830438954</v>
      </c>
      <c r="O675" s="2">
        <v>52.258945341319389</v>
      </c>
      <c r="P675" s="2">
        <v>1467.5511331879534</v>
      </c>
      <c r="Q675" s="2">
        <v>1.1828793633639758</v>
      </c>
      <c r="R675" s="2">
        <v>52.913951931250416</v>
      </c>
      <c r="S675" s="2">
        <v>1460.7475309609763</v>
      </c>
      <c r="T675" s="2">
        <v>-1.0880619679919601E-2</v>
      </c>
      <c r="U675" s="2">
        <v>0.65500658993102689</v>
      </c>
      <c r="V675" s="2">
        <v>-6.803602226977091</v>
      </c>
    </row>
    <row r="676" spans="1:22" ht="15">
      <c r="A676" s="2">
        <v>675</v>
      </c>
      <c r="B676" s="2" t="s">
        <v>79</v>
      </c>
      <c r="C676" s="2" t="s">
        <v>13</v>
      </c>
      <c r="D676" s="2">
        <v>1455.916367447935</v>
      </c>
      <c r="E676" s="2">
        <v>933.39137003058568</v>
      </c>
      <c r="F676" s="2">
        <v>518.39651875197887</v>
      </c>
      <c r="G676" s="2">
        <v>273.62676673335955</v>
      </c>
      <c r="H676" s="2">
        <v>21.456417788751423</v>
      </c>
      <c r="I676" s="2">
        <v>0.85049691729946064</v>
      </c>
      <c r="J676" s="2">
        <v>9</v>
      </c>
      <c r="K676" s="2">
        <v>190.2046697425406</v>
      </c>
      <c r="L676" s="2">
        <v>40</v>
      </c>
      <c r="M676" s="2">
        <v>25</v>
      </c>
      <c r="N676" s="2">
        <v>1.1550551919397813</v>
      </c>
      <c r="O676" s="2">
        <v>52.244035280161313</v>
      </c>
      <c r="P676" s="2">
        <v>1455.916367447935</v>
      </c>
      <c r="Q676" s="2">
        <v>1.1460035415411234</v>
      </c>
      <c r="R676" s="2">
        <v>53.288419490293833</v>
      </c>
      <c r="S676" s="2">
        <v>1441.1845198298745</v>
      </c>
      <c r="T676" s="2">
        <v>-9.0516503986579622E-3</v>
      </c>
      <c r="U676" s="2">
        <v>1.0443842101325203</v>
      </c>
      <c r="V676" s="2">
        <v>-14.731847618060556</v>
      </c>
    </row>
    <row r="677" spans="1:22" ht="15">
      <c r="A677" s="2">
        <v>676</v>
      </c>
      <c r="B677" s="2" t="s">
        <v>79</v>
      </c>
      <c r="C677" s="2" t="s">
        <v>13</v>
      </c>
      <c r="D677" s="2">
        <v>1386.2966384156607</v>
      </c>
      <c r="E677" s="2">
        <v>1239.0324354637414</v>
      </c>
      <c r="F677" s="2">
        <v>514.97505633160472</v>
      </c>
      <c r="G677" s="2">
        <v>80.042220926843584</v>
      </c>
      <c r="H677" s="2">
        <v>15.638861782383174</v>
      </c>
      <c r="I677" s="2">
        <v>0.80782396240159871</v>
      </c>
      <c r="J677" s="2">
        <v>9</v>
      </c>
      <c r="K677" s="2">
        <v>190.67639361183856</v>
      </c>
      <c r="L677" s="2">
        <v>40</v>
      </c>
      <c r="M677" s="2">
        <v>25</v>
      </c>
      <c r="N677" s="2">
        <v>1.1898637082788475</v>
      </c>
      <c r="O677" s="2">
        <v>52.260974201456207</v>
      </c>
      <c r="P677" s="2">
        <v>1386.2966384156607</v>
      </c>
      <c r="Q677" s="2">
        <v>1.2103489778712897</v>
      </c>
      <c r="R677" s="2">
        <v>53.062873381837889</v>
      </c>
      <c r="S677" s="2">
        <v>1388.2452606287875</v>
      </c>
      <c r="T677" s="2">
        <v>2.0485269592442235E-2</v>
      </c>
      <c r="U677" s="2">
        <v>0.80189918038168173</v>
      </c>
      <c r="V677" s="2">
        <v>1.9486222131267823</v>
      </c>
    </row>
    <row r="678" spans="1:22" ht="15">
      <c r="A678" s="2">
        <v>677</v>
      </c>
      <c r="B678" s="2" t="s">
        <v>79</v>
      </c>
      <c r="C678" s="2" t="s">
        <v>13</v>
      </c>
      <c r="D678" s="2">
        <v>1454.8872938845307</v>
      </c>
      <c r="E678" s="2">
        <v>635.80782542703673</v>
      </c>
      <c r="F678" s="2">
        <v>426.34653579443693</v>
      </c>
      <c r="G678" s="2">
        <v>87.450265169609338</v>
      </c>
      <c r="H678" s="2">
        <v>26.625062473118305</v>
      </c>
      <c r="I678" s="2">
        <v>0.83870269933948294</v>
      </c>
      <c r="J678" s="2">
        <v>9</v>
      </c>
      <c r="K678" s="2">
        <v>192.7430827303381</v>
      </c>
      <c r="L678" s="2">
        <v>65</v>
      </c>
      <c r="M678" s="2">
        <v>25</v>
      </c>
      <c r="N678" s="2">
        <v>1.2144036851742397</v>
      </c>
      <c r="O678" s="2">
        <v>52.154252101370027</v>
      </c>
      <c r="P678" s="2">
        <v>1454.8872938845307</v>
      </c>
      <c r="Q678" s="2">
        <v>1.1920413182405649</v>
      </c>
      <c r="R678" s="2">
        <v>52.384286639446508</v>
      </c>
      <c r="S678" s="2">
        <v>1463.7192546875945</v>
      </c>
      <c r="T678" s="2">
        <v>-2.2362366933674771E-2</v>
      </c>
      <c r="U678" s="2">
        <v>0.230034538076481</v>
      </c>
      <c r="V678" s="2">
        <v>8.8319608030637937</v>
      </c>
    </row>
    <row r="679" spans="1:22" ht="15">
      <c r="A679" s="2">
        <v>678</v>
      </c>
      <c r="B679" s="2" t="s">
        <v>80</v>
      </c>
      <c r="C679" s="2" t="s">
        <v>13</v>
      </c>
      <c r="D679" s="2">
        <v>1464.5521800150163</v>
      </c>
      <c r="E679" s="2">
        <v>1045.681994385086</v>
      </c>
      <c r="F679" s="2">
        <v>396.24493392184377</v>
      </c>
      <c r="G679" s="2">
        <v>294.41465383395553</v>
      </c>
      <c r="H679" s="2">
        <v>17.740716306958348</v>
      </c>
      <c r="I679" s="2">
        <v>0.79319561214651912</v>
      </c>
      <c r="J679" s="2">
        <v>10</v>
      </c>
      <c r="K679" s="2">
        <v>184.63947071664893</v>
      </c>
      <c r="L679" s="2">
        <v>40</v>
      </c>
      <c r="M679" s="2">
        <v>25</v>
      </c>
      <c r="N679" s="2">
        <v>1.2490338426904442</v>
      </c>
      <c r="O679" s="2">
        <v>52.275821179105904</v>
      </c>
      <c r="P679" s="2">
        <v>1464.5521800150163</v>
      </c>
      <c r="Q679" s="2">
        <v>1.2528246867588086</v>
      </c>
      <c r="R679" s="2">
        <v>52.537850000385511</v>
      </c>
      <c r="S679" s="2">
        <v>1466.8927584776018</v>
      </c>
      <c r="T679" s="2">
        <v>3.7908440683644962E-3</v>
      </c>
      <c r="U679" s="2">
        <v>0.26202882127960692</v>
      </c>
      <c r="V679" s="2">
        <v>2.3405784625854267</v>
      </c>
    </row>
    <row r="680" spans="1:22" ht="15">
      <c r="A680" s="2">
        <v>679</v>
      </c>
      <c r="B680" s="2" t="s">
        <v>80</v>
      </c>
      <c r="C680" s="2" t="s">
        <v>13</v>
      </c>
      <c r="D680" s="2">
        <v>1450.9231354342774</v>
      </c>
      <c r="E680" s="2">
        <v>892.14872458251193</v>
      </c>
      <c r="F680" s="2">
        <v>724.91070032119751</v>
      </c>
      <c r="G680" s="2">
        <v>284.92458151420578</v>
      </c>
      <c r="H680" s="2">
        <v>21.029449540190399</v>
      </c>
      <c r="I680" s="2">
        <v>0.81446621171897282</v>
      </c>
      <c r="J680" s="2">
        <v>9</v>
      </c>
      <c r="K680" s="2">
        <v>197.93783878973929</v>
      </c>
      <c r="L680" s="2">
        <v>40</v>
      </c>
      <c r="M680" s="2">
        <v>25</v>
      </c>
      <c r="N680" s="2">
        <v>1.2595252322009782</v>
      </c>
      <c r="O680" s="2">
        <v>52.271566856200707</v>
      </c>
      <c r="P680" s="2">
        <v>1450.9231354342774</v>
      </c>
      <c r="Q680" s="2">
        <v>1.2656335695618246</v>
      </c>
      <c r="R680" s="2">
        <v>52.762733502348894</v>
      </c>
      <c r="S680" s="2">
        <v>1448.9213482789912</v>
      </c>
      <c r="T680" s="2">
        <v>6.108337360846372E-3</v>
      </c>
      <c r="U680" s="2">
        <v>0.49116664614818717</v>
      </c>
      <c r="V680" s="2">
        <v>-2.0017871552861379</v>
      </c>
    </row>
    <row r="681" spans="1:22" ht="15">
      <c r="A681" s="2">
        <v>680</v>
      </c>
      <c r="B681" s="2" t="s">
        <v>80</v>
      </c>
      <c r="C681" s="2" t="s">
        <v>13</v>
      </c>
      <c r="D681" s="2">
        <v>1355.2349985460751</v>
      </c>
      <c r="E681" s="2">
        <v>692.58210668340325</v>
      </c>
      <c r="F681" s="2">
        <v>432.81315332278609</v>
      </c>
      <c r="G681" s="2">
        <v>241.53862478677183</v>
      </c>
      <c r="H681" s="2">
        <v>20.182737124618143</v>
      </c>
      <c r="I681" s="2">
        <v>0.85270043314434596</v>
      </c>
      <c r="J681" s="2">
        <v>8</v>
      </c>
      <c r="K681" s="2">
        <v>198.66809987838067</v>
      </c>
      <c r="L681" s="2">
        <v>60</v>
      </c>
      <c r="M681" s="2">
        <v>25</v>
      </c>
      <c r="N681" s="2">
        <v>1.1802487587031119</v>
      </c>
      <c r="O681" s="2">
        <v>52.164457036432303</v>
      </c>
      <c r="P681" s="2">
        <v>1355.2349985460751</v>
      </c>
      <c r="Q681" s="2">
        <v>1.1695755782956436</v>
      </c>
      <c r="R681" s="2">
        <v>52.492177784577507</v>
      </c>
      <c r="S681" s="2">
        <v>1355.7532099572848</v>
      </c>
      <c r="T681" s="2">
        <v>-1.067318040746823E-2</v>
      </c>
      <c r="U681" s="2">
        <v>0.3277207481452038</v>
      </c>
      <c r="V681" s="2">
        <v>0.51821141120967695</v>
      </c>
    </row>
    <row r="682" spans="1:22" ht="15">
      <c r="A682" s="2">
        <v>681</v>
      </c>
      <c r="B682" s="2" t="s">
        <v>78</v>
      </c>
      <c r="C682" s="2" t="s">
        <v>13</v>
      </c>
      <c r="D682" s="2">
        <v>1496.799541823566</v>
      </c>
      <c r="E682" s="2">
        <v>785.31095724320039</v>
      </c>
      <c r="F682" s="2">
        <v>734.33810491114855</v>
      </c>
      <c r="G682" s="2">
        <v>129.06526167178527</v>
      </c>
      <c r="H682" s="2">
        <v>22.405707499012351</v>
      </c>
      <c r="I682" s="2">
        <v>0.81376273752423012</v>
      </c>
      <c r="J682" s="2">
        <v>10</v>
      </c>
      <c r="K682" s="2">
        <v>183.93562064261982</v>
      </c>
      <c r="L682" s="2">
        <v>40</v>
      </c>
      <c r="M682" s="2">
        <v>25</v>
      </c>
      <c r="N682" s="2">
        <v>1.2126465038496292</v>
      </c>
      <c r="O682" s="2">
        <v>52.260639756602885</v>
      </c>
      <c r="P682" s="2">
        <v>1496.799541823566</v>
      </c>
      <c r="Q682" s="2">
        <v>1.2149035206627499</v>
      </c>
      <c r="R682" s="2">
        <v>52.630370628171363</v>
      </c>
      <c r="S682" s="2">
        <v>1495.6936782213279</v>
      </c>
      <c r="T682" s="2">
        <v>2.257016813120627E-3</v>
      </c>
      <c r="U682" s="2">
        <v>0.36973087156847839</v>
      </c>
      <c r="V682" s="2">
        <v>-1.1058636022380597</v>
      </c>
    </row>
    <row r="683" spans="1:22" ht="15">
      <c r="A683" s="2">
        <v>682</v>
      </c>
      <c r="B683" s="2" t="s">
        <v>78</v>
      </c>
      <c r="C683" s="2" t="s">
        <v>13</v>
      </c>
      <c r="D683" s="2">
        <v>1444.4670212105848</v>
      </c>
      <c r="E683" s="2">
        <v>616.85989315155894</v>
      </c>
      <c r="F683" s="2">
        <v>422.05678829923272</v>
      </c>
      <c r="G683" s="2">
        <v>92.481855927035213</v>
      </c>
      <c r="H683" s="2">
        <v>22.982346851844341</v>
      </c>
      <c r="I683" s="2">
        <v>0.79027701419312513</v>
      </c>
      <c r="J683" s="2">
        <v>10</v>
      </c>
      <c r="K683" s="2">
        <v>182.77983482606911</v>
      </c>
      <c r="L683" s="2">
        <v>60</v>
      </c>
      <c r="M683" s="2">
        <v>25</v>
      </c>
      <c r="N683" s="2">
        <v>1.2109838213848427</v>
      </c>
      <c r="O683" s="2">
        <v>52.171014796600701</v>
      </c>
      <c r="P683" s="2">
        <v>1444.4670212105848</v>
      </c>
      <c r="Q683" s="2">
        <v>1.1925667556989465</v>
      </c>
      <c r="R683" s="2">
        <v>50.887510918785331</v>
      </c>
      <c r="S683" s="2">
        <v>1451.7943436354426</v>
      </c>
      <c r="T683" s="2">
        <v>-1.8417065685896183E-2</v>
      </c>
      <c r="U683" s="2">
        <v>-1.2835038778153702</v>
      </c>
      <c r="V683" s="2">
        <v>7.3273224248578117</v>
      </c>
    </row>
    <row r="684" spans="1:22" ht="15">
      <c r="A684" s="2">
        <v>683</v>
      </c>
      <c r="B684" s="2" t="s">
        <v>78</v>
      </c>
      <c r="C684" s="2" t="s">
        <v>13</v>
      </c>
      <c r="D684" s="2">
        <v>1443.5756324557588</v>
      </c>
      <c r="E684" s="2">
        <v>881.7690102965571</v>
      </c>
      <c r="F684" s="2">
        <v>544.03572864830494</v>
      </c>
      <c r="G684" s="2">
        <v>214.78469307301566</v>
      </c>
      <c r="H684" s="2">
        <v>12.422383205033839</v>
      </c>
      <c r="I684" s="2">
        <v>0.84281135475961499</v>
      </c>
      <c r="J684" s="2">
        <v>9</v>
      </c>
      <c r="K684" s="2">
        <v>190.3122111363017</v>
      </c>
      <c r="L684" s="2">
        <v>45</v>
      </c>
      <c r="M684" s="2">
        <v>25</v>
      </c>
      <c r="N684" s="2">
        <v>1.1718937361528372</v>
      </c>
      <c r="O684" s="2">
        <v>52.230808907187381</v>
      </c>
      <c r="P684" s="2">
        <v>1443.5756324557588</v>
      </c>
      <c r="Q684" s="2">
        <v>1.1824193700320187</v>
      </c>
      <c r="R684" s="2">
        <v>53.086599974283743</v>
      </c>
      <c r="S684" s="2">
        <v>1445.1488001331215</v>
      </c>
      <c r="T684" s="2">
        <v>1.0525633879181484E-2</v>
      </c>
      <c r="U684" s="2">
        <v>0.85579106709636221</v>
      </c>
      <c r="V684" s="2">
        <v>1.5731676773627896</v>
      </c>
    </row>
    <row r="685" spans="1:22" ht="15">
      <c r="A685" s="2">
        <v>684</v>
      </c>
      <c r="B685" s="2" t="s">
        <v>78</v>
      </c>
      <c r="C685" s="2" t="s">
        <v>13</v>
      </c>
      <c r="D685" s="2">
        <v>1456.2279342091642</v>
      </c>
      <c r="E685" s="2">
        <v>1196.2653884198517</v>
      </c>
      <c r="F685" s="2">
        <v>441.75614519044757</v>
      </c>
      <c r="G685" s="2">
        <v>137.50019929837435</v>
      </c>
      <c r="H685" s="2">
        <v>14.88636254100129</v>
      </c>
      <c r="I685" s="2">
        <v>0.85937017682939776</v>
      </c>
      <c r="J685" s="2">
        <v>9</v>
      </c>
      <c r="K685" s="2">
        <v>188.28103204370265</v>
      </c>
      <c r="L685" s="2">
        <v>40</v>
      </c>
      <c r="M685" s="2">
        <v>25</v>
      </c>
      <c r="N685" s="2">
        <v>1.1505302861275837</v>
      </c>
      <c r="O685" s="2">
        <v>52.251848226203776</v>
      </c>
      <c r="P685" s="2">
        <v>1456.2279342091642</v>
      </c>
      <c r="Q685" s="2">
        <v>1.1640296940514447</v>
      </c>
      <c r="R685" s="2">
        <v>51.981920306057226</v>
      </c>
      <c r="S685" s="2">
        <v>1465.147626345756</v>
      </c>
      <c r="T685" s="2">
        <v>1.3499407923861062E-2</v>
      </c>
      <c r="U685" s="2">
        <v>-0.26992792014655009</v>
      </c>
      <c r="V685" s="2">
        <v>8.9196921365917206</v>
      </c>
    </row>
    <row r="686" spans="1:22" ht="15">
      <c r="A686" s="2">
        <v>685</v>
      </c>
      <c r="B686" s="2" t="s">
        <v>78</v>
      </c>
      <c r="C686" s="2" t="s">
        <v>13</v>
      </c>
      <c r="D686" s="2">
        <v>1433.0999282654375</v>
      </c>
      <c r="E686" s="2">
        <v>788.52696743560955</v>
      </c>
      <c r="F686" s="2">
        <v>567.79380943626165</v>
      </c>
      <c r="G686" s="2">
        <v>164.42442660452798</v>
      </c>
      <c r="H686" s="2">
        <v>19.238558772951365</v>
      </c>
      <c r="I686" s="2">
        <v>0.80029331632191314</v>
      </c>
      <c r="J686" s="2">
        <v>9</v>
      </c>
      <c r="K686" s="2">
        <v>198.96870574235277</v>
      </c>
      <c r="L686" s="2">
        <v>50</v>
      </c>
      <c r="M686" s="2">
        <v>25</v>
      </c>
      <c r="N686" s="2">
        <v>1.2288490769154687</v>
      </c>
      <c r="O686" s="2">
        <v>52.212122195852054</v>
      </c>
      <c r="P686" s="2">
        <v>1433.0999282654375</v>
      </c>
      <c r="Q686" s="2">
        <v>1.2206722765739246</v>
      </c>
      <c r="R686" s="2">
        <v>51.197896383359684</v>
      </c>
      <c r="S686" s="2">
        <v>1443.0583015698028</v>
      </c>
      <c r="T686" s="2">
        <v>-8.1768003415441104E-3</v>
      </c>
      <c r="U686" s="2">
        <v>-1.01422581249237</v>
      </c>
      <c r="V686" s="2">
        <v>9.9583733043652956</v>
      </c>
    </row>
    <row r="687" spans="1:22" ht="15">
      <c r="A687" s="2">
        <v>686</v>
      </c>
      <c r="B687" s="2" t="s">
        <v>78</v>
      </c>
      <c r="C687" s="2" t="s">
        <v>13</v>
      </c>
      <c r="D687" s="2">
        <v>1441.3550263387151</v>
      </c>
      <c r="E687" s="2">
        <v>1079.3821313185617</v>
      </c>
      <c r="F687" s="2">
        <v>624.20136081054807</v>
      </c>
      <c r="G687" s="2">
        <v>276.58147916197777</v>
      </c>
      <c r="H687" s="2">
        <v>16.414479414466769</v>
      </c>
      <c r="I687" s="2">
        <v>0.83626637495588518</v>
      </c>
      <c r="J687" s="2">
        <v>9</v>
      </c>
      <c r="K687" s="2">
        <v>191.50663386475122</v>
      </c>
      <c r="L687" s="2">
        <v>35</v>
      </c>
      <c r="M687" s="2">
        <v>25</v>
      </c>
      <c r="N687" s="2">
        <v>1.1452900397602583</v>
      </c>
      <c r="O687" s="2">
        <v>52.283757223148555</v>
      </c>
      <c r="P687" s="2">
        <v>1441.3550263387151</v>
      </c>
      <c r="Q687" s="2">
        <v>1.1456097494783872</v>
      </c>
      <c r="R687" s="2">
        <v>53.629291169920137</v>
      </c>
      <c r="S687" s="2">
        <v>1437.6246304357339</v>
      </c>
      <c r="T687" s="2">
        <v>3.1970971812889104E-4</v>
      </c>
      <c r="U687" s="2">
        <v>1.3455339467715817</v>
      </c>
      <c r="V687" s="2">
        <v>-3.7303959029811722</v>
      </c>
    </row>
    <row r="688" spans="1:22" ht="15">
      <c r="A688" s="2">
        <v>687</v>
      </c>
      <c r="B688" s="2" t="s">
        <v>78</v>
      </c>
      <c r="C688" s="2" t="s">
        <v>13</v>
      </c>
      <c r="D688" s="2">
        <v>1350.6717706331983</v>
      </c>
      <c r="E688" s="2">
        <v>1095.834821567405</v>
      </c>
      <c r="F688" s="2">
        <v>694.50071826577187</v>
      </c>
      <c r="G688" s="2">
        <v>175.31157690798864</v>
      </c>
      <c r="H688" s="2">
        <v>13.418139143846929</v>
      </c>
      <c r="I688" s="2">
        <v>0.85125606840243573</v>
      </c>
      <c r="J688" s="2">
        <v>8</v>
      </c>
      <c r="K688" s="2">
        <v>198.33511630172916</v>
      </c>
      <c r="L688" s="2">
        <v>45</v>
      </c>
      <c r="M688" s="2">
        <v>25</v>
      </c>
      <c r="N688" s="2">
        <v>1.2571481425997006</v>
      </c>
      <c r="O688" s="2">
        <v>52.247438690380321</v>
      </c>
      <c r="P688" s="2">
        <v>1350.6717706331983</v>
      </c>
      <c r="Q688" s="2">
        <v>1.2807782220504862</v>
      </c>
      <c r="R688" s="2">
        <v>52.816385150408834</v>
      </c>
      <c r="S688" s="2">
        <v>1346.7726158932994</v>
      </c>
      <c r="T688" s="2">
        <v>2.3630079450785546E-2</v>
      </c>
      <c r="U688" s="2">
        <v>0.56894646002851346</v>
      </c>
      <c r="V688" s="2">
        <v>-3.8991547398989042</v>
      </c>
    </row>
    <row r="689" spans="1:22" ht="15">
      <c r="A689" s="2">
        <v>688</v>
      </c>
      <c r="B689" s="2" t="s">
        <v>78</v>
      </c>
      <c r="C689" s="2" t="s">
        <v>13</v>
      </c>
      <c r="D689" s="2">
        <v>1365.8251065644436</v>
      </c>
      <c r="E689" s="2">
        <v>1123.9622974768281</v>
      </c>
      <c r="F689" s="2">
        <v>717.17033823952079</v>
      </c>
      <c r="G689" s="2">
        <v>268.55332967359573</v>
      </c>
      <c r="H689" s="2">
        <v>11.528090292122215</v>
      </c>
      <c r="I689" s="2">
        <v>0.81445860496722167</v>
      </c>
      <c r="J689" s="2">
        <v>9</v>
      </c>
      <c r="K689" s="2">
        <v>186.33033557295974</v>
      </c>
      <c r="L689" s="2">
        <v>35</v>
      </c>
      <c r="M689" s="2">
        <v>25</v>
      </c>
      <c r="N689" s="2">
        <v>1.183734076792623</v>
      </c>
      <c r="O689" s="2">
        <v>52.303952784153424</v>
      </c>
      <c r="P689" s="2">
        <v>1365.8251065644436</v>
      </c>
      <c r="Q689" s="2">
        <v>1.2044771645833912</v>
      </c>
      <c r="R689" s="2">
        <v>51.832818586772163</v>
      </c>
      <c r="S689" s="2">
        <v>1361.2798463257366</v>
      </c>
      <c r="T689" s="2">
        <v>2.0743087790768167E-2</v>
      </c>
      <c r="U689" s="2">
        <v>-0.47113419738126083</v>
      </c>
      <c r="V689" s="2">
        <v>-4.5452602387069874</v>
      </c>
    </row>
    <row r="690" spans="1:22" ht="15">
      <c r="A690" s="2">
        <v>689</v>
      </c>
      <c r="B690" s="2" t="s">
        <v>78</v>
      </c>
      <c r="C690" s="2" t="s">
        <v>13</v>
      </c>
      <c r="D690" s="2">
        <v>1435.7281004078686</v>
      </c>
      <c r="E690" s="2">
        <v>1040.8802816062234</v>
      </c>
      <c r="F690" s="2">
        <v>691.03678856045008</v>
      </c>
      <c r="G690" s="2">
        <v>301.81610768893734</v>
      </c>
      <c r="H690" s="2">
        <v>9.3787771034985781</v>
      </c>
      <c r="I690" s="2">
        <v>0.84775539755122742</v>
      </c>
      <c r="J690" s="2">
        <v>9</v>
      </c>
      <c r="K690" s="2">
        <v>188.17378804140674</v>
      </c>
      <c r="L690" s="2">
        <v>35</v>
      </c>
      <c r="M690" s="2">
        <v>25</v>
      </c>
      <c r="N690" s="2">
        <v>1.1302907843875158</v>
      </c>
      <c r="O690" s="2">
        <v>52.292109845757132</v>
      </c>
      <c r="P690" s="2">
        <v>1435.7281004078686</v>
      </c>
      <c r="Q690" s="2">
        <v>1.1514324611573108</v>
      </c>
      <c r="R690" s="2">
        <v>53.326684332871544</v>
      </c>
      <c r="S690" s="2">
        <v>1425.8850849384139</v>
      </c>
      <c r="T690" s="2">
        <v>2.1141676769794948E-2</v>
      </c>
      <c r="U690" s="2">
        <v>1.034574487114412</v>
      </c>
      <c r="V690" s="2">
        <v>-9.8430154694547127</v>
      </c>
    </row>
    <row r="691" spans="1:22" ht="15">
      <c r="A691" s="2">
        <v>690</v>
      </c>
      <c r="B691" s="2" t="s">
        <v>78</v>
      </c>
      <c r="C691" s="2" t="s">
        <v>13</v>
      </c>
      <c r="D691" s="2">
        <v>1412.619032675866</v>
      </c>
      <c r="E691" s="2">
        <v>733.35829798597842</v>
      </c>
      <c r="F691" s="2">
        <v>426.55341112986207</v>
      </c>
      <c r="G691" s="2">
        <v>305.68007674999535</v>
      </c>
      <c r="H691" s="2">
        <v>24.61169657157734</v>
      </c>
      <c r="I691" s="2">
        <v>0.85818413692060858</v>
      </c>
      <c r="J691" s="2">
        <v>9</v>
      </c>
      <c r="K691" s="2">
        <v>182.89509622086939</v>
      </c>
      <c r="L691" s="2">
        <v>50</v>
      </c>
      <c r="M691" s="2">
        <v>25</v>
      </c>
      <c r="N691" s="2">
        <v>1.2101895629423955</v>
      </c>
      <c r="O691" s="2">
        <v>52.203522399211131</v>
      </c>
      <c r="P691" s="2">
        <v>1412.619032675866</v>
      </c>
      <c r="Q691" s="2">
        <v>1.2132990235952152</v>
      </c>
      <c r="R691" s="2">
        <v>50.821320221036153</v>
      </c>
      <c r="S691" s="2">
        <v>1404.1674311010383</v>
      </c>
      <c r="T691" s="2">
        <v>3.1094606528196955E-3</v>
      </c>
      <c r="U691" s="2">
        <v>-1.3822021781749783</v>
      </c>
      <c r="V691" s="2">
        <v>-8.4516015748276914</v>
      </c>
    </row>
    <row r="692" spans="1:22" ht="15">
      <c r="A692" s="2">
        <v>691</v>
      </c>
      <c r="B692" s="2" t="s">
        <v>78</v>
      </c>
      <c r="C692" s="2" t="s">
        <v>13</v>
      </c>
      <c r="D692" s="2">
        <v>1401.1110169580206</v>
      </c>
      <c r="E692" s="2">
        <v>1037.2863959171809</v>
      </c>
      <c r="F692" s="2">
        <v>590.98967872560024</v>
      </c>
      <c r="G692" s="2">
        <v>229.62994930101559</v>
      </c>
      <c r="H692" s="2">
        <v>16.833199423737824</v>
      </c>
      <c r="I692" s="2">
        <v>0.79784093101276088</v>
      </c>
      <c r="J692" s="2">
        <v>9</v>
      </c>
      <c r="K692" s="2">
        <v>195.12536375717048</v>
      </c>
      <c r="L692" s="2">
        <v>40</v>
      </c>
      <c r="M692" s="2">
        <v>25</v>
      </c>
      <c r="N692" s="2">
        <v>1.2106537740083141</v>
      </c>
      <c r="O692" s="2">
        <v>52.264693996783436</v>
      </c>
      <c r="P692" s="2">
        <v>1401.1110169580206</v>
      </c>
      <c r="Q692" s="2">
        <v>1.2108434703523994</v>
      </c>
      <c r="R692" s="2">
        <v>52.830373002211964</v>
      </c>
      <c r="S692" s="2">
        <v>1395.2795117694684</v>
      </c>
      <c r="T692" s="2">
        <v>1.8969634408527725E-4</v>
      </c>
      <c r="U692" s="2">
        <v>0.56567900542852811</v>
      </c>
      <c r="V692" s="2">
        <v>-5.831505188552228</v>
      </c>
    </row>
    <row r="693" spans="1:22" ht="15">
      <c r="A693" s="2">
        <v>692</v>
      </c>
      <c r="B693" s="2" t="s">
        <v>78</v>
      </c>
      <c r="C693" s="2" t="s">
        <v>13</v>
      </c>
      <c r="D693" s="2">
        <v>1388.5689975111745</v>
      </c>
      <c r="E693" s="2">
        <v>1232.6340960804373</v>
      </c>
      <c r="F693" s="2">
        <v>548.29075215384364</v>
      </c>
      <c r="G693" s="2">
        <v>85.41004107799381</v>
      </c>
      <c r="H693" s="2">
        <v>26.272525995504111</v>
      </c>
      <c r="I693" s="2">
        <v>0.83940142417326569</v>
      </c>
      <c r="J693" s="2">
        <v>9</v>
      </c>
      <c r="K693" s="2">
        <v>183.80412484987795</v>
      </c>
      <c r="L693" s="2">
        <v>35</v>
      </c>
      <c r="M693" s="2">
        <v>25</v>
      </c>
      <c r="N693" s="2">
        <v>1.1427052789379615</v>
      </c>
      <c r="O693" s="2">
        <v>52.266008267616016</v>
      </c>
      <c r="P693" s="2">
        <v>1388.5689975111745</v>
      </c>
      <c r="Q693" s="2">
        <v>1.1353926132782652</v>
      </c>
      <c r="R693" s="2">
        <v>52.648740047338372</v>
      </c>
      <c r="S693" s="2">
        <v>1373.4804817349393</v>
      </c>
      <c r="T693" s="2">
        <v>-7.3126656596962381E-3</v>
      </c>
      <c r="U693" s="2">
        <v>0.38273177972235572</v>
      </c>
      <c r="V693" s="2">
        <v>-15.088515776235226</v>
      </c>
    </row>
    <row r="694" spans="1:22" ht="15">
      <c r="A694" s="2">
        <v>693</v>
      </c>
      <c r="B694" s="2" t="s">
        <v>78</v>
      </c>
      <c r="C694" s="2" t="s">
        <v>13</v>
      </c>
      <c r="D694" s="2">
        <v>1412.203959049657</v>
      </c>
      <c r="E694" s="2">
        <v>731.50508030084893</v>
      </c>
      <c r="F694" s="2">
        <v>532.9119710251689</v>
      </c>
      <c r="G694" s="2">
        <v>106.87366149621084</v>
      </c>
      <c r="H694" s="2">
        <v>24.756869673728943</v>
      </c>
      <c r="I694" s="2">
        <v>0.84627732431748881</v>
      </c>
      <c r="J694" s="2">
        <v>9</v>
      </c>
      <c r="K694" s="2">
        <v>185.41386670387806</v>
      </c>
      <c r="L694" s="2">
        <v>55</v>
      </c>
      <c r="M694" s="2">
        <v>25</v>
      </c>
      <c r="N694" s="2">
        <v>1.2335711785783026</v>
      </c>
      <c r="O694" s="2">
        <v>52.188818504396799</v>
      </c>
      <c r="P694" s="2">
        <v>1412.203959049657</v>
      </c>
      <c r="Q694" s="2">
        <v>1.2281727571141969</v>
      </c>
      <c r="R694" s="2">
        <v>51.012928773016021</v>
      </c>
      <c r="S694" s="2">
        <v>1415.9216306115791</v>
      </c>
      <c r="T694" s="2">
        <v>-5.3984214641056294E-3</v>
      </c>
      <c r="U694" s="2">
        <v>-1.1758897313807779</v>
      </c>
      <c r="V694" s="2">
        <v>3.7176715619220886</v>
      </c>
    </row>
    <row r="695" spans="1:22" ht="15">
      <c r="A695" s="2">
        <v>694</v>
      </c>
      <c r="B695" s="2" t="s">
        <v>78</v>
      </c>
      <c r="C695" s="2" t="s">
        <v>13</v>
      </c>
      <c r="D695" s="2">
        <v>1466.7977036093362</v>
      </c>
      <c r="E695" s="2">
        <v>1176.3789469143376</v>
      </c>
      <c r="F695" s="2">
        <v>700.80416621640325</v>
      </c>
      <c r="G695" s="2">
        <v>329.49909234419465</v>
      </c>
      <c r="H695" s="2">
        <v>11.141706815455109</v>
      </c>
      <c r="I695" s="2">
        <v>0.82414247078355407</v>
      </c>
      <c r="J695" s="2">
        <v>9</v>
      </c>
      <c r="K695" s="2">
        <v>197.75406364910251</v>
      </c>
      <c r="L695" s="2">
        <v>35</v>
      </c>
      <c r="M695" s="2">
        <v>25</v>
      </c>
      <c r="N695" s="2">
        <v>1.2324513219556656</v>
      </c>
      <c r="O695" s="2">
        <v>52.319076922888677</v>
      </c>
      <c r="P695" s="2">
        <v>1466.7977036093362</v>
      </c>
      <c r="Q695" s="2">
        <v>1.2535537772331102</v>
      </c>
      <c r="R695" s="2">
        <v>52.570750291755914</v>
      </c>
      <c r="S695" s="2">
        <v>1457.0496129769865</v>
      </c>
      <c r="T695" s="2">
        <v>2.1102455277444587E-2</v>
      </c>
      <c r="U695" s="2">
        <v>0.25167336886723746</v>
      </c>
      <c r="V695" s="2">
        <v>-9.7480906323496583</v>
      </c>
    </row>
    <row r="696" spans="1:22" ht="15">
      <c r="A696" s="2">
        <v>695</v>
      </c>
      <c r="B696" s="2" t="s">
        <v>79</v>
      </c>
      <c r="C696" s="2" t="s">
        <v>13</v>
      </c>
      <c r="D696" s="2">
        <v>1472.8786462219432</v>
      </c>
      <c r="E696" s="2">
        <v>660.72202903451398</v>
      </c>
      <c r="F696" s="2">
        <v>620.04483491182327</v>
      </c>
      <c r="G696" s="2">
        <v>125.78674485674128</v>
      </c>
      <c r="H696" s="2">
        <v>29.163970123045146</v>
      </c>
      <c r="I696" s="2">
        <v>0.79178995448863132</v>
      </c>
      <c r="J696" s="2">
        <v>10</v>
      </c>
      <c r="K696" s="2">
        <v>186.01885991003579</v>
      </c>
      <c r="L696" s="2">
        <v>45</v>
      </c>
      <c r="M696" s="2">
        <v>25</v>
      </c>
      <c r="N696" s="2">
        <v>1.1846131928890558</v>
      </c>
      <c r="O696" s="2">
        <v>52.218685412725129</v>
      </c>
      <c r="P696" s="2">
        <v>1472.8786462219432</v>
      </c>
      <c r="Q696" s="2">
        <v>1.1722275502498358</v>
      </c>
      <c r="R696" s="2">
        <v>52.431539976270493</v>
      </c>
      <c r="S696" s="2">
        <v>1469.1193115643227</v>
      </c>
      <c r="T696" s="2">
        <v>-1.2385642639219929E-2</v>
      </c>
      <c r="U696" s="2">
        <v>0.21285456354536336</v>
      </c>
      <c r="V696" s="2">
        <v>-3.7593346576204567</v>
      </c>
    </row>
    <row r="697" spans="1:22" ht="15">
      <c r="A697" s="2">
        <v>696</v>
      </c>
      <c r="B697" s="2" t="s">
        <v>79</v>
      </c>
      <c r="C697" s="2" t="s">
        <v>13</v>
      </c>
      <c r="D697" s="2">
        <v>1406.0519165243022</v>
      </c>
      <c r="E697" s="2">
        <v>607.63884363695979</v>
      </c>
      <c r="F697" s="2">
        <v>688.24553405866027</v>
      </c>
      <c r="G697" s="2">
        <v>231.25386288855225</v>
      </c>
      <c r="H697" s="2">
        <v>20.772457336541265</v>
      </c>
      <c r="I697" s="2">
        <v>0.80826873284764589</v>
      </c>
      <c r="J697" s="2">
        <v>9</v>
      </c>
      <c r="K697" s="2">
        <v>193.28718825298242</v>
      </c>
      <c r="L697" s="2">
        <v>50</v>
      </c>
      <c r="M697" s="2">
        <v>25</v>
      </c>
      <c r="N697" s="2">
        <v>1.2402678103966909</v>
      </c>
      <c r="O697" s="2">
        <v>52.213119030163085</v>
      </c>
      <c r="P697" s="2">
        <v>1406.0519165243022</v>
      </c>
      <c r="Q697" s="2">
        <v>1.2272493725853488</v>
      </c>
      <c r="R697" s="2">
        <v>50.869422349539839</v>
      </c>
      <c r="S697" s="2">
        <v>1402.1223883309308</v>
      </c>
      <c r="T697" s="2">
        <v>-1.3018437811342043E-2</v>
      </c>
      <c r="U697" s="2">
        <v>-1.3436966806232462</v>
      </c>
      <c r="V697" s="2">
        <v>-3.929528193371425</v>
      </c>
    </row>
    <row r="698" spans="1:22" ht="15">
      <c r="A698" s="2">
        <v>697</v>
      </c>
      <c r="B698" s="2" t="s">
        <v>79</v>
      </c>
      <c r="C698" s="2" t="s">
        <v>13</v>
      </c>
      <c r="D698" s="2">
        <v>1477.6460912078619</v>
      </c>
      <c r="E698" s="2">
        <v>1013.3045031107031</v>
      </c>
      <c r="F698" s="2">
        <v>584.75970793515444</v>
      </c>
      <c r="G698" s="2">
        <v>265.79872004920617</v>
      </c>
      <c r="H698" s="2">
        <v>23.268607033416629</v>
      </c>
      <c r="I698" s="2">
        <v>0.82600479659857229</v>
      </c>
      <c r="J698" s="2">
        <v>9</v>
      </c>
      <c r="K698" s="2">
        <v>198.76748863830937</v>
      </c>
      <c r="L698" s="2">
        <v>40</v>
      </c>
      <c r="M698" s="2">
        <v>25</v>
      </c>
      <c r="N698" s="2">
        <v>1.248208758820647</v>
      </c>
      <c r="O698" s="2">
        <v>52.26562282753099</v>
      </c>
      <c r="P698" s="2">
        <v>1477.6460912078619</v>
      </c>
      <c r="Q698" s="2">
        <v>1.2562248399357472</v>
      </c>
      <c r="R698" s="2">
        <v>53.017255397330956</v>
      </c>
      <c r="S698" s="2">
        <v>1466.6329161846108</v>
      </c>
      <c r="T698" s="2">
        <v>8.0160811151002154E-3</v>
      </c>
      <c r="U698" s="2">
        <v>0.75163256979996618</v>
      </c>
      <c r="V698" s="2">
        <v>-11.013175023251051</v>
      </c>
    </row>
    <row r="699" spans="1:22" ht="15">
      <c r="A699" s="2">
        <v>698</v>
      </c>
      <c r="B699" s="2" t="s">
        <v>80</v>
      </c>
      <c r="C699" s="2" t="s">
        <v>13</v>
      </c>
      <c r="D699" s="2">
        <v>1404.7856214107014</v>
      </c>
      <c r="E699" s="2">
        <v>694.85165609512478</v>
      </c>
      <c r="F699" s="2">
        <v>384.64979687705636</v>
      </c>
      <c r="G699" s="2">
        <v>297.23373210988939</v>
      </c>
      <c r="H699" s="2">
        <v>11.252234202343971</v>
      </c>
      <c r="I699" s="2">
        <v>0.79104730181861671</v>
      </c>
      <c r="J699" s="2">
        <v>9</v>
      </c>
      <c r="K699" s="2">
        <v>197.31726650101862</v>
      </c>
      <c r="L699" s="2">
        <v>55</v>
      </c>
      <c r="M699" s="2">
        <v>25</v>
      </c>
      <c r="N699" s="2">
        <v>1.1845806839285948</v>
      </c>
      <c r="O699" s="2">
        <v>52.189667433733923</v>
      </c>
      <c r="P699" s="2">
        <v>1404.7856214107014</v>
      </c>
      <c r="Q699" s="2">
        <v>1.1960306434177472</v>
      </c>
      <c r="R699" s="2">
        <v>52.117640624400401</v>
      </c>
      <c r="S699" s="2">
        <v>1427.1991946888425</v>
      </c>
      <c r="T699" s="2">
        <v>1.1449959489152395E-2</v>
      </c>
      <c r="U699" s="2">
        <v>-7.2026809333522124E-2</v>
      </c>
      <c r="V699" s="2">
        <v>22.41357327814103</v>
      </c>
    </row>
    <row r="700" spans="1:22" ht="15">
      <c r="A700" s="2">
        <v>699</v>
      </c>
      <c r="B700" s="2" t="s">
        <v>80</v>
      </c>
      <c r="C700" s="2" t="s">
        <v>13</v>
      </c>
      <c r="D700" s="2">
        <v>1465.528040821664</v>
      </c>
      <c r="E700" s="2">
        <v>1022.7551304385997</v>
      </c>
      <c r="F700" s="2">
        <v>680.42307235300541</v>
      </c>
      <c r="G700" s="2">
        <v>304.3347346666269</v>
      </c>
      <c r="H700" s="2">
        <v>15.324940511025488</v>
      </c>
      <c r="I700" s="2">
        <v>0.85299239578424024</v>
      </c>
      <c r="J700" s="2">
        <v>9</v>
      </c>
      <c r="K700" s="2">
        <v>190.90023520136219</v>
      </c>
      <c r="L700" s="2">
        <v>35</v>
      </c>
      <c r="M700" s="2">
        <v>25</v>
      </c>
      <c r="N700" s="2">
        <v>1.1531468222454477</v>
      </c>
      <c r="O700" s="2">
        <v>52.28802145477318</v>
      </c>
      <c r="P700" s="2">
        <v>1465.528040821664</v>
      </c>
      <c r="Q700" s="2">
        <v>1.1763075303216906</v>
      </c>
      <c r="R700" s="2">
        <v>51.915001871030043</v>
      </c>
      <c r="S700" s="2">
        <v>1454.858479086196</v>
      </c>
      <c r="T700" s="2">
        <v>2.316070807624282E-2</v>
      </c>
      <c r="U700" s="2">
        <v>-0.37301958374313671</v>
      </c>
      <c r="V700" s="2">
        <v>-10.669561735468051</v>
      </c>
    </row>
    <row r="701" spans="1:22" ht="15">
      <c r="A701" s="2">
        <v>700</v>
      </c>
      <c r="B701" s="2" t="s">
        <v>80</v>
      </c>
      <c r="C701" s="2" t="s">
        <v>13</v>
      </c>
      <c r="D701" s="2">
        <v>1479.6351168653928</v>
      </c>
      <c r="E701" s="2">
        <v>939.34577661566436</v>
      </c>
      <c r="F701" s="2">
        <v>554.47099758312106</v>
      </c>
      <c r="G701" s="2">
        <v>318.54952107649297</v>
      </c>
      <c r="H701" s="2">
        <v>25.651642154436558</v>
      </c>
      <c r="I701" s="2">
        <v>0.82452466472983366</v>
      </c>
      <c r="J701" s="2">
        <v>9</v>
      </c>
      <c r="K701" s="2">
        <v>199.39233949757175</v>
      </c>
      <c r="L701" s="2">
        <v>40</v>
      </c>
      <c r="M701" s="2">
        <v>25</v>
      </c>
      <c r="N701" s="2">
        <v>1.2293728190157411</v>
      </c>
      <c r="O701" s="2">
        <v>52.257593214590791</v>
      </c>
      <c r="P701" s="2">
        <v>1479.6351168653928</v>
      </c>
      <c r="Q701" s="2">
        <v>1.2360519954043026</v>
      </c>
      <c r="R701" s="2">
        <v>51.692601735756682</v>
      </c>
      <c r="S701" s="2">
        <v>1455.5555157755839</v>
      </c>
      <c r="T701" s="2">
        <v>6.6791763885614142E-3</v>
      </c>
      <c r="U701" s="2">
        <v>-0.56499147883410927</v>
      </c>
      <c r="V701" s="2">
        <v>-24.079601089808875</v>
      </c>
    </row>
    <row r="702" spans="1:22" ht="15">
      <c r="A702" s="2">
        <v>701</v>
      </c>
      <c r="B702" s="2" t="s">
        <v>78</v>
      </c>
      <c r="C702" s="2" t="s">
        <v>13</v>
      </c>
      <c r="D702" s="2">
        <v>1372.8351246099919</v>
      </c>
      <c r="E702" s="2">
        <v>1125.2071183989756</v>
      </c>
      <c r="F702" s="2">
        <v>615.96753057092428</v>
      </c>
      <c r="G702" s="2">
        <v>141.40672304900363</v>
      </c>
      <c r="H702" s="2">
        <v>15.453611966222525</v>
      </c>
      <c r="I702" s="2">
        <v>0.80480045620584861</v>
      </c>
      <c r="J702" s="2">
        <v>9</v>
      </c>
      <c r="K702" s="2">
        <v>189.53423161176926</v>
      </c>
      <c r="L702" s="2">
        <v>40</v>
      </c>
      <c r="M702" s="2">
        <v>25</v>
      </c>
      <c r="N702" s="2">
        <v>1.218125864562652</v>
      </c>
      <c r="O702" s="2">
        <v>52.268541500432043</v>
      </c>
      <c r="P702" s="2">
        <v>1372.8351246099919</v>
      </c>
      <c r="Q702" s="2">
        <v>1.221414460473031</v>
      </c>
      <c r="R702" s="2">
        <v>52.623256673911037</v>
      </c>
      <c r="S702" s="2">
        <v>1375.3705664717393</v>
      </c>
      <c r="T702" s="2">
        <v>3.2885959103789997E-3</v>
      </c>
      <c r="U702" s="2">
        <v>0.35471517347899351</v>
      </c>
      <c r="V702" s="2">
        <v>2.5354418617473584</v>
      </c>
    </row>
    <row r="703" spans="1:22" ht="15">
      <c r="A703" s="2">
        <v>702</v>
      </c>
      <c r="B703" s="2" t="s">
        <v>78</v>
      </c>
      <c r="C703" s="2" t="s">
        <v>13</v>
      </c>
      <c r="D703" s="2">
        <v>1489.3248643842526</v>
      </c>
      <c r="E703" s="2">
        <v>622.96404044609517</v>
      </c>
      <c r="F703" s="2">
        <v>640.99551932886243</v>
      </c>
      <c r="G703" s="2">
        <v>212.02378991991282</v>
      </c>
      <c r="H703" s="2">
        <v>26.298142375890166</v>
      </c>
      <c r="I703" s="2">
        <v>0.84928275811951615</v>
      </c>
      <c r="J703" s="2">
        <v>9</v>
      </c>
      <c r="K703" s="2">
        <v>194.847403771091</v>
      </c>
      <c r="L703" s="2">
        <v>50</v>
      </c>
      <c r="M703" s="2">
        <v>25</v>
      </c>
      <c r="N703" s="2">
        <v>1.2251367874157526</v>
      </c>
      <c r="O703" s="2">
        <v>52.205142703801172</v>
      </c>
      <c r="P703" s="2">
        <v>1489.3248643842526</v>
      </c>
      <c r="Q703" s="2">
        <v>1.2214759831774344</v>
      </c>
      <c r="R703" s="2">
        <v>51.082336490928533</v>
      </c>
      <c r="S703" s="2">
        <v>1485.9584856210993</v>
      </c>
      <c r="T703" s="2">
        <v>-3.6608042383181605E-3</v>
      </c>
      <c r="U703" s="2">
        <v>-1.1228062128726393</v>
      </c>
      <c r="V703" s="2">
        <v>-3.3663787631533069</v>
      </c>
    </row>
    <row r="704" spans="1:22" ht="15">
      <c r="A704" s="2">
        <v>703</v>
      </c>
      <c r="B704" s="2" t="s">
        <v>78</v>
      </c>
      <c r="C704" s="2" t="s">
        <v>13</v>
      </c>
      <c r="D704" s="2">
        <v>1426.1297874385491</v>
      </c>
      <c r="E704" s="2">
        <v>1119.3341697682627</v>
      </c>
      <c r="F704" s="2">
        <v>419.15550753474236</v>
      </c>
      <c r="G704" s="2">
        <v>308.50403509801254</v>
      </c>
      <c r="H704" s="2">
        <v>28.94738910254091</v>
      </c>
      <c r="I704" s="2">
        <v>0.8219435528083705</v>
      </c>
      <c r="J704" s="2">
        <v>9</v>
      </c>
      <c r="K704" s="2">
        <v>192.78558087053128</v>
      </c>
      <c r="L704" s="2">
        <v>35</v>
      </c>
      <c r="M704" s="2">
        <v>25</v>
      </c>
      <c r="N704" s="2">
        <v>1.1475207473953695</v>
      </c>
      <c r="O704" s="2">
        <v>52.262992494606124</v>
      </c>
      <c r="P704" s="2">
        <v>1426.1297874385491</v>
      </c>
      <c r="Q704" s="2">
        <v>1.1525740371329212</v>
      </c>
      <c r="R704" s="2">
        <v>53.428529261634822</v>
      </c>
      <c r="S704" s="2">
        <v>1402.5904848079656</v>
      </c>
      <c r="T704" s="2">
        <v>5.0532897375517027E-3</v>
      </c>
      <c r="U704" s="2">
        <v>1.1655367670286978</v>
      </c>
      <c r="V704" s="2">
        <v>-23.539302630583506</v>
      </c>
    </row>
    <row r="705" spans="1:22" ht="15">
      <c r="A705" s="2">
        <v>704</v>
      </c>
      <c r="B705" s="2" t="s">
        <v>78</v>
      </c>
      <c r="C705" s="2" t="s">
        <v>13</v>
      </c>
      <c r="D705" s="2">
        <v>1465.423771168571</v>
      </c>
      <c r="E705" s="2">
        <v>981.8297665566206</v>
      </c>
      <c r="F705" s="2">
        <v>685.76728692278266</v>
      </c>
      <c r="G705" s="2">
        <v>291.05770871508867</v>
      </c>
      <c r="H705" s="2">
        <v>20.462205903138965</v>
      </c>
      <c r="I705" s="2">
        <v>0.82969132932834333</v>
      </c>
      <c r="J705" s="2">
        <v>9</v>
      </c>
      <c r="K705" s="2">
        <v>196.24751724835488</v>
      </c>
      <c r="L705" s="2">
        <v>35</v>
      </c>
      <c r="M705" s="2">
        <v>25</v>
      </c>
      <c r="N705" s="2">
        <v>1.1580407687309502</v>
      </c>
      <c r="O705" s="2">
        <v>52.280403243795178</v>
      </c>
      <c r="P705" s="2">
        <v>1465.423771168571</v>
      </c>
      <c r="Q705" s="2">
        <v>1.16546638785729</v>
      </c>
      <c r="R705" s="2">
        <v>51.627509548123896</v>
      </c>
      <c r="S705" s="2">
        <v>1462.6479978571119</v>
      </c>
      <c r="T705" s="2">
        <v>7.4256191263397664E-3</v>
      </c>
      <c r="U705" s="2">
        <v>-0.65289369567128119</v>
      </c>
      <c r="V705" s="2">
        <v>-2.7757733114590337</v>
      </c>
    </row>
    <row r="706" spans="1:22" ht="15">
      <c r="A706" s="2">
        <v>705</v>
      </c>
      <c r="B706" s="2" t="s">
        <v>78</v>
      </c>
      <c r="C706" s="2" t="s">
        <v>13</v>
      </c>
      <c r="D706" s="2">
        <v>1465.0407540611923</v>
      </c>
      <c r="E706" s="2">
        <v>801.77690865239128</v>
      </c>
      <c r="F706" s="2">
        <v>388.35003320127726</v>
      </c>
      <c r="G706" s="2">
        <v>257.15096572646871</v>
      </c>
      <c r="H706" s="2">
        <v>9.7813702318817377</v>
      </c>
      <c r="I706" s="2">
        <v>0.79788683112012226</v>
      </c>
      <c r="J706" s="2">
        <v>10</v>
      </c>
      <c r="K706" s="2">
        <v>183.61510641859806</v>
      </c>
      <c r="L706" s="2">
        <v>50</v>
      </c>
      <c r="M706" s="2">
        <v>25</v>
      </c>
      <c r="N706" s="2">
        <v>1.2486466575831572</v>
      </c>
      <c r="O706" s="2">
        <v>52.225740897488258</v>
      </c>
      <c r="P706" s="2">
        <v>1465.0407540611923</v>
      </c>
      <c r="Q706" s="2">
        <v>1.2540182783999827</v>
      </c>
      <c r="R706" s="2">
        <v>52.185216585038951</v>
      </c>
      <c r="S706" s="2">
        <v>1472.6705001792409</v>
      </c>
      <c r="T706" s="2">
        <v>5.3716208168255175E-3</v>
      </c>
      <c r="U706" s="2">
        <v>-4.0524312449306876E-2</v>
      </c>
      <c r="V706" s="2">
        <v>7.6297461180486152</v>
      </c>
    </row>
    <row r="707" spans="1:22" ht="15">
      <c r="A707" s="2">
        <v>706</v>
      </c>
      <c r="B707" s="2" t="s">
        <v>78</v>
      </c>
      <c r="C707" s="2" t="s">
        <v>13</v>
      </c>
      <c r="D707" s="2">
        <v>1445.1118183904327</v>
      </c>
      <c r="E707" s="2">
        <v>751.3049676315859</v>
      </c>
      <c r="F707" s="2">
        <v>414.42532176151872</v>
      </c>
      <c r="G707" s="2">
        <v>113.20767567493021</v>
      </c>
      <c r="H707" s="2">
        <v>13.752542965579778</v>
      </c>
      <c r="I707" s="2">
        <v>0.85609679071698341</v>
      </c>
      <c r="J707" s="2">
        <v>9</v>
      </c>
      <c r="K707" s="2">
        <v>187.55820785951443</v>
      </c>
      <c r="L707" s="2">
        <v>60</v>
      </c>
      <c r="M707" s="2">
        <v>25</v>
      </c>
      <c r="N707" s="2">
        <v>1.205338146947702</v>
      </c>
      <c r="O707" s="2">
        <v>52.17441840220323</v>
      </c>
      <c r="P707" s="2">
        <v>1445.1118183904327</v>
      </c>
      <c r="Q707" s="2">
        <v>1.1921552052638384</v>
      </c>
      <c r="R707" s="2">
        <v>52.573292831626482</v>
      </c>
      <c r="S707" s="2">
        <v>1455.3007453208436</v>
      </c>
      <c r="T707" s="2">
        <v>-1.318294168386358E-2</v>
      </c>
      <c r="U707" s="2">
        <v>0.3988744294232518</v>
      </c>
      <c r="V707" s="2">
        <v>10.188926930410844</v>
      </c>
    </row>
    <row r="708" spans="1:22" ht="15">
      <c r="A708" s="2">
        <v>707</v>
      </c>
      <c r="B708" s="2" t="s">
        <v>78</v>
      </c>
      <c r="C708" s="2" t="s">
        <v>13</v>
      </c>
      <c r="D708" s="2">
        <v>1384.1563205933198</v>
      </c>
      <c r="E708" s="2">
        <v>751.43176369601861</v>
      </c>
      <c r="F708" s="2">
        <v>694.56018321216106</v>
      </c>
      <c r="G708" s="2">
        <v>288.36775720817968</v>
      </c>
      <c r="H708" s="2">
        <v>21.207386587746441</v>
      </c>
      <c r="I708" s="2">
        <v>0.79748829469783233</v>
      </c>
      <c r="J708" s="2">
        <v>9</v>
      </c>
      <c r="K708" s="2">
        <v>192.84940952125694</v>
      </c>
      <c r="L708" s="2">
        <v>40</v>
      </c>
      <c r="M708" s="2">
        <v>25</v>
      </c>
      <c r="N708" s="2">
        <v>1.1591657018874564</v>
      </c>
      <c r="O708" s="2">
        <v>52.245430036864342</v>
      </c>
      <c r="P708" s="2">
        <v>1384.1563205933198</v>
      </c>
      <c r="Q708" s="2">
        <v>1.1693014788783289</v>
      </c>
      <c r="R708" s="2">
        <v>51.240578773116923</v>
      </c>
      <c r="S708" s="2">
        <v>1383.3986390669913</v>
      </c>
      <c r="T708" s="2">
        <v>1.0135776990872536E-2</v>
      </c>
      <c r="U708" s="2">
        <v>-1.004851263747419</v>
      </c>
      <c r="V708" s="2">
        <v>-0.75768152632849706</v>
      </c>
    </row>
    <row r="709" spans="1:22" ht="15">
      <c r="A709" s="2">
        <v>708</v>
      </c>
      <c r="B709" s="2" t="s">
        <v>78</v>
      </c>
      <c r="C709" s="2" t="s">
        <v>13</v>
      </c>
      <c r="D709" s="2">
        <v>1387.5915564014576</v>
      </c>
      <c r="E709" s="2">
        <v>906.92710620351136</v>
      </c>
      <c r="F709" s="2">
        <v>562.24466590210795</v>
      </c>
      <c r="G709" s="2">
        <v>234.33618461247534</v>
      </c>
      <c r="H709" s="2">
        <v>29.710398487281054</v>
      </c>
      <c r="I709" s="2">
        <v>0.8543857992254198</v>
      </c>
      <c r="J709" s="2">
        <v>9</v>
      </c>
      <c r="K709" s="2">
        <v>180.45342015274318</v>
      </c>
      <c r="L709" s="2">
        <v>40</v>
      </c>
      <c r="M709" s="2">
        <v>25</v>
      </c>
      <c r="N709" s="2">
        <v>1.1839594426656079</v>
      </c>
      <c r="O709" s="2">
        <v>52.240619478151267</v>
      </c>
      <c r="P709" s="2">
        <v>1387.5915564014576</v>
      </c>
      <c r="Q709" s="2">
        <v>1.1821944722686037</v>
      </c>
      <c r="R709" s="2">
        <v>52.415135754578294</v>
      </c>
      <c r="S709" s="2">
        <v>1364.9080381483629</v>
      </c>
      <c r="T709" s="2">
        <v>-1.7649703970041841E-3</v>
      </c>
      <c r="U709" s="2">
        <v>0.17451627642702761</v>
      </c>
      <c r="V709" s="2">
        <v>-22.683518253094689</v>
      </c>
    </row>
    <row r="710" spans="1:22" ht="15">
      <c r="A710" s="2">
        <v>709</v>
      </c>
      <c r="B710" s="2" t="s">
        <v>78</v>
      </c>
      <c r="C710" s="2" t="s">
        <v>13</v>
      </c>
      <c r="D710" s="2">
        <v>1405.8311896864325</v>
      </c>
      <c r="E710" s="2">
        <v>1017.8330214577727</v>
      </c>
      <c r="F710" s="2">
        <v>450.60688089579344</v>
      </c>
      <c r="G710" s="2">
        <v>306.78141231881455</v>
      </c>
      <c r="H710" s="2">
        <v>20.263413183391094</v>
      </c>
      <c r="I710" s="2">
        <v>0.85052638920256873</v>
      </c>
      <c r="J710" s="2">
        <v>9</v>
      </c>
      <c r="K710" s="2">
        <v>183.65504880708875</v>
      </c>
      <c r="L710" s="2">
        <v>40</v>
      </c>
      <c r="M710" s="2">
        <v>25</v>
      </c>
      <c r="N710" s="2">
        <v>1.1789217548217166</v>
      </c>
      <c r="O710" s="2">
        <v>52.251801383490296</v>
      </c>
      <c r="P710" s="2">
        <v>1405.8311896864325</v>
      </c>
      <c r="Q710" s="2">
        <v>1.1924748895157582</v>
      </c>
      <c r="R710" s="2">
        <v>52.288487268208208</v>
      </c>
      <c r="S710" s="2">
        <v>1402.1780249636322</v>
      </c>
      <c r="T710" s="2">
        <v>1.3553134694041624E-2</v>
      </c>
      <c r="U710" s="2">
        <v>3.6685884717911676E-2</v>
      </c>
      <c r="V710" s="2">
        <v>-3.6531647228002839</v>
      </c>
    </row>
    <row r="711" spans="1:22" ht="15">
      <c r="A711" s="2">
        <v>710</v>
      </c>
      <c r="B711" s="2" t="s">
        <v>78</v>
      </c>
      <c r="C711" s="2" t="s">
        <v>13</v>
      </c>
      <c r="D711" s="2">
        <v>1479.3629727442749</v>
      </c>
      <c r="E711" s="2">
        <v>979.67522700782865</v>
      </c>
      <c r="F711" s="2">
        <v>541.18731589987874</v>
      </c>
      <c r="G711" s="2">
        <v>180.8908967487514</v>
      </c>
      <c r="H711" s="2">
        <v>28.145638360176235</v>
      </c>
      <c r="I711" s="2">
        <v>0.8469067155709491</v>
      </c>
      <c r="J711" s="2">
        <v>9</v>
      </c>
      <c r="K711" s="2">
        <v>194.08709438257191</v>
      </c>
      <c r="L711" s="2">
        <v>40</v>
      </c>
      <c r="M711" s="2">
        <v>25</v>
      </c>
      <c r="N711" s="2">
        <v>1.1750196145901093</v>
      </c>
      <c r="O711" s="2">
        <v>52.240345905078428</v>
      </c>
      <c r="P711" s="2">
        <v>1479.3629727442749</v>
      </c>
      <c r="Q711" s="2">
        <v>1.1831408413890057</v>
      </c>
      <c r="R711" s="2">
        <v>52.83849635853484</v>
      </c>
      <c r="S711" s="2">
        <v>1457.6542277489634</v>
      </c>
      <c r="T711" s="2">
        <v>8.1212267988963749E-3</v>
      </c>
      <c r="U711" s="2">
        <v>0.59815045345641238</v>
      </c>
      <c r="V711" s="2">
        <v>-21.708744995311463</v>
      </c>
    </row>
    <row r="712" spans="1:22" ht="15">
      <c r="A712" s="2">
        <v>711</v>
      </c>
      <c r="B712" s="2" t="s">
        <v>78</v>
      </c>
      <c r="C712" s="2" t="s">
        <v>13</v>
      </c>
      <c r="D712" s="2">
        <v>1488.2708630757406</v>
      </c>
      <c r="E712" s="2">
        <v>1223.0091534671374</v>
      </c>
      <c r="F712" s="2">
        <v>697.45788872241974</v>
      </c>
      <c r="G712" s="2">
        <v>102.90804678341374</v>
      </c>
      <c r="H712" s="2">
        <v>14.65184563677758</v>
      </c>
      <c r="I712" s="2">
        <v>0.81721107646590108</v>
      </c>
      <c r="J712" s="2">
        <v>10</v>
      </c>
      <c r="K712" s="2">
        <v>182.11584570193236</v>
      </c>
      <c r="L712" s="2">
        <v>35</v>
      </c>
      <c r="M712" s="2">
        <v>25</v>
      </c>
      <c r="N712" s="2">
        <v>1.267040540083479</v>
      </c>
      <c r="O712" s="2">
        <v>52.325549734164561</v>
      </c>
      <c r="P712" s="2">
        <v>1488.2708630757406</v>
      </c>
      <c r="Q712" s="2">
        <v>1.2801251411327885</v>
      </c>
      <c r="R712" s="2">
        <v>53.626654835643357</v>
      </c>
      <c r="S712" s="2">
        <v>1474.440050011699</v>
      </c>
      <c r="T712" s="2">
        <v>1.308460104930953E-2</v>
      </c>
      <c r="U712" s="2">
        <v>1.3011051014787967</v>
      </c>
      <c r="V712" s="2">
        <v>-13.830813064041649</v>
      </c>
    </row>
    <row r="713" spans="1:22" ht="15">
      <c r="A713" s="2">
        <v>712</v>
      </c>
      <c r="B713" s="2" t="s">
        <v>78</v>
      </c>
      <c r="C713" s="2" t="s">
        <v>13</v>
      </c>
      <c r="D713" s="2">
        <v>1353.6485982011072</v>
      </c>
      <c r="E713" s="2">
        <v>679.43387376144528</v>
      </c>
      <c r="F713" s="2">
        <v>394.41043203696609</v>
      </c>
      <c r="G713" s="2">
        <v>310.50845006946474</v>
      </c>
      <c r="H713" s="2">
        <v>20.044460473116487</v>
      </c>
      <c r="I713" s="2">
        <v>0.84969889425672596</v>
      </c>
      <c r="J713" s="2">
        <v>8</v>
      </c>
      <c r="K713" s="2">
        <v>199.13651285041556</v>
      </c>
      <c r="L713" s="2">
        <v>60</v>
      </c>
      <c r="M713" s="2">
        <v>25</v>
      </c>
      <c r="N713" s="2">
        <v>1.1936909198046146</v>
      </c>
      <c r="O713" s="2">
        <v>52.16687129196329</v>
      </c>
      <c r="P713" s="2">
        <v>1353.6485982011072</v>
      </c>
      <c r="Q713" s="2">
        <v>1.1990874922208272</v>
      </c>
      <c r="R713" s="2">
        <v>50.6096114301466</v>
      </c>
      <c r="S713" s="2">
        <v>1353.5867386051004</v>
      </c>
      <c r="T713" s="2">
        <v>5.3965724162126083E-3</v>
      </c>
      <c r="U713" s="2">
        <v>-1.5572598618166893</v>
      </c>
      <c r="V713" s="2">
        <v>-6.1859596006797801E-2</v>
      </c>
    </row>
    <row r="714" spans="1:22" ht="15">
      <c r="A714" s="2">
        <v>713</v>
      </c>
      <c r="B714" s="2" t="s">
        <v>78</v>
      </c>
      <c r="C714" s="2" t="s">
        <v>13</v>
      </c>
      <c r="D714" s="2">
        <v>1407.5837770476937</v>
      </c>
      <c r="E714" s="2">
        <v>1128.2355361036025</v>
      </c>
      <c r="F714" s="2">
        <v>694.10894233733416</v>
      </c>
      <c r="G714" s="2">
        <v>99.794525171164423</v>
      </c>
      <c r="H714" s="2">
        <v>11.610422259196639</v>
      </c>
      <c r="I714" s="2">
        <v>0.83233245128067213</v>
      </c>
      <c r="J714" s="2">
        <v>9</v>
      </c>
      <c r="K714" s="2">
        <v>187.90352005271563</v>
      </c>
      <c r="L714" s="2">
        <v>40</v>
      </c>
      <c r="M714" s="2">
        <v>25</v>
      </c>
      <c r="N714" s="2">
        <v>1.221059704615445</v>
      </c>
      <c r="O714" s="2">
        <v>52.274709524138217</v>
      </c>
      <c r="P714" s="2">
        <v>1407.5837770476937</v>
      </c>
      <c r="Q714" s="2">
        <v>1.2361935431120032</v>
      </c>
      <c r="R714" s="2">
        <v>52.301988551496628</v>
      </c>
      <c r="S714" s="2">
        <v>1407.0038702656511</v>
      </c>
      <c r="T714" s="2">
        <v>1.513383849655825E-2</v>
      </c>
      <c r="U714" s="2">
        <v>2.7279027358410701E-2</v>
      </c>
      <c r="V714" s="2">
        <v>-0.57990678204259893</v>
      </c>
    </row>
    <row r="715" spans="1:22" ht="15">
      <c r="A715" s="2">
        <v>714</v>
      </c>
      <c r="B715" s="2" t="s">
        <v>78</v>
      </c>
      <c r="C715" s="2" t="s">
        <v>13</v>
      </c>
      <c r="D715" s="2">
        <v>1350.1834504888393</v>
      </c>
      <c r="E715" s="2">
        <v>1221.1189016932622</v>
      </c>
      <c r="F715" s="2">
        <v>468.94471356645226</v>
      </c>
      <c r="G715" s="2">
        <v>169.86024255864322</v>
      </c>
      <c r="H715" s="2">
        <v>23.775048856157809</v>
      </c>
      <c r="I715" s="2">
        <v>0.79124342743773013</v>
      </c>
      <c r="J715" s="2">
        <v>9</v>
      </c>
      <c r="K715" s="2">
        <v>189.60079564067561</v>
      </c>
      <c r="L715" s="2">
        <v>40</v>
      </c>
      <c r="M715" s="2">
        <v>25</v>
      </c>
      <c r="N715" s="2">
        <v>1.2484597691678969</v>
      </c>
      <c r="O715" s="2">
        <v>52.265008627530328</v>
      </c>
      <c r="P715" s="2">
        <v>1350.1834504888393</v>
      </c>
      <c r="Q715" s="2">
        <v>1.2531691069776492</v>
      </c>
      <c r="R715" s="2">
        <v>54.145587887111695</v>
      </c>
      <c r="S715" s="2">
        <v>1334.8664544365552</v>
      </c>
      <c r="T715" s="2">
        <v>4.7093378097522454E-3</v>
      </c>
      <c r="U715" s="2">
        <v>1.8805792595813671</v>
      </c>
      <c r="V715" s="2">
        <v>-15.316996052284139</v>
      </c>
    </row>
    <row r="716" spans="1:22" ht="15">
      <c r="A716" s="2">
        <v>715</v>
      </c>
      <c r="B716" s="2" t="s">
        <v>79</v>
      </c>
      <c r="C716" s="2" t="s">
        <v>13</v>
      </c>
      <c r="D716" s="2">
        <v>1425.4894132493064</v>
      </c>
      <c r="E716" s="2">
        <v>1037.6623230637051</v>
      </c>
      <c r="F716" s="2">
        <v>461.84110529720783</v>
      </c>
      <c r="G716" s="2">
        <v>86.38876500306651</v>
      </c>
      <c r="H716" s="2">
        <v>13.991367579437792</v>
      </c>
      <c r="I716" s="2">
        <v>0.82281618802575396</v>
      </c>
      <c r="J716" s="2">
        <v>9</v>
      </c>
      <c r="K716" s="2">
        <v>192.49464812218639</v>
      </c>
      <c r="L716" s="2">
        <v>50</v>
      </c>
      <c r="M716" s="2">
        <v>25</v>
      </c>
      <c r="N716" s="2">
        <v>1.2550252181302377</v>
      </c>
      <c r="O716" s="2">
        <v>52.222280240250278</v>
      </c>
      <c r="P716" s="2">
        <v>1425.4894132493064</v>
      </c>
      <c r="Q716" s="2">
        <v>1.2471849424192631</v>
      </c>
      <c r="R716" s="2">
        <v>52.375678750730302</v>
      </c>
      <c r="S716" s="2">
        <v>1439.5298835227161</v>
      </c>
      <c r="T716" s="2">
        <v>-7.8402757109745647E-3</v>
      </c>
      <c r="U716" s="2">
        <v>0.15339851048002373</v>
      </c>
      <c r="V716" s="2">
        <v>14.04047027340971</v>
      </c>
    </row>
    <row r="717" spans="1:22" ht="15">
      <c r="A717" s="2">
        <v>716</v>
      </c>
      <c r="B717" s="2" t="s">
        <v>79</v>
      </c>
      <c r="C717" s="2" t="s">
        <v>13</v>
      </c>
      <c r="D717" s="2">
        <v>1482.7465245849453</v>
      </c>
      <c r="E717" s="2">
        <v>791.7281252797693</v>
      </c>
      <c r="F717" s="2">
        <v>387.64645559713244</v>
      </c>
      <c r="G717" s="2">
        <v>305.58125376235694</v>
      </c>
      <c r="H717" s="2">
        <v>25.19834867445752</v>
      </c>
      <c r="I717" s="2">
        <v>0.80438451256603005</v>
      </c>
      <c r="J717" s="2">
        <v>10</v>
      </c>
      <c r="K717" s="2">
        <v>184.33305234270406</v>
      </c>
      <c r="L717" s="2">
        <v>45</v>
      </c>
      <c r="M717" s="2">
        <v>25</v>
      </c>
      <c r="N717" s="2">
        <v>1.2272825204758855</v>
      </c>
      <c r="O717" s="2">
        <v>52.232268598351254</v>
      </c>
      <c r="P717" s="2">
        <v>1482.7465245849453</v>
      </c>
      <c r="Q717" s="2">
        <v>1.2199447077541552</v>
      </c>
      <c r="R717" s="2">
        <v>52.92114360073554</v>
      </c>
      <c r="S717" s="2">
        <v>1476.7232608498198</v>
      </c>
      <c r="T717" s="2">
        <v>-7.3378127217302858E-3</v>
      </c>
      <c r="U717" s="2">
        <v>0.68887500238428601</v>
      </c>
      <c r="V717" s="2">
        <v>-6.0232637351255107</v>
      </c>
    </row>
    <row r="718" spans="1:22" ht="15">
      <c r="A718" s="2">
        <v>717</v>
      </c>
      <c r="B718" s="2" t="s">
        <v>79</v>
      </c>
      <c r="C718" s="2" t="s">
        <v>13</v>
      </c>
      <c r="D718" s="2">
        <v>1387.9155391361564</v>
      </c>
      <c r="E718" s="2">
        <v>1025.493495806586</v>
      </c>
      <c r="F718" s="2">
        <v>451.26254763454199</v>
      </c>
      <c r="G718" s="2">
        <v>165.33035946311429</v>
      </c>
      <c r="H718" s="2">
        <v>14.653005350381136</v>
      </c>
      <c r="I718" s="2">
        <v>0.79930471360916278</v>
      </c>
      <c r="J718" s="2">
        <v>9</v>
      </c>
      <c r="K718" s="2">
        <v>192.93372734594035</v>
      </c>
      <c r="L718" s="2">
        <v>45</v>
      </c>
      <c r="M718" s="2">
        <v>25</v>
      </c>
      <c r="N718" s="2">
        <v>1.1837444816277178</v>
      </c>
      <c r="O718" s="2">
        <v>52.231042322372844</v>
      </c>
      <c r="P718" s="2">
        <v>1387.9155391361564</v>
      </c>
      <c r="Q718" s="2">
        <v>1.1850970148122046</v>
      </c>
      <c r="R718" s="2">
        <v>53.214191547362489</v>
      </c>
      <c r="S718" s="2">
        <v>1397.0917735486962</v>
      </c>
      <c r="T718" s="2">
        <v>1.3525331844868038E-3</v>
      </c>
      <c r="U718" s="2">
        <v>0.98314922498964563</v>
      </c>
      <c r="V718" s="2">
        <v>9.1762344125397703</v>
      </c>
    </row>
    <row r="719" spans="1:22" ht="15">
      <c r="A719" s="2">
        <v>718</v>
      </c>
      <c r="B719" s="2" t="s">
        <v>80</v>
      </c>
      <c r="C719" s="2" t="s">
        <v>13</v>
      </c>
      <c r="D719" s="2">
        <v>1497.5820230436511</v>
      </c>
      <c r="E719" s="2">
        <v>826.70669376384467</v>
      </c>
      <c r="F719" s="2">
        <v>542.54242824390531</v>
      </c>
      <c r="G719" s="2">
        <v>192.37492226064205</v>
      </c>
      <c r="H719" s="2">
        <v>23.531374181155115</v>
      </c>
      <c r="I719" s="2">
        <v>0.82755303561221816</v>
      </c>
      <c r="J719" s="2">
        <v>10</v>
      </c>
      <c r="K719" s="2">
        <v>180.96508122113889</v>
      </c>
      <c r="L719" s="2">
        <v>40</v>
      </c>
      <c r="M719" s="2">
        <v>25</v>
      </c>
      <c r="N719" s="2">
        <v>1.1594840717951669</v>
      </c>
      <c r="O719" s="2">
        <v>52.245551365669506</v>
      </c>
      <c r="P719" s="2">
        <v>1497.5820230436511</v>
      </c>
      <c r="Q719" s="2">
        <v>1.1464655605039056</v>
      </c>
      <c r="R719" s="2">
        <v>52.349975312515951</v>
      </c>
      <c r="S719" s="2">
        <v>1490.0775089853125</v>
      </c>
      <c r="T719" s="2">
        <v>-1.3018511291261303E-2</v>
      </c>
      <c r="U719" s="2">
        <v>0.1044239468464454</v>
      </c>
      <c r="V719" s="2">
        <v>-7.5045140583386001</v>
      </c>
    </row>
    <row r="720" spans="1:22" ht="15">
      <c r="A720" s="2">
        <v>719</v>
      </c>
      <c r="B720" s="2" t="s">
        <v>80</v>
      </c>
      <c r="C720" s="2" t="s">
        <v>13</v>
      </c>
      <c r="D720" s="2">
        <v>1440.6845292309299</v>
      </c>
      <c r="E720" s="2">
        <v>822.85600799368694</v>
      </c>
      <c r="F720" s="2">
        <v>596.24607637524605</v>
      </c>
      <c r="G720" s="2">
        <v>107.94105972861871</v>
      </c>
      <c r="H720" s="2">
        <v>21.328635959886014</v>
      </c>
      <c r="I720" s="2">
        <v>0.85034198758890855</v>
      </c>
      <c r="J720" s="2">
        <v>9</v>
      </c>
      <c r="K720" s="2">
        <v>188.24903525853438</v>
      </c>
      <c r="L720" s="2">
        <v>50</v>
      </c>
      <c r="M720" s="2">
        <v>25</v>
      </c>
      <c r="N720" s="2">
        <v>1.2425811980871391</v>
      </c>
      <c r="O720" s="2">
        <v>52.213104202243407</v>
      </c>
      <c r="P720" s="2">
        <v>1440.6845292309299</v>
      </c>
      <c r="Q720" s="2">
        <v>1.22702285207043</v>
      </c>
      <c r="R720" s="2">
        <v>51.95556689051881</v>
      </c>
      <c r="S720" s="2">
        <v>1438.3506579082477</v>
      </c>
      <c r="T720" s="2">
        <v>-1.5558346016709024E-2</v>
      </c>
      <c r="U720" s="2">
        <v>-0.25753731172459737</v>
      </c>
      <c r="V720" s="2">
        <v>-2.333871322682171</v>
      </c>
    </row>
    <row r="721" spans="1:22" ht="15">
      <c r="A721" s="2">
        <v>720</v>
      </c>
      <c r="B721" s="2" t="s">
        <v>80</v>
      </c>
      <c r="C721" s="2" t="s">
        <v>13</v>
      </c>
      <c r="D721" s="2">
        <v>1455.6143790367059</v>
      </c>
      <c r="E721" s="2">
        <v>858.59716515988111</v>
      </c>
      <c r="F721" s="2">
        <v>688.32734366878867</v>
      </c>
      <c r="G721" s="2">
        <v>90.092174750752747</v>
      </c>
      <c r="H721" s="2">
        <v>28.785071113612503</v>
      </c>
      <c r="I721" s="2">
        <v>0.82082825853489338</v>
      </c>
      <c r="J721" s="2">
        <v>9</v>
      </c>
      <c r="K721" s="2">
        <v>197.03869758670484</v>
      </c>
      <c r="L721" s="2">
        <v>45</v>
      </c>
      <c r="M721" s="2">
        <v>25</v>
      </c>
      <c r="N721" s="2">
        <v>1.2467667650566356</v>
      </c>
      <c r="O721" s="2">
        <v>52.230251826387125</v>
      </c>
      <c r="P721" s="2">
        <v>1455.6143790367059</v>
      </c>
      <c r="Q721" s="2">
        <v>1.2340832293573938</v>
      </c>
      <c r="R721" s="2">
        <v>51.410645803332919</v>
      </c>
      <c r="S721" s="2">
        <v>1439.3459981211772</v>
      </c>
      <c r="T721" s="2">
        <v>-1.2683535699241855E-2</v>
      </c>
      <c r="U721" s="2">
        <v>-0.81960602305420593</v>
      </c>
      <c r="V721" s="2">
        <v>-16.268380915528724</v>
      </c>
    </row>
    <row r="722" spans="1:22" ht="15">
      <c r="A722" s="2">
        <v>721</v>
      </c>
      <c r="B722" s="2" t="s">
        <v>78</v>
      </c>
      <c r="C722" s="2" t="s">
        <v>13</v>
      </c>
      <c r="D722" s="2">
        <v>1368.7523902393878</v>
      </c>
      <c r="E722" s="2">
        <v>850.35145556321368</v>
      </c>
      <c r="F722" s="2">
        <v>417.70187113434076</v>
      </c>
      <c r="G722" s="2">
        <v>299.67317356029525</v>
      </c>
      <c r="H722" s="2">
        <v>12.244895042851567</v>
      </c>
      <c r="I722" s="2">
        <v>0.85718312970595434</v>
      </c>
      <c r="J722" s="2">
        <v>8</v>
      </c>
      <c r="K722" s="2">
        <v>199.60034542282125</v>
      </c>
      <c r="L722" s="2">
        <v>55</v>
      </c>
      <c r="M722" s="2">
        <v>25</v>
      </c>
      <c r="N722" s="2">
        <v>1.2086637976054813</v>
      </c>
      <c r="O722" s="2">
        <v>52.192286892935734</v>
      </c>
      <c r="P722" s="2">
        <v>1368.7523902393878</v>
      </c>
      <c r="Q722" s="2">
        <v>1.2026476238945047</v>
      </c>
      <c r="R722" s="2">
        <v>51.2687991873036</v>
      </c>
      <c r="S722" s="2">
        <v>1373.7313520062278</v>
      </c>
      <c r="T722" s="2">
        <v>-6.0161737109765134E-3</v>
      </c>
      <c r="U722" s="2">
        <v>-0.92348770563213378</v>
      </c>
      <c r="V722" s="2">
        <v>4.9789617668400297</v>
      </c>
    </row>
    <row r="723" spans="1:22" ht="15">
      <c r="A723" s="2">
        <v>722</v>
      </c>
      <c r="B723" s="2" t="s">
        <v>78</v>
      </c>
      <c r="C723" s="2" t="s">
        <v>13</v>
      </c>
      <c r="D723" s="2">
        <v>1439.4763592281379</v>
      </c>
      <c r="E723" s="2">
        <v>913.10245257336646</v>
      </c>
      <c r="F723" s="2">
        <v>512.03930163756013</v>
      </c>
      <c r="G723" s="2">
        <v>181.8659055698663</v>
      </c>
      <c r="H723" s="2">
        <v>21.682739392388612</v>
      </c>
      <c r="I723" s="2">
        <v>0.81857467154506602</v>
      </c>
      <c r="J723" s="2">
        <v>9</v>
      </c>
      <c r="K723" s="2">
        <v>195.39062623343074</v>
      </c>
      <c r="L723" s="2">
        <v>45</v>
      </c>
      <c r="M723" s="2">
        <v>25</v>
      </c>
      <c r="N723" s="2">
        <v>1.1934379645001238</v>
      </c>
      <c r="O723" s="2">
        <v>52.225572669351315</v>
      </c>
      <c r="P723" s="2">
        <v>1439.4763592281379</v>
      </c>
      <c r="Q723" s="2">
        <v>1.1861313435463663</v>
      </c>
      <c r="R723" s="2">
        <v>51.59542849583417</v>
      </c>
      <c r="S723" s="2">
        <v>1431.4774721686342</v>
      </c>
      <c r="T723" s="2">
        <v>-7.3066209537575588E-3</v>
      </c>
      <c r="U723" s="2">
        <v>-0.63014417351714513</v>
      </c>
      <c r="V723" s="2">
        <v>-7.9988870595036587</v>
      </c>
    </row>
    <row r="724" spans="1:22" ht="15">
      <c r="A724" s="2">
        <v>723</v>
      </c>
      <c r="B724" s="2" t="s">
        <v>78</v>
      </c>
      <c r="C724" s="2" t="s">
        <v>13</v>
      </c>
      <c r="D724" s="2">
        <v>1461.8996599456295</v>
      </c>
      <c r="E724" s="2">
        <v>673.15184470498934</v>
      </c>
      <c r="F724" s="2">
        <v>367.07800291478634</v>
      </c>
      <c r="G724" s="2">
        <v>115.76807741774246</v>
      </c>
      <c r="H724" s="2">
        <v>22.791106966324151</v>
      </c>
      <c r="I724" s="2">
        <v>0.84255286943865948</v>
      </c>
      <c r="J724" s="2">
        <v>9</v>
      </c>
      <c r="K724" s="2">
        <v>192.78706588197082</v>
      </c>
      <c r="L724" s="2">
        <v>65</v>
      </c>
      <c r="M724" s="2">
        <v>25</v>
      </c>
      <c r="N724" s="2">
        <v>1.2079447513377437</v>
      </c>
      <c r="O724" s="2">
        <v>52.155248976461472</v>
      </c>
      <c r="P724" s="2">
        <v>1461.8996599456295</v>
      </c>
      <c r="Q724" s="2">
        <v>1.1857995105455694</v>
      </c>
      <c r="R724" s="2">
        <v>51.202740882759173</v>
      </c>
      <c r="S724" s="2">
        <v>1478.9720155684049</v>
      </c>
      <c r="T724" s="2">
        <v>-2.2145240792174281E-2</v>
      </c>
      <c r="U724" s="2">
        <v>-0.95250809370229916</v>
      </c>
      <c r="V724" s="2">
        <v>17.072355622775376</v>
      </c>
    </row>
    <row r="725" spans="1:22" ht="15">
      <c r="A725" s="2">
        <v>724</v>
      </c>
      <c r="B725" s="2" t="s">
        <v>78</v>
      </c>
      <c r="C725" s="2" t="s">
        <v>13</v>
      </c>
      <c r="D725" s="2">
        <v>1432.2191429673694</v>
      </c>
      <c r="E725" s="2">
        <v>835.55114478804171</v>
      </c>
      <c r="F725" s="2">
        <v>517.82922921702266</v>
      </c>
      <c r="G725" s="2">
        <v>106.36853361036628</v>
      </c>
      <c r="H725" s="2">
        <v>20.533381357323378</v>
      </c>
      <c r="I725" s="2">
        <v>0.84026411758735775</v>
      </c>
      <c r="J725" s="2">
        <v>9</v>
      </c>
      <c r="K725" s="2">
        <v>189.38742830841309</v>
      </c>
      <c r="L725" s="2">
        <v>50</v>
      </c>
      <c r="M725" s="2">
        <v>25</v>
      </c>
      <c r="N725" s="2">
        <v>1.1884423256123808</v>
      </c>
      <c r="O725" s="2">
        <v>52.202611348419936</v>
      </c>
      <c r="P725" s="2">
        <v>1432.2191429673694</v>
      </c>
      <c r="Q725" s="2">
        <v>1.1731686461394562</v>
      </c>
      <c r="R725" s="2">
        <v>50.926037462042203</v>
      </c>
      <c r="S725" s="2">
        <v>1442.6099912506254</v>
      </c>
      <c r="T725" s="2">
        <v>-1.5273679472924684E-2</v>
      </c>
      <c r="U725" s="2">
        <v>-1.2765738863777329</v>
      </c>
      <c r="V725" s="2">
        <v>10.390848283255991</v>
      </c>
    </row>
    <row r="726" spans="1:22" ht="15">
      <c r="A726" s="2">
        <v>725</v>
      </c>
      <c r="B726" s="2" t="s">
        <v>78</v>
      </c>
      <c r="C726" s="2" t="s">
        <v>13</v>
      </c>
      <c r="D726" s="2">
        <v>1454.255771683529</v>
      </c>
      <c r="E726" s="2">
        <v>703.01079562632367</v>
      </c>
      <c r="F726" s="2">
        <v>379.55943923443556</v>
      </c>
      <c r="G726" s="2">
        <v>155.01180499093607</v>
      </c>
      <c r="H726" s="2">
        <v>15.367318734526634</v>
      </c>
      <c r="I726" s="2">
        <v>0.80721390156308193</v>
      </c>
      <c r="J726" s="2">
        <v>10</v>
      </c>
      <c r="K726" s="2">
        <v>180.15742405668695</v>
      </c>
      <c r="L726" s="2">
        <v>55</v>
      </c>
      <c r="M726" s="2">
        <v>25</v>
      </c>
      <c r="N726" s="2">
        <v>1.193620871905408</v>
      </c>
      <c r="O726" s="2">
        <v>52.189411088404306</v>
      </c>
      <c r="P726" s="2">
        <v>1454.255771683529</v>
      </c>
      <c r="Q726" s="2">
        <v>1.1851380205013318</v>
      </c>
      <c r="R726" s="2">
        <v>50.98360902340935</v>
      </c>
      <c r="S726" s="2">
        <v>1472.0927457024666</v>
      </c>
      <c r="T726" s="2">
        <v>-8.4828514040762304E-3</v>
      </c>
      <c r="U726" s="2">
        <v>-1.2058020649949555</v>
      </c>
      <c r="V726" s="2">
        <v>17.836974018937553</v>
      </c>
    </row>
    <row r="727" spans="1:22" ht="15">
      <c r="A727" s="2">
        <v>726</v>
      </c>
      <c r="B727" s="2" t="s">
        <v>78</v>
      </c>
      <c r="C727" s="2" t="s">
        <v>13</v>
      </c>
      <c r="D727" s="2">
        <v>1472.5322586600669</v>
      </c>
      <c r="E727" s="2">
        <v>787.44415619876236</v>
      </c>
      <c r="F727" s="2">
        <v>619.25595523789525</v>
      </c>
      <c r="G727" s="2">
        <v>182.07471670582891</v>
      </c>
      <c r="H727" s="2">
        <v>27.962075150106102</v>
      </c>
      <c r="I727" s="2">
        <v>0.816513218334876</v>
      </c>
      <c r="J727" s="2">
        <v>10</v>
      </c>
      <c r="K727" s="2">
        <v>180.34395838232936</v>
      </c>
      <c r="L727" s="2">
        <v>40</v>
      </c>
      <c r="M727" s="2">
        <v>25</v>
      </c>
      <c r="N727" s="2">
        <v>1.1983765421362553</v>
      </c>
      <c r="O727" s="2">
        <v>52.250255238975683</v>
      </c>
      <c r="P727" s="2">
        <v>1472.5322586600669</v>
      </c>
      <c r="Q727" s="2">
        <v>1.1836223352161792</v>
      </c>
      <c r="R727" s="2">
        <v>52.563165547436761</v>
      </c>
      <c r="S727" s="2">
        <v>1462.5653214459196</v>
      </c>
      <c r="T727" s="2">
        <v>-1.4754206920076118E-2</v>
      </c>
      <c r="U727" s="2">
        <v>0.31291030846107759</v>
      </c>
      <c r="V727" s="2">
        <v>-9.966937214147265</v>
      </c>
    </row>
    <row r="728" spans="1:22" ht="15">
      <c r="A728" s="2">
        <v>727</v>
      </c>
      <c r="B728" s="2" t="s">
        <v>78</v>
      </c>
      <c r="C728" s="2" t="s">
        <v>13</v>
      </c>
      <c r="D728" s="2">
        <v>1474.4427730562165</v>
      </c>
      <c r="E728" s="2">
        <v>1216.3369106245227</v>
      </c>
      <c r="F728" s="2">
        <v>565.13936370611191</v>
      </c>
      <c r="G728" s="2">
        <v>169.87506566336378</v>
      </c>
      <c r="H728" s="2">
        <v>17.036746735684574</v>
      </c>
      <c r="I728" s="2">
        <v>0.82835271607851613</v>
      </c>
      <c r="J728" s="2">
        <v>9</v>
      </c>
      <c r="K728" s="2">
        <v>197.77441614436088</v>
      </c>
      <c r="L728" s="2">
        <v>35</v>
      </c>
      <c r="M728" s="2">
        <v>25</v>
      </c>
      <c r="N728" s="2">
        <v>1.1338031790339689</v>
      </c>
      <c r="O728" s="2">
        <v>52.279264457688562</v>
      </c>
      <c r="P728" s="2">
        <v>1474.4427730562165</v>
      </c>
      <c r="Q728" s="2">
        <v>1.1497394279952986</v>
      </c>
      <c r="R728" s="2">
        <v>53.162298485892514</v>
      </c>
      <c r="S728" s="2">
        <v>1477.149404845484</v>
      </c>
      <c r="T728" s="2">
        <v>1.5936248961329724E-2</v>
      </c>
      <c r="U728" s="2">
        <v>0.88303402820395149</v>
      </c>
      <c r="V728" s="2">
        <v>2.7066317892674761</v>
      </c>
    </row>
    <row r="729" spans="1:22" ht="15">
      <c r="A729" s="2">
        <v>728</v>
      </c>
      <c r="B729" s="2" t="s">
        <v>78</v>
      </c>
      <c r="C729" s="2" t="s">
        <v>13</v>
      </c>
      <c r="D729" s="2">
        <v>1470.7446175510995</v>
      </c>
      <c r="E729" s="2">
        <v>686.40423929318786</v>
      </c>
      <c r="F729" s="2">
        <v>700.67918514832854</v>
      </c>
      <c r="G729" s="2">
        <v>308.17888169083744</v>
      </c>
      <c r="H729" s="2">
        <v>9.0615822277031839</v>
      </c>
      <c r="I729" s="2">
        <v>0.84520792786963284</v>
      </c>
      <c r="J729" s="2">
        <v>9</v>
      </c>
      <c r="K729" s="2">
        <v>193.34422126006675</v>
      </c>
      <c r="L729" s="2">
        <v>45</v>
      </c>
      <c r="M729" s="2">
        <v>25</v>
      </c>
      <c r="N729" s="2">
        <v>1.1923825585820436</v>
      </c>
      <c r="O729" s="2">
        <v>52.239333775083686</v>
      </c>
      <c r="P729" s="2">
        <v>1470.7446175510995</v>
      </c>
      <c r="Q729" s="2">
        <v>1.2035425741286765</v>
      </c>
      <c r="R729" s="2">
        <v>52.565665324811619</v>
      </c>
      <c r="S729" s="2">
        <v>1480.9990443862612</v>
      </c>
      <c r="T729" s="2">
        <v>1.1160015546632929E-2</v>
      </c>
      <c r="U729" s="2">
        <v>0.32633154972793221</v>
      </c>
      <c r="V729" s="2">
        <v>10.254426835161667</v>
      </c>
    </row>
    <row r="730" spans="1:22" ht="15">
      <c r="A730" s="2">
        <v>729</v>
      </c>
      <c r="B730" s="2" t="s">
        <v>78</v>
      </c>
      <c r="C730" s="2" t="s">
        <v>13</v>
      </c>
      <c r="D730" s="2">
        <v>1399.3254594504833</v>
      </c>
      <c r="E730" s="2">
        <v>1015.1420506066643</v>
      </c>
      <c r="F730" s="2">
        <v>427.0647631958127</v>
      </c>
      <c r="G730" s="2">
        <v>279.61606204742566</v>
      </c>
      <c r="H730" s="2">
        <v>28.653290627524257</v>
      </c>
      <c r="I730" s="2">
        <v>0.85292133023263894</v>
      </c>
      <c r="J730" s="2">
        <v>9</v>
      </c>
      <c r="K730" s="2">
        <v>182.29184931182468</v>
      </c>
      <c r="L730" s="2">
        <v>40</v>
      </c>
      <c r="M730" s="2">
        <v>25</v>
      </c>
      <c r="N730" s="2">
        <v>1.1897639317589468</v>
      </c>
      <c r="O730" s="2">
        <v>52.243475231916889</v>
      </c>
      <c r="P730" s="2">
        <v>1399.3254594504833</v>
      </c>
      <c r="Q730" s="2">
        <v>1.1757094649567863</v>
      </c>
      <c r="R730" s="2">
        <v>52.291150227362401</v>
      </c>
      <c r="S730" s="2">
        <v>1378.6167399635474</v>
      </c>
      <c r="T730" s="2">
        <v>-1.4054466802160492E-2</v>
      </c>
      <c r="U730" s="2">
        <v>4.767499544551157E-2</v>
      </c>
      <c r="V730" s="2">
        <v>-20.708719486935934</v>
      </c>
    </row>
    <row r="731" spans="1:22" ht="15">
      <c r="A731" s="2">
        <v>730</v>
      </c>
      <c r="B731" s="2" t="s">
        <v>78</v>
      </c>
      <c r="C731" s="2" t="s">
        <v>13</v>
      </c>
      <c r="D731" s="2">
        <v>1455.1806195289828</v>
      </c>
      <c r="E731" s="2">
        <v>626.5705960104242</v>
      </c>
      <c r="F731" s="2">
        <v>519.08826688304543</v>
      </c>
      <c r="G731" s="2">
        <v>168.66293146274984</v>
      </c>
      <c r="H731" s="2">
        <v>27.800882366020232</v>
      </c>
      <c r="I731" s="2">
        <v>0.82472571209538736</v>
      </c>
      <c r="J731" s="2">
        <v>9</v>
      </c>
      <c r="K731" s="2">
        <v>196.0491023038696</v>
      </c>
      <c r="L731" s="2">
        <v>55</v>
      </c>
      <c r="M731" s="2">
        <v>25</v>
      </c>
      <c r="N731" s="2">
        <v>1.198002044054578</v>
      </c>
      <c r="O731" s="2">
        <v>52.179935625784992</v>
      </c>
      <c r="P731" s="2">
        <v>1455.1806195289828</v>
      </c>
      <c r="Q731" s="2">
        <v>1.1841464911534254</v>
      </c>
      <c r="R731" s="2">
        <v>51.21268281318396</v>
      </c>
      <c r="S731" s="2">
        <v>1444.3428687627315</v>
      </c>
      <c r="T731" s="2">
        <v>-1.385555290115259E-2</v>
      </c>
      <c r="U731" s="2">
        <v>-0.96725281260103202</v>
      </c>
      <c r="V731" s="2">
        <v>-10.837750766251247</v>
      </c>
    </row>
    <row r="732" spans="1:22" ht="15">
      <c r="A732" s="2">
        <v>731</v>
      </c>
      <c r="B732" s="2" t="s">
        <v>78</v>
      </c>
      <c r="C732" s="2" t="s">
        <v>13</v>
      </c>
      <c r="D732" s="2">
        <v>1374.2280297679827</v>
      </c>
      <c r="E732" s="2">
        <v>1018.8589048222639</v>
      </c>
      <c r="F732" s="2">
        <v>486.61136068403721</v>
      </c>
      <c r="G732" s="2">
        <v>279.73111635772511</v>
      </c>
      <c r="H732" s="2">
        <v>29.601565533317626</v>
      </c>
      <c r="I732" s="2">
        <v>0.83156358475564052</v>
      </c>
      <c r="J732" s="2">
        <v>9</v>
      </c>
      <c r="K732" s="2">
        <v>183.62035821039831</v>
      </c>
      <c r="L732" s="2">
        <v>40</v>
      </c>
      <c r="M732" s="2">
        <v>25</v>
      </c>
      <c r="N732" s="2">
        <v>1.2330208704601484</v>
      </c>
      <c r="O732" s="2">
        <v>52.253357525467145</v>
      </c>
      <c r="P732" s="2">
        <v>1374.2280297679827</v>
      </c>
      <c r="Q732" s="2">
        <v>1.2380499172589983</v>
      </c>
      <c r="R732" s="2">
        <v>52.784224809716449</v>
      </c>
      <c r="S732" s="2">
        <v>1354.6593423120132</v>
      </c>
      <c r="T732" s="2">
        <v>5.0290467988498566E-3</v>
      </c>
      <c r="U732" s="2">
        <v>0.53086728424930385</v>
      </c>
      <c r="V732" s="2">
        <v>-19.568687455969439</v>
      </c>
    </row>
    <row r="733" spans="1:22" ht="15">
      <c r="A733" s="2">
        <v>732</v>
      </c>
      <c r="B733" s="2" t="s">
        <v>78</v>
      </c>
      <c r="C733" s="2" t="s">
        <v>13</v>
      </c>
      <c r="D733" s="2">
        <v>1418.9824149361812</v>
      </c>
      <c r="E733" s="2">
        <v>988.4046524297446</v>
      </c>
      <c r="F733" s="2">
        <v>693.09526337310672</v>
      </c>
      <c r="G733" s="2">
        <v>291.05831849854439</v>
      </c>
      <c r="H733" s="2">
        <v>21.78218888817355</v>
      </c>
      <c r="I733" s="2">
        <v>0.84457639880478386</v>
      </c>
      <c r="J733" s="2">
        <v>9</v>
      </c>
      <c r="K733" s="2">
        <v>186.67904169925728</v>
      </c>
      <c r="L733" s="2">
        <v>35</v>
      </c>
      <c r="M733" s="2">
        <v>25</v>
      </c>
      <c r="N733" s="2">
        <v>1.1731671845662093</v>
      </c>
      <c r="O733" s="2">
        <v>52.282571142683445</v>
      </c>
      <c r="P733" s="2">
        <v>1418.9824149361812</v>
      </c>
      <c r="Q733" s="2">
        <v>1.1797407050981668</v>
      </c>
      <c r="R733" s="2">
        <v>53.3711519239518</v>
      </c>
      <c r="S733" s="2">
        <v>1412.157677417897</v>
      </c>
      <c r="T733" s="2">
        <v>6.5735205319574774E-3</v>
      </c>
      <c r="U733" s="2">
        <v>1.0885807812683552</v>
      </c>
      <c r="V733" s="2">
        <v>-6.8247375182841097</v>
      </c>
    </row>
    <row r="734" spans="1:22" ht="15">
      <c r="A734" s="2">
        <v>733</v>
      </c>
      <c r="B734" s="2" t="s">
        <v>78</v>
      </c>
      <c r="C734" s="2" t="s">
        <v>13</v>
      </c>
      <c r="D734" s="2">
        <v>1467.897293670103</v>
      </c>
      <c r="E734" s="2">
        <v>1155.3445041994564</v>
      </c>
      <c r="F734" s="2">
        <v>635.72109695523977</v>
      </c>
      <c r="G734" s="2">
        <v>82.085381012875587</v>
      </c>
      <c r="H734" s="2">
        <v>28.050575595349073</v>
      </c>
      <c r="I734" s="2">
        <v>0.8139792757877149</v>
      </c>
      <c r="J734" s="2">
        <v>10</v>
      </c>
      <c r="K734" s="2">
        <v>180.33595416167933</v>
      </c>
      <c r="L734" s="2">
        <v>35</v>
      </c>
      <c r="M734" s="2">
        <v>25</v>
      </c>
      <c r="N734" s="2">
        <v>1.2510211734248753</v>
      </c>
      <c r="O734" s="2">
        <v>52.29952340766053</v>
      </c>
      <c r="P734" s="2">
        <v>1467.897293670103</v>
      </c>
      <c r="Q734" s="2">
        <v>1.2572686418549144</v>
      </c>
      <c r="R734" s="2">
        <v>52.305533690642037</v>
      </c>
      <c r="S734" s="2">
        <v>1446.0441355595403</v>
      </c>
      <c r="T734" s="2">
        <v>6.2474684300390937E-3</v>
      </c>
      <c r="U734" s="2">
        <v>6.0102829815065206E-3</v>
      </c>
      <c r="V734" s="2">
        <v>-21.853158110562617</v>
      </c>
    </row>
    <row r="735" spans="1:22" ht="15">
      <c r="A735" s="2">
        <v>734</v>
      </c>
      <c r="B735" s="2" t="s">
        <v>78</v>
      </c>
      <c r="C735" s="2" t="s">
        <v>13</v>
      </c>
      <c r="D735" s="2">
        <v>1437.6558907446451</v>
      </c>
      <c r="E735" s="2">
        <v>630.12501436751336</v>
      </c>
      <c r="F735" s="2">
        <v>591.8364723213017</v>
      </c>
      <c r="G735" s="2">
        <v>172.8236274048686</v>
      </c>
      <c r="H735" s="2">
        <v>13.053231226745993</v>
      </c>
      <c r="I735" s="2">
        <v>0.850140165197663</v>
      </c>
      <c r="J735" s="2">
        <v>9</v>
      </c>
      <c r="K735" s="2">
        <v>187.8978902013543</v>
      </c>
      <c r="L735" s="2">
        <v>55</v>
      </c>
      <c r="M735" s="2">
        <v>25</v>
      </c>
      <c r="N735" s="2">
        <v>1.2067919859571203</v>
      </c>
      <c r="O735" s="2">
        <v>52.192481868915053</v>
      </c>
      <c r="P735" s="2">
        <v>1437.6558907446451</v>
      </c>
      <c r="Q735" s="2">
        <v>1.2173115056526236</v>
      </c>
      <c r="R735" s="2">
        <v>50.534706048437862</v>
      </c>
      <c r="S735" s="2">
        <v>1450.7599503904016</v>
      </c>
      <c r="T735" s="2">
        <v>1.0519519695503243E-2</v>
      </c>
      <c r="U735" s="2">
        <v>-1.6577758204771911</v>
      </c>
      <c r="V735" s="2">
        <v>13.104059645756479</v>
      </c>
    </row>
    <row r="736" spans="1:22" ht="15">
      <c r="A736" s="2">
        <v>735</v>
      </c>
      <c r="B736" s="2" t="s">
        <v>79</v>
      </c>
      <c r="C736" s="2" t="s">
        <v>13</v>
      </c>
      <c r="D736" s="2">
        <v>1418.3342565083876</v>
      </c>
      <c r="E736" s="2">
        <v>659.47421930031851</v>
      </c>
      <c r="F736" s="2">
        <v>459.73848924040794</v>
      </c>
      <c r="G736" s="2">
        <v>175.76879948144779</v>
      </c>
      <c r="H736" s="2">
        <v>18.557698807679117</v>
      </c>
      <c r="I736" s="2">
        <v>0.79891337835928433</v>
      </c>
      <c r="J736" s="2">
        <v>9</v>
      </c>
      <c r="K736" s="2">
        <v>197.25880106206787</v>
      </c>
      <c r="L736" s="2">
        <v>60</v>
      </c>
      <c r="M736" s="2">
        <v>25</v>
      </c>
      <c r="N736" s="2">
        <v>1.23747587779206</v>
      </c>
      <c r="O736" s="2">
        <v>52.176919991638357</v>
      </c>
      <c r="P736" s="2">
        <v>1418.3342565083876</v>
      </c>
      <c r="Q736" s="2">
        <v>1.2384707688306589</v>
      </c>
      <c r="R736" s="2">
        <v>52.571782666023161</v>
      </c>
      <c r="S736" s="2">
        <v>1436.3539855373392</v>
      </c>
      <c r="T736" s="2">
        <v>9.9489103859884409E-4</v>
      </c>
      <c r="U736" s="2">
        <v>0.39486267438480382</v>
      </c>
      <c r="V736" s="2">
        <v>18.019729028951588</v>
      </c>
    </row>
    <row r="737" spans="1:22" ht="15">
      <c r="A737" s="2">
        <v>736</v>
      </c>
      <c r="B737" s="2" t="s">
        <v>79</v>
      </c>
      <c r="C737" s="2" t="s">
        <v>13</v>
      </c>
      <c r="D737" s="2">
        <v>1486.7288088309579</v>
      </c>
      <c r="E737" s="2">
        <v>625.69469958543777</v>
      </c>
      <c r="F737" s="2">
        <v>518.16715886816382</v>
      </c>
      <c r="G737" s="2">
        <v>164.0888872044161</v>
      </c>
      <c r="H737" s="2">
        <v>18.031201304402202</v>
      </c>
      <c r="I737" s="2">
        <v>0.80446042652241889</v>
      </c>
      <c r="J737" s="2">
        <v>10</v>
      </c>
      <c r="K737" s="2">
        <v>184.81068301369393</v>
      </c>
      <c r="L737" s="2">
        <v>50</v>
      </c>
      <c r="M737" s="2">
        <v>25</v>
      </c>
      <c r="N737" s="2">
        <v>1.1649894100665705</v>
      </c>
      <c r="O737" s="2">
        <v>52.201602466685245</v>
      </c>
      <c r="P737" s="2">
        <v>1486.7288088309579</v>
      </c>
      <c r="Q737" s="2">
        <v>1.1633392115257453</v>
      </c>
      <c r="R737" s="2">
        <v>51.471299635752381</v>
      </c>
      <c r="S737" s="2">
        <v>1504.5973325946861</v>
      </c>
      <c r="T737" s="2">
        <v>-1.6501985408252651E-3</v>
      </c>
      <c r="U737" s="2">
        <v>-0.73030283093286386</v>
      </c>
      <c r="V737" s="2">
        <v>17.868523763728263</v>
      </c>
    </row>
    <row r="738" spans="1:22" ht="15">
      <c r="A738" s="2">
        <v>737</v>
      </c>
      <c r="B738" s="2" t="s">
        <v>79</v>
      </c>
      <c r="C738" s="2" t="s">
        <v>13</v>
      </c>
      <c r="D738" s="2">
        <v>1367.7545799873769</v>
      </c>
      <c r="E738" s="2">
        <v>1153.2092995359562</v>
      </c>
      <c r="F738" s="2">
        <v>696.3103199377656</v>
      </c>
      <c r="G738" s="2">
        <v>254.82599901268259</v>
      </c>
      <c r="H738" s="2">
        <v>12.842074925079942</v>
      </c>
      <c r="I738" s="2">
        <v>0.84077597665833315</v>
      </c>
      <c r="J738" s="2">
        <v>9</v>
      </c>
      <c r="K738" s="2">
        <v>180.75294172143768</v>
      </c>
      <c r="L738" s="2">
        <v>35</v>
      </c>
      <c r="M738" s="2">
        <v>25</v>
      </c>
      <c r="N738" s="2">
        <v>1.1890535438490581</v>
      </c>
      <c r="O738" s="2">
        <v>52.303120090562494</v>
      </c>
      <c r="P738" s="2">
        <v>1367.7545799873769</v>
      </c>
      <c r="Q738" s="2">
        <v>1.2066705536211548</v>
      </c>
      <c r="R738" s="2">
        <v>53.660293925341335</v>
      </c>
      <c r="S738" s="2">
        <v>1354.9844063963365</v>
      </c>
      <c r="T738" s="2">
        <v>1.7617009772096681E-2</v>
      </c>
      <c r="U738" s="2">
        <v>1.3571738347788411</v>
      </c>
      <c r="V738" s="2">
        <v>-12.770173591040475</v>
      </c>
    </row>
    <row r="739" spans="1:22" ht="15">
      <c r="A739" s="2">
        <v>738</v>
      </c>
      <c r="B739" s="2" t="s">
        <v>80</v>
      </c>
      <c r="C739" s="2" t="s">
        <v>13</v>
      </c>
      <c r="D739" s="2">
        <v>1441.3997584604658</v>
      </c>
      <c r="E739" s="2">
        <v>679.56694543827325</v>
      </c>
      <c r="F739" s="2">
        <v>702.79989177361131</v>
      </c>
      <c r="G739" s="2">
        <v>288.92603718675673</v>
      </c>
      <c r="H739" s="2">
        <v>23.053744592238218</v>
      </c>
      <c r="I739" s="2">
        <v>0.85812556138727814</v>
      </c>
      <c r="J739" s="2">
        <v>9</v>
      </c>
      <c r="K739" s="2">
        <v>186.63414297893198</v>
      </c>
      <c r="L739" s="2">
        <v>45</v>
      </c>
      <c r="M739" s="2">
        <v>25</v>
      </c>
      <c r="N739" s="2">
        <v>1.2435410151014499</v>
      </c>
      <c r="O739" s="2">
        <v>52.235596341440605</v>
      </c>
      <c r="P739" s="2">
        <v>1441.3997584604658</v>
      </c>
      <c r="Q739" s="2">
        <v>1.2313540524496609</v>
      </c>
      <c r="R739" s="2">
        <v>52.192950002873189</v>
      </c>
      <c r="S739" s="2">
        <v>1436.7776907799887</v>
      </c>
      <c r="T739" s="2">
        <v>-1.218696265178898E-2</v>
      </c>
      <c r="U739" s="2">
        <v>-4.2646338567415398E-2</v>
      </c>
      <c r="V739" s="2">
        <v>-4.6220676804771301</v>
      </c>
    </row>
    <row r="740" spans="1:22" ht="15">
      <c r="A740" s="2">
        <v>739</v>
      </c>
      <c r="B740" s="2" t="s">
        <v>80</v>
      </c>
      <c r="C740" s="2" t="s">
        <v>13</v>
      </c>
      <c r="D740" s="2">
        <v>1428.2489634817466</v>
      </c>
      <c r="E740" s="2">
        <v>1212.5151509069838</v>
      </c>
      <c r="F740" s="2">
        <v>648.46623353660107</v>
      </c>
      <c r="G740" s="2">
        <v>206.12793751759455</v>
      </c>
      <c r="H740" s="2">
        <v>22.450785120017827</v>
      </c>
      <c r="I740" s="2">
        <v>0.85457625069422649</v>
      </c>
      <c r="J740" s="2">
        <v>9</v>
      </c>
      <c r="K740" s="2">
        <v>185.69943775857587</v>
      </c>
      <c r="L740" s="2">
        <v>35</v>
      </c>
      <c r="M740" s="2">
        <v>25</v>
      </c>
      <c r="N740" s="2">
        <v>1.2271979218970428</v>
      </c>
      <c r="O740" s="2">
        <v>52.297314021026793</v>
      </c>
      <c r="P740" s="2">
        <v>1428.2489634817466</v>
      </c>
      <c r="Q740" s="2">
        <v>1.2290250757305026</v>
      </c>
      <c r="R740" s="2">
        <v>53.308099855197305</v>
      </c>
      <c r="S740" s="2">
        <v>1410.0473148055326</v>
      </c>
      <c r="T740" s="2">
        <v>1.8271538334597714E-3</v>
      </c>
      <c r="U740" s="2">
        <v>1.0107858341705125</v>
      </c>
      <c r="V740" s="2">
        <v>-18.201648676214063</v>
      </c>
    </row>
    <row r="741" spans="1:22" ht="15">
      <c r="A741" s="2">
        <v>740</v>
      </c>
      <c r="B741" s="2" t="s">
        <v>80</v>
      </c>
      <c r="C741" s="2" t="s">
        <v>13</v>
      </c>
      <c r="D741" s="2">
        <v>1495.2811944647692</v>
      </c>
      <c r="E741" s="2">
        <v>884.38221891410649</v>
      </c>
      <c r="F741" s="2">
        <v>513.92749873921275</v>
      </c>
      <c r="G741" s="2">
        <v>276.41629827674478</v>
      </c>
      <c r="H741" s="2">
        <v>21.015736080240458</v>
      </c>
      <c r="I741" s="2">
        <v>0.84502145616337665</v>
      </c>
      <c r="J741" s="2">
        <v>9</v>
      </c>
      <c r="K741" s="2">
        <v>196.61317914323811</v>
      </c>
      <c r="L741" s="2">
        <v>45</v>
      </c>
      <c r="M741" s="2">
        <v>25</v>
      </c>
      <c r="N741" s="2">
        <v>1.2362863516439841</v>
      </c>
      <c r="O741" s="2">
        <v>52.23613165403389</v>
      </c>
      <c r="P741" s="2">
        <v>1495.2811944647692</v>
      </c>
      <c r="Q741" s="2">
        <v>1.2363830057791327</v>
      </c>
      <c r="R741" s="2">
        <v>51.901284604610495</v>
      </c>
      <c r="S741" s="2">
        <v>1500.0857504776052</v>
      </c>
      <c r="T741" s="2">
        <v>9.6654135148588338E-5</v>
      </c>
      <c r="U741" s="2">
        <v>-0.33484704942339505</v>
      </c>
      <c r="V741" s="2">
        <v>4.8045560128359739</v>
      </c>
    </row>
    <row r="742" spans="1:22" ht="15">
      <c r="A742" s="2">
        <v>741</v>
      </c>
      <c r="B742" s="2" t="s">
        <v>78</v>
      </c>
      <c r="C742" s="2" t="s">
        <v>13</v>
      </c>
      <c r="D742" s="2">
        <v>1436.0719128046185</v>
      </c>
      <c r="E742" s="2">
        <v>1189.6423151600175</v>
      </c>
      <c r="F742" s="2">
        <v>674.97594486922026</v>
      </c>
      <c r="G742" s="2">
        <v>254.41289249109104</v>
      </c>
      <c r="H742" s="2">
        <v>23.742383934557438</v>
      </c>
      <c r="I742" s="2">
        <v>0.83076597834238786</v>
      </c>
      <c r="J742" s="2">
        <v>9</v>
      </c>
      <c r="K742" s="2">
        <v>192.06798307455253</v>
      </c>
      <c r="L742" s="2">
        <v>35</v>
      </c>
      <c r="M742" s="2">
        <v>25</v>
      </c>
      <c r="N742" s="2">
        <v>1.2622885351406157</v>
      </c>
      <c r="O742" s="2">
        <v>52.305409932456733</v>
      </c>
      <c r="P742" s="2">
        <v>1436.0719128046185</v>
      </c>
      <c r="Q742" s="2">
        <v>1.2698412608245755</v>
      </c>
      <c r="R742" s="2">
        <v>52.76550212218126</v>
      </c>
      <c r="S742" s="2">
        <v>1419.7990389919357</v>
      </c>
      <c r="T742" s="2">
        <v>7.5527256839598156E-3</v>
      </c>
      <c r="U742" s="2">
        <v>0.46009218972452715</v>
      </c>
      <c r="V742" s="2">
        <v>-16.272873812682747</v>
      </c>
    </row>
    <row r="743" spans="1:22" ht="15">
      <c r="A743" s="2">
        <v>742</v>
      </c>
      <c r="B743" s="2" t="s">
        <v>78</v>
      </c>
      <c r="C743" s="2" t="s">
        <v>13</v>
      </c>
      <c r="D743" s="2">
        <v>1477.6738169719465</v>
      </c>
      <c r="E743" s="2">
        <v>797.62350914534181</v>
      </c>
      <c r="F743" s="2">
        <v>365.38728149607778</v>
      </c>
      <c r="G743" s="2">
        <v>210.72465499863029</v>
      </c>
      <c r="H743" s="2">
        <v>9.3533157692290843</v>
      </c>
      <c r="I743" s="2">
        <v>0.81903177277650685</v>
      </c>
      <c r="J743" s="2">
        <v>10</v>
      </c>
      <c r="K743" s="2">
        <v>180.41715426529206</v>
      </c>
      <c r="L743" s="2">
        <v>50</v>
      </c>
      <c r="M743" s="2">
        <v>25</v>
      </c>
      <c r="N743" s="2">
        <v>1.1854762014290368</v>
      </c>
      <c r="O743" s="2">
        <v>52.212999665957128</v>
      </c>
      <c r="P743" s="2">
        <v>1477.6738169719465</v>
      </c>
      <c r="Q743" s="2">
        <v>1.1905326128236198</v>
      </c>
      <c r="R743" s="2">
        <v>51.322786257825193</v>
      </c>
      <c r="S743" s="2">
        <v>1494.5976720691958</v>
      </c>
      <c r="T743" s="2">
        <v>5.0564113945830158E-3</v>
      </c>
      <c r="U743" s="2">
        <v>-0.89021340813193461</v>
      </c>
      <c r="V743" s="2">
        <v>16.923855097249316</v>
      </c>
    </row>
    <row r="744" spans="1:22" ht="15">
      <c r="A744" s="2">
        <v>743</v>
      </c>
      <c r="B744" s="2" t="s">
        <v>78</v>
      </c>
      <c r="C744" s="2" t="s">
        <v>13</v>
      </c>
      <c r="D744" s="2">
        <v>1438.7666600989178</v>
      </c>
      <c r="E744" s="2">
        <v>644.68250387581065</v>
      </c>
      <c r="F744" s="2">
        <v>564.28188681602478</v>
      </c>
      <c r="G744" s="2">
        <v>112.54977049073204</v>
      </c>
      <c r="H744" s="2">
        <v>26.985390949063003</v>
      </c>
      <c r="I744" s="2">
        <v>0.80610949612921112</v>
      </c>
      <c r="J744" s="2">
        <v>9</v>
      </c>
      <c r="K744" s="2">
        <v>198.31420297223332</v>
      </c>
      <c r="L744" s="2">
        <v>55</v>
      </c>
      <c r="M744" s="2">
        <v>25</v>
      </c>
      <c r="N744" s="2">
        <v>1.2008513787824859</v>
      </c>
      <c r="O744" s="2">
        <v>52.181057095582389</v>
      </c>
      <c r="P744" s="2">
        <v>1438.7666600989178</v>
      </c>
      <c r="Q744" s="2">
        <v>1.195529710482</v>
      </c>
      <c r="R744" s="2">
        <v>50.556172128321009</v>
      </c>
      <c r="S744" s="2">
        <v>1432.3311696144915</v>
      </c>
      <c r="T744" s="2">
        <v>-5.3216683004859711E-3</v>
      </c>
      <c r="U744" s="2">
        <v>-1.6248849672613801</v>
      </c>
      <c r="V744" s="2">
        <v>-6.4354904844262819</v>
      </c>
    </row>
    <row r="745" spans="1:22" ht="15">
      <c r="A745" s="2">
        <v>744</v>
      </c>
      <c r="B745" s="2" t="s">
        <v>78</v>
      </c>
      <c r="C745" s="2" t="s">
        <v>13</v>
      </c>
      <c r="D745" s="2">
        <v>1487.6279079238884</v>
      </c>
      <c r="E745" s="2">
        <v>725.00456059351563</v>
      </c>
      <c r="F745" s="2">
        <v>700.56375628337264</v>
      </c>
      <c r="G745" s="2">
        <v>224.28423123899847</v>
      </c>
      <c r="H745" s="2">
        <v>9.6737676686607301</v>
      </c>
      <c r="I745" s="2">
        <v>0.85147964105941365</v>
      </c>
      <c r="J745" s="2">
        <v>9</v>
      </c>
      <c r="K745" s="2">
        <v>194.12324358532416</v>
      </c>
      <c r="L745" s="2">
        <v>45</v>
      </c>
      <c r="M745" s="2">
        <v>25</v>
      </c>
      <c r="N745" s="2">
        <v>1.1646726292144793</v>
      </c>
      <c r="O745" s="2">
        <v>52.232253258564967</v>
      </c>
      <c r="P745" s="2">
        <v>1487.6279079238884</v>
      </c>
      <c r="Q745" s="2">
        <v>1.1651826442581164</v>
      </c>
      <c r="R745" s="2">
        <v>51.306294235576736</v>
      </c>
      <c r="S745" s="2">
        <v>1502.7193111779122</v>
      </c>
      <c r="T745" s="2">
        <v>5.1001504363701322E-4</v>
      </c>
      <c r="U745" s="2">
        <v>-0.92595902298823063</v>
      </c>
      <c r="V745" s="2">
        <v>15.091403254023817</v>
      </c>
    </row>
    <row r="746" spans="1:22" ht="15">
      <c r="A746" s="2">
        <v>745</v>
      </c>
      <c r="B746" s="2" t="s">
        <v>78</v>
      </c>
      <c r="C746" s="2" t="s">
        <v>13</v>
      </c>
      <c r="D746" s="2">
        <v>1437.4101703986526</v>
      </c>
      <c r="E746" s="2">
        <v>813.60305662965402</v>
      </c>
      <c r="F746" s="2">
        <v>584.63425058871508</v>
      </c>
      <c r="G746" s="2">
        <v>248.9927313127555</v>
      </c>
      <c r="H746" s="2">
        <v>24.289271464571357</v>
      </c>
      <c r="I746" s="2">
        <v>0.80520292149158201</v>
      </c>
      <c r="J746" s="2">
        <v>9</v>
      </c>
      <c r="K746" s="2">
        <v>198.35030014490025</v>
      </c>
      <c r="L746" s="2">
        <v>45</v>
      </c>
      <c r="M746" s="2">
        <v>25</v>
      </c>
      <c r="N746" s="2">
        <v>1.2329589000798968</v>
      </c>
      <c r="O746" s="2">
        <v>52.231844343757963</v>
      </c>
      <c r="P746" s="2">
        <v>1437.4101703986526</v>
      </c>
      <c r="Q746" s="2">
        <v>1.227454334705991</v>
      </c>
      <c r="R746" s="2">
        <v>50.895876840825771</v>
      </c>
      <c r="S746" s="2">
        <v>1425.581175138014</v>
      </c>
      <c r="T746" s="2">
        <v>-5.5045653739058675E-3</v>
      </c>
      <c r="U746" s="2">
        <v>-1.335967502932192</v>
      </c>
      <c r="V746" s="2">
        <v>-11.828995260638521</v>
      </c>
    </row>
    <row r="747" spans="1:22" ht="15">
      <c r="A747" s="2">
        <v>746</v>
      </c>
      <c r="B747" s="2" t="s">
        <v>78</v>
      </c>
      <c r="C747" s="2" t="s">
        <v>13</v>
      </c>
      <c r="D747" s="2">
        <v>1432.7249739901163</v>
      </c>
      <c r="E747" s="2">
        <v>915.21140823606402</v>
      </c>
      <c r="F747" s="2">
        <v>363.99281034246087</v>
      </c>
      <c r="G747" s="2">
        <v>253.16404613666236</v>
      </c>
      <c r="H747" s="2">
        <v>24.976310659665614</v>
      </c>
      <c r="I747" s="2">
        <v>0.84311814871151003</v>
      </c>
      <c r="J747" s="2">
        <v>9</v>
      </c>
      <c r="K747" s="2">
        <v>188.81299616188221</v>
      </c>
      <c r="L747" s="2">
        <v>45</v>
      </c>
      <c r="M747" s="2">
        <v>25</v>
      </c>
      <c r="N747" s="2">
        <v>1.1580194459917295</v>
      </c>
      <c r="O747" s="2">
        <v>52.213934521675711</v>
      </c>
      <c r="P747" s="2">
        <v>1432.7249739901163</v>
      </c>
      <c r="Q747" s="2">
        <v>1.1611726926402994</v>
      </c>
      <c r="R747" s="2">
        <v>52.513874528268865</v>
      </c>
      <c r="S747" s="2">
        <v>1432.1695618709673</v>
      </c>
      <c r="T747" s="2">
        <v>3.1532466485699739E-3</v>
      </c>
      <c r="U747" s="2">
        <v>0.2999400065931539</v>
      </c>
      <c r="V747" s="2">
        <v>-0.55541211914896849</v>
      </c>
    </row>
    <row r="748" spans="1:22" ht="15">
      <c r="A748" s="2">
        <v>747</v>
      </c>
      <c r="B748" s="2" t="s">
        <v>78</v>
      </c>
      <c r="C748" s="2" t="s">
        <v>13</v>
      </c>
      <c r="D748" s="2">
        <v>1423.0102172819898</v>
      </c>
      <c r="E748" s="2">
        <v>891.76983298966661</v>
      </c>
      <c r="F748" s="2">
        <v>617.50849671661854</v>
      </c>
      <c r="G748" s="2">
        <v>251.82776163099334</v>
      </c>
      <c r="H748" s="2">
        <v>22.427232370711863</v>
      </c>
      <c r="I748" s="2">
        <v>0.8541306736203842</v>
      </c>
      <c r="J748" s="2">
        <v>9</v>
      </c>
      <c r="K748" s="2">
        <v>185.11482053967077</v>
      </c>
      <c r="L748" s="2">
        <v>40</v>
      </c>
      <c r="M748" s="2">
        <v>25</v>
      </c>
      <c r="N748" s="2">
        <v>1.1816893890605022</v>
      </c>
      <c r="O748" s="2">
        <v>52.249600467291764</v>
      </c>
      <c r="P748" s="2">
        <v>1423.0102172819898</v>
      </c>
      <c r="Q748" s="2">
        <v>1.1934741981636063</v>
      </c>
      <c r="R748" s="2">
        <v>52.799941978828237</v>
      </c>
      <c r="S748" s="2">
        <v>1410.7520763806488</v>
      </c>
      <c r="T748" s="2">
        <v>1.1784809103104088E-2</v>
      </c>
      <c r="U748" s="2">
        <v>0.55034151153647315</v>
      </c>
      <c r="V748" s="2">
        <v>-12.258140901340994</v>
      </c>
    </row>
    <row r="749" spans="1:22" ht="15">
      <c r="A749" s="2">
        <v>748</v>
      </c>
      <c r="B749" s="2" t="s">
        <v>78</v>
      </c>
      <c r="C749" s="2" t="s">
        <v>13</v>
      </c>
      <c r="D749" s="2">
        <v>1470.4251548624597</v>
      </c>
      <c r="E749" s="2">
        <v>670.66640420816839</v>
      </c>
      <c r="F749" s="2">
        <v>473.02079005166888</v>
      </c>
      <c r="G749" s="2">
        <v>126.86746455263346</v>
      </c>
      <c r="H749" s="2">
        <v>19.039728957694024</v>
      </c>
      <c r="I749" s="2">
        <v>0.83466254878789192</v>
      </c>
      <c r="J749" s="2">
        <v>9</v>
      </c>
      <c r="K749" s="2">
        <v>195.74446343586274</v>
      </c>
      <c r="L749" s="2">
        <v>60</v>
      </c>
      <c r="M749" s="2">
        <v>25</v>
      </c>
      <c r="N749" s="2">
        <v>1.2171654816900774</v>
      </c>
      <c r="O749" s="2">
        <v>52.173111235175334</v>
      </c>
      <c r="P749" s="2">
        <v>1470.4251548624597</v>
      </c>
      <c r="Q749" s="2">
        <v>1.2164163326332811</v>
      </c>
      <c r="R749" s="2">
        <v>52.21198663712174</v>
      </c>
      <c r="S749" s="2">
        <v>1481.442788735731</v>
      </c>
      <c r="T749" s="2">
        <v>-7.4914905679634991E-4</v>
      </c>
      <c r="U749" s="2">
        <v>3.887540194640593E-2</v>
      </c>
      <c r="V749" s="2">
        <v>11.017633873271279</v>
      </c>
    </row>
    <row r="750" spans="1:22" ht="15">
      <c r="A750" s="2">
        <v>749</v>
      </c>
      <c r="B750" s="2" t="s">
        <v>78</v>
      </c>
      <c r="C750" s="2" t="s">
        <v>13</v>
      </c>
      <c r="D750" s="2">
        <v>1373.3814319130033</v>
      </c>
      <c r="E750" s="2">
        <v>657.91581374360248</v>
      </c>
      <c r="F750" s="2">
        <v>548.96353986114264</v>
      </c>
      <c r="G750" s="2">
        <v>255.38409848930314</v>
      </c>
      <c r="H750" s="2">
        <v>10.248831246048212</v>
      </c>
      <c r="I750" s="2">
        <v>0.81234693937236446</v>
      </c>
      <c r="J750" s="2">
        <v>9</v>
      </c>
      <c r="K750" s="2">
        <v>187.8482326739888</v>
      </c>
      <c r="L750" s="2">
        <v>55</v>
      </c>
      <c r="M750" s="2">
        <v>25</v>
      </c>
      <c r="N750" s="2">
        <v>1.2512549111342237</v>
      </c>
      <c r="O750" s="2">
        <v>52.203003428767765</v>
      </c>
      <c r="P750" s="2">
        <v>1373.3814319130033</v>
      </c>
      <c r="Q750" s="2">
        <v>1.2539814635653022</v>
      </c>
      <c r="R750" s="2">
        <v>51.681855684470754</v>
      </c>
      <c r="S750" s="2">
        <v>1379.9803317156693</v>
      </c>
      <c r="T750" s="2">
        <v>2.7265524310784439E-3</v>
      </c>
      <c r="U750" s="2">
        <v>-0.52114774429701072</v>
      </c>
      <c r="V750" s="2">
        <v>6.5988998026659829</v>
      </c>
    </row>
    <row r="751" spans="1:22" ht="15">
      <c r="A751" s="2">
        <v>750</v>
      </c>
      <c r="B751" s="2" t="s">
        <v>78</v>
      </c>
      <c r="C751" s="2" t="s">
        <v>13</v>
      </c>
      <c r="D751" s="2">
        <v>1384.347340289969</v>
      </c>
      <c r="E751" s="2">
        <v>1215.3608784778044</v>
      </c>
      <c r="F751" s="2">
        <v>392.88766132667661</v>
      </c>
      <c r="G751" s="2">
        <v>129.31060969829559</v>
      </c>
      <c r="H751" s="2">
        <v>12.543004284147173</v>
      </c>
      <c r="I751" s="2">
        <v>0.85808952651452275</v>
      </c>
      <c r="J751" s="2">
        <v>9</v>
      </c>
      <c r="K751" s="2">
        <v>179.25445584695251</v>
      </c>
      <c r="L751" s="2">
        <v>45</v>
      </c>
      <c r="M751" s="2">
        <v>25</v>
      </c>
      <c r="N751" s="2">
        <v>1.2381620815428711</v>
      </c>
      <c r="O751" s="2">
        <v>52.245928910386219</v>
      </c>
      <c r="P751" s="2">
        <v>1384.347340289969</v>
      </c>
      <c r="Q751" s="2">
        <v>1.2399502525811446</v>
      </c>
      <c r="R751" s="2">
        <v>53.101816954093813</v>
      </c>
      <c r="S751" s="2">
        <v>1385.5373274824819</v>
      </c>
      <c r="T751" s="2">
        <v>1.788171038273445E-3</v>
      </c>
      <c r="U751" s="2">
        <v>0.85588804370759419</v>
      </c>
      <c r="V751" s="2">
        <v>1.1899871925129446</v>
      </c>
    </row>
    <row r="752" spans="1:22" ht="15">
      <c r="A752" s="2">
        <v>751</v>
      </c>
      <c r="B752" s="2" t="s">
        <v>78</v>
      </c>
      <c r="C752" s="2" t="s">
        <v>13</v>
      </c>
      <c r="D752" s="2">
        <v>1361.5440266439691</v>
      </c>
      <c r="E752" s="2">
        <v>844.22557736979797</v>
      </c>
      <c r="F752" s="2">
        <v>739.30193558335304</v>
      </c>
      <c r="G752" s="2">
        <v>141.72129366314039</v>
      </c>
      <c r="H752" s="2">
        <v>25.190943612717092</v>
      </c>
      <c r="I752" s="2">
        <v>0.85557871510973205</v>
      </c>
      <c r="J752" s="2">
        <v>8</v>
      </c>
      <c r="K752" s="2">
        <v>198.92150228242656</v>
      </c>
      <c r="L752" s="2">
        <v>45</v>
      </c>
      <c r="M752" s="2">
        <v>25</v>
      </c>
      <c r="N752" s="2">
        <v>1.1742414348537358</v>
      </c>
      <c r="O752" s="2">
        <v>52.21411948459702</v>
      </c>
      <c r="P752" s="2">
        <v>1361.5440266439691</v>
      </c>
      <c r="Q752" s="2">
        <v>1.180164883243314</v>
      </c>
      <c r="R752" s="2">
        <v>51.558159191933377</v>
      </c>
      <c r="S752" s="2">
        <v>1348.1441433208865</v>
      </c>
      <c r="T752" s="2">
        <v>5.9234483895782564E-3</v>
      </c>
      <c r="U752" s="2">
        <v>-0.65596029266364297</v>
      </c>
      <c r="V752" s="2">
        <v>-13.399883323082577</v>
      </c>
    </row>
    <row r="753" spans="1:22" ht="15">
      <c r="A753" s="2">
        <v>752</v>
      </c>
      <c r="B753" s="2" t="s">
        <v>78</v>
      </c>
      <c r="C753" s="2" t="s">
        <v>13</v>
      </c>
      <c r="D753" s="2">
        <v>1396.3547985884361</v>
      </c>
      <c r="E753" s="2">
        <v>1061.6326542571187</v>
      </c>
      <c r="F753" s="2">
        <v>625.24400791153312</v>
      </c>
      <c r="G753" s="2">
        <v>221.68508362490684</v>
      </c>
      <c r="H753" s="2">
        <v>23.209721231367439</v>
      </c>
      <c r="I753" s="2">
        <v>0.80408316410146652</v>
      </c>
      <c r="J753" s="2">
        <v>9</v>
      </c>
      <c r="K753" s="2">
        <v>192.95334127517509</v>
      </c>
      <c r="L753" s="2">
        <v>35</v>
      </c>
      <c r="M753" s="2">
        <v>25</v>
      </c>
      <c r="N753" s="2">
        <v>1.1475473234673688</v>
      </c>
      <c r="O753" s="2">
        <v>52.272592490212858</v>
      </c>
      <c r="P753" s="2">
        <v>1396.3547985884361</v>
      </c>
      <c r="Q753" s="2">
        <v>1.1582508884427341</v>
      </c>
      <c r="R753" s="2">
        <v>53.620661549408339</v>
      </c>
      <c r="S753" s="2">
        <v>1382.5397581324482</v>
      </c>
      <c r="T753" s="2">
        <v>1.0703564975365287E-2</v>
      </c>
      <c r="U753" s="2">
        <v>1.3480690591954811</v>
      </c>
      <c r="V753" s="2">
        <v>-13.815040455987855</v>
      </c>
    </row>
    <row r="754" spans="1:22" ht="15">
      <c r="A754" s="2">
        <v>753</v>
      </c>
      <c r="B754" s="2" t="s">
        <v>78</v>
      </c>
      <c r="C754" s="2" t="s">
        <v>13</v>
      </c>
      <c r="D754" s="2">
        <v>1390.7025662250817</v>
      </c>
      <c r="E754" s="2">
        <v>1139.3093333928846</v>
      </c>
      <c r="F754" s="2">
        <v>640.22152218967676</v>
      </c>
      <c r="G754" s="2">
        <v>251.03122553089634</v>
      </c>
      <c r="H754" s="2">
        <v>13.253055142238736</v>
      </c>
      <c r="I754" s="2">
        <v>0.83074041470186788</v>
      </c>
      <c r="J754" s="2">
        <v>9</v>
      </c>
      <c r="K754" s="2">
        <v>186.00576621013039</v>
      </c>
      <c r="L754" s="2">
        <v>35</v>
      </c>
      <c r="M754" s="2">
        <v>25</v>
      </c>
      <c r="N754" s="2">
        <v>1.1526637705586065</v>
      </c>
      <c r="O754" s="2">
        <v>52.291615392497611</v>
      </c>
      <c r="P754" s="2">
        <v>1390.7025662250817</v>
      </c>
      <c r="Q754" s="2">
        <v>1.1710227746298021</v>
      </c>
      <c r="R754" s="2">
        <v>52.961446859817059</v>
      </c>
      <c r="S754" s="2">
        <v>1391.217313469223</v>
      </c>
      <c r="T754" s="2">
        <v>1.8359004071195617E-2</v>
      </c>
      <c r="U754" s="2">
        <v>0.66983146731944743</v>
      </c>
      <c r="V754" s="2">
        <v>0.51474724414129014</v>
      </c>
    </row>
    <row r="755" spans="1:22" ht="15">
      <c r="A755" s="2">
        <v>754</v>
      </c>
      <c r="B755" s="2" t="s">
        <v>78</v>
      </c>
      <c r="C755" s="2" t="s">
        <v>13</v>
      </c>
      <c r="D755" s="2">
        <v>1452.1843537339009</v>
      </c>
      <c r="E755" s="2">
        <v>1236.1728419782594</v>
      </c>
      <c r="F755" s="2">
        <v>567.37725818529725</v>
      </c>
      <c r="G755" s="2">
        <v>314.44254440255463</v>
      </c>
      <c r="H755" s="2">
        <v>11.10100168036297</v>
      </c>
      <c r="I755" s="2">
        <v>0.84095841410104188</v>
      </c>
      <c r="J755" s="2">
        <v>9</v>
      </c>
      <c r="K755" s="2">
        <v>191.86896090935329</v>
      </c>
      <c r="L755" s="2">
        <v>35</v>
      </c>
      <c r="M755" s="2">
        <v>25</v>
      </c>
      <c r="N755" s="2">
        <v>1.1854557279961919</v>
      </c>
      <c r="O755" s="2">
        <v>52.305248003103969</v>
      </c>
      <c r="P755" s="2">
        <v>1452.1843537339009</v>
      </c>
      <c r="Q755" s="2">
        <v>1.2081748498506277</v>
      </c>
      <c r="R755" s="2">
        <v>53.224132443119338</v>
      </c>
      <c r="S755" s="2">
        <v>1450.0406498028412</v>
      </c>
      <c r="T755" s="2">
        <v>2.2719121854435809E-2</v>
      </c>
      <c r="U755" s="2">
        <v>0.9188844400153684</v>
      </c>
      <c r="V755" s="2">
        <v>-2.1437039310596901</v>
      </c>
    </row>
    <row r="756" spans="1:22" ht="15">
      <c r="A756" s="2">
        <v>755</v>
      </c>
      <c r="B756" s="2" t="s">
        <v>79</v>
      </c>
      <c r="C756" s="2" t="s">
        <v>13</v>
      </c>
      <c r="D756" s="2">
        <v>1461.0477065434679</v>
      </c>
      <c r="E756" s="2">
        <v>682.95933488989249</v>
      </c>
      <c r="F756" s="2">
        <v>405.60109578073025</v>
      </c>
      <c r="G756" s="2">
        <v>272.73850572062656</v>
      </c>
      <c r="H756" s="2">
        <v>18.582142484374344</v>
      </c>
      <c r="I756" s="2">
        <v>0.82790276829851794</v>
      </c>
      <c r="J756" s="2">
        <v>9</v>
      </c>
      <c r="K756" s="2">
        <v>196.08417833173698</v>
      </c>
      <c r="L756" s="2">
        <v>55</v>
      </c>
      <c r="M756" s="2">
        <v>25</v>
      </c>
      <c r="N756" s="2">
        <v>1.2011282486445576</v>
      </c>
      <c r="O756" s="2">
        <v>52.187260536656801</v>
      </c>
      <c r="P756" s="2">
        <v>1461.0477065434679</v>
      </c>
      <c r="Q756" s="2">
        <v>1.1943873376024834</v>
      </c>
      <c r="R756" s="2">
        <v>51.591052734066672</v>
      </c>
      <c r="S756" s="2">
        <v>1467.5115092928381</v>
      </c>
      <c r="T756" s="2">
        <v>-6.7409110420741936E-3</v>
      </c>
      <c r="U756" s="2">
        <v>-0.59620780259012918</v>
      </c>
      <c r="V756" s="2">
        <v>6.4638027493701884</v>
      </c>
    </row>
    <row r="757" spans="1:22" ht="15">
      <c r="A757" s="2">
        <v>756</v>
      </c>
      <c r="B757" s="2" t="s">
        <v>79</v>
      </c>
      <c r="C757" s="2" t="s">
        <v>13</v>
      </c>
      <c r="D757" s="2">
        <v>1482.9567575245164</v>
      </c>
      <c r="E757" s="2">
        <v>739.65766378678381</v>
      </c>
      <c r="F757" s="2">
        <v>612.31315610930324</v>
      </c>
      <c r="G757" s="2">
        <v>142.87501694168895</v>
      </c>
      <c r="H757" s="2">
        <v>16.500083505641669</v>
      </c>
      <c r="I757" s="2">
        <v>0.82401593873277312</v>
      </c>
      <c r="J757" s="2">
        <v>9</v>
      </c>
      <c r="K757" s="2">
        <v>199.96333239825253</v>
      </c>
      <c r="L757" s="2">
        <v>50</v>
      </c>
      <c r="M757" s="2">
        <v>25</v>
      </c>
      <c r="N757" s="2">
        <v>1.1974749273323873</v>
      </c>
      <c r="O757" s="2">
        <v>52.20808383710893</v>
      </c>
      <c r="P757" s="2">
        <v>1482.9567575245164</v>
      </c>
      <c r="Q757" s="2">
        <v>1.2049181261518729</v>
      </c>
      <c r="R757" s="2">
        <v>52.462952659726255</v>
      </c>
      <c r="S757" s="2">
        <v>1496.5737889962002</v>
      </c>
      <c r="T757" s="2">
        <v>7.4431988194856302E-3</v>
      </c>
      <c r="U757" s="2">
        <v>0.25486882261732546</v>
      </c>
      <c r="V757" s="2">
        <v>13.617031471683731</v>
      </c>
    </row>
    <row r="758" spans="1:22" ht="15">
      <c r="A758" s="2">
        <v>757</v>
      </c>
      <c r="B758" s="2" t="s">
        <v>79</v>
      </c>
      <c r="C758" s="2" t="s">
        <v>13</v>
      </c>
      <c r="D758" s="2">
        <v>1361.8562426883727</v>
      </c>
      <c r="E758" s="2">
        <v>1240.3412580373697</v>
      </c>
      <c r="F758" s="2">
        <v>372.14082162827253</v>
      </c>
      <c r="G758" s="2">
        <v>108.46749342279509</v>
      </c>
      <c r="H758" s="2">
        <v>22.38857826590538</v>
      </c>
      <c r="I758" s="2">
        <v>0.81364584585884592</v>
      </c>
      <c r="J758" s="2">
        <v>9</v>
      </c>
      <c r="K758" s="2">
        <v>185.97447657215611</v>
      </c>
      <c r="L758" s="2">
        <v>40</v>
      </c>
      <c r="M758" s="2">
        <v>25</v>
      </c>
      <c r="N758" s="2">
        <v>1.1571981007989258</v>
      </c>
      <c r="O758" s="2">
        <v>52.243339062183814</v>
      </c>
      <c r="P758" s="2">
        <v>1361.8562426883727</v>
      </c>
      <c r="Q758" s="2">
        <v>1.1473342054440936</v>
      </c>
      <c r="R758" s="2">
        <v>53.707124597958405</v>
      </c>
      <c r="S758" s="2">
        <v>1354.7793404742897</v>
      </c>
      <c r="T758" s="2">
        <v>-9.8638953548322306E-3</v>
      </c>
      <c r="U758" s="2">
        <v>1.4637855357745906</v>
      </c>
      <c r="V758" s="2">
        <v>-7.0769022140830202</v>
      </c>
    </row>
    <row r="759" spans="1:22" ht="15">
      <c r="A759" s="2">
        <v>758</v>
      </c>
      <c r="B759" s="2" t="s">
        <v>80</v>
      </c>
      <c r="C759" s="2" t="s">
        <v>13</v>
      </c>
      <c r="D759" s="2">
        <v>1371.6148876701482</v>
      </c>
      <c r="E759" s="2">
        <v>627.34051363077015</v>
      </c>
      <c r="F759" s="2">
        <v>363.47411694005132</v>
      </c>
      <c r="G759" s="2">
        <v>141.82926753535867</v>
      </c>
      <c r="H759" s="2">
        <v>23.009393176529557</v>
      </c>
      <c r="I759" s="2">
        <v>0.8134520944720135</v>
      </c>
      <c r="J759" s="2">
        <v>9</v>
      </c>
      <c r="K759" s="2">
        <v>187.35172632936818</v>
      </c>
      <c r="L759" s="2">
        <v>65</v>
      </c>
      <c r="M759" s="2">
        <v>25</v>
      </c>
      <c r="N759" s="2">
        <v>1.1858034682361989</v>
      </c>
      <c r="O759" s="2">
        <v>52.151607499812201</v>
      </c>
      <c r="P759" s="2">
        <v>1371.6148876701482</v>
      </c>
      <c r="Q759" s="2">
        <v>1.1818513825565202</v>
      </c>
      <c r="R759" s="2">
        <v>52.071616313777952</v>
      </c>
      <c r="S759" s="2">
        <v>1388.2811074578769</v>
      </c>
      <c r="T759" s="2">
        <v>-3.9520856796786408E-3</v>
      </c>
      <c r="U759" s="2">
        <v>-7.999118603424904E-2</v>
      </c>
      <c r="V759" s="2">
        <v>16.666219787728778</v>
      </c>
    </row>
    <row r="760" spans="1:22" ht="15">
      <c r="A760" s="2">
        <v>759</v>
      </c>
      <c r="B760" s="2" t="s">
        <v>80</v>
      </c>
      <c r="C760" s="2" t="s">
        <v>13</v>
      </c>
      <c r="D760" s="2">
        <v>1465.5191050143912</v>
      </c>
      <c r="E760" s="2">
        <v>919.2985272151418</v>
      </c>
      <c r="F760" s="2">
        <v>494.28121000528336</v>
      </c>
      <c r="G760" s="2">
        <v>189.69452088465914</v>
      </c>
      <c r="H760" s="2">
        <v>15.162542681209743</v>
      </c>
      <c r="I760" s="2">
        <v>0.84902252379572019</v>
      </c>
      <c r="J760" s="2">
        <v>9</v>
      </c>
      <c r="K760" s="2">
        <v>191.7916799011675</v>
      </c>
      <c r="L760" s="2">
        <v>45</v>
      </c>
      <c r="M760" s="2">
        <v>25</v>
      </c>
      <c r="N760" s="2">
        <v>1.1598972190228178</v>
      </c>
      <c r="O760" s="2">
        <v>52.224990538695032</v>
      </c>
      <c r="P760" s="2">
        <v>1465.5191050143912</v>
      </c>
      <c r="Q760" s="2">
        <v>1.1662785209761346</v>
      </c>
      <c r="R760" s="2">
        <v>51.271835770055333</v>
      </c>
      <c r="S760" s="2">
        <v>1468.2336108753789</v>
      </c>
      <c r="T760" s="2">
        <v>6.3813019533167648E-3</v>
      </c>
      <c r="U760" s="2">
        <v>-0.95315476863969906</v>
      </c>
      <c r="V760" s="2">
        <v>2.7145058609876287</v>
      </c>
    </row>
    <row r="761" spans="1:22" ht="15">
      <c r="A761" s="2">
        <v>760</v>
      </c>
      <c r="B761" s="2" t="s">
        <v>80</v>
      </c>
      <c r="C761" s="2" t="s">
        <v>13</v>
      </c>
      <c r="D761" s="2">
        <v>1351.5297620440833</v>
      </c>
      <c r="E761" s="2">
        <v>1087.8320361487567</v>
      </c>
      <c r="F761" s="2">
        <v>456.71673333272338</v>
      </c>
      <c r="G761" s="2">
        <v>308.11115032527596</v>
      </c>
      <c r="H761" s="2">
        <v>9.893071239348501</v>
      </c>
      <c r="I761" s="2">
        <v>0.82053963807411501</v>
      </c>
      <c r="J761" s="2">
        <v>9</v>
      </c>
      <c r="K761" s="2">
        <v>183.01367367567642</v>
      </c>
      <c r="L761" s="2">
        <v>40</v>
      </c>
      <c r="M761" s="2">
        <v>25</v>
      </c>
      <c r="N761" s="2">
        <v>1.1697794430023918</v>
      </c>
      <c r="O761" s="2">
        <v>52.263875997995868</v>
      </c>
      <c r="P761" s="2">
        <v>1351.5297620440833</v>
      </c>
      <c r="Q761" s="2">
        <v>1.172200713020356</v>
      </c>
      <c r="R761" s="2">
        <v>51.818481919689773</v>
      </c>
      <c r="S761" s="2">
        <v>1360.1997494476063</v>
      </c>
      <c r="T761" s="2">
        <v>2.4212700179642166E-3</v>
      </c>
      <c r="U761" s="2">
        <v>-0.44539407830609434</v>
      </c>
      <c r="V761" s="2">
        <v>8.6699874035230096</v>
      </c>
    </row>
    <row r="762" spans="1:22" ht="15">
      <c r="A762" s="2">
        <v>761</v>
      </c>
      <c r="B762" s="2" t="s">
        <v>78</v>
      </c>
      <c r="C762" s="2" t="s">
        <v>13</v>
      </c>
      <c r="D762" s="2">
        <v>1350.0781137496233</v>
      </c>
      <c r="E762" s="2">
        <v>633.36357980733737</v>
      </c>
      <c r="F762" s="2">
        <v>729.15260959416628</v>
      </c>
      <c r="G762" s="2">
        <v>262.44494922691956</v>
      </c>
      <c r="H762" s="2">
        <v>28.955345971509814</v>
      </c>
      <c r="I762" s="2">
        <v>0.82323957246961077</v>
      </c>
      <c r="J762" s="2">
        <v>9</v>
      </c>
      <c r="K762" s="2">
        <v>182.21752734201945</v>
      </c>
      <c r="L762" s="2">
        <v>45</v>
      </c>
      <c r="M762" s="2">
        <v>25</v>
      </c>
      <c r="N762" s="2">
        <v>1.2393336322895161</v>
      </c>
      <c r="O762" s="2">
        <v>52.228372065540633</v>
      </c>
      <c r="P762" s="2">
        <v>1350.0781137496233</v>
      </c>
      <c r="Q762" s="2">
        <v>1.2379030166205685</v>
      </c>
      <c r="R762" s="2">
        <v>50.47086330400915</v>
      </c>
      <c r="S762" s="2">
        <v>1329.1616724645219</v>
      </c>
      <c r="T762" s="2">
        <v>-1.4306156689476435E-3</v>
      </c>
      <c r="U762" s="2">
        <v>-1.7575087615314828</v>
      </c>
      <c r="V762" s="2">
        <v>-20.916441285101428</v>
      </c>
    </row>
    <row r="763" spans="1:22" ht="15">
      <c r="A763" s="2">
        <v>762</v>
      </c>
      <c r="B763" s="2" t="s">
        <v>78</v>
      </c>
      <c r="C763" s="2" t="s">
        <v>13</v>
      </c>
      <c r="D763" s="2">
        <v>1368.5670937062241</v>
      </c>
      <c r="E763" s="2">
        <v>717.26671068463475</v>
      </c>
      <c r="F763" s="2">
        <v>642.33632246032357</v>
      </c>
      <c r="G763" s="2">
        <v>87.231537019833922</v>
      </c>
      <c r="H763" s="2">
        <v>19.71939403982833</v>
      </c>
      <c r="I763" s="2">
        <v>0.80768340208102019</v>
      </c>
      <c r="J763" s="2">
        <v>9</v>
      </c>
      <c r="K763" s="2">
        <v>188.27056495157365</v>
      </c>
      <c r="L763" s="2">
        <v>50</v>
      </c>
      <c r="M763" s="2">
        <v>25</v>
      </c>
      <c r="N763" s="2">
        <v>1.1752174955952726</v>
      </c>
      <c r="O763" s="2">
        <v>52.200597680352935</v>
      </c>
      <c r="P763" s="2">
        <v>1368.5670937062241</v>
      </c>
      <c r="Q763" s="2">
        <v>1.1727501457512541</v>
      </c>
      <c r="R763" s="2">
        <v>52.232255635267968</v>
      </c>
      <c r="S763" s="2">
        <v>1374.4335125273312</v>
      </c>
      <c r="T763" s="2">
        <v>-2.4673498440184183E-3</v>
      </c>
      <c r="U763" s="2">
        <v>3.1657954915033315E-2</v>
      </c>
      <c r="V763" s="2">
        <v>5.8664188211071178</v>
      </c>
    </row>
    <row r="764" spans="1:22" ht="15">
      <c r="A764" s="2">
        <v>763</v>
      </c>
      <c r="B764" s="2" t="s">
        <v>78</v>
      </c>
      <c r="C764" s="2" t="s">
        <v>13</v>
      </c>
      <c r="D764" s="2">
        <v>1490.4753495706245</v>
      </c>
      <c r="E764" s="2">
        <v>1105.501705466304</v>
      </c>
      <c r="F764" s="2">
        <v>706.76029659807682</v>
      </c>
      <c r="G764" s="2">
        <v>159.4513143482618</v>
      </c>
      <c r="H764" s="2">
        <v>8.7068629646673799</v>
      </c>
      <c r="I764" s="2">
        <v>0.83540377664146948</v>
      </c>
      <c r="J764" s="2">
        <v>9</v>
      </c>
      <c r="K764" s="2">
        <v>198.23751915546825</v>
      </c>
      <c r="L764" s="2">
        <v>40</v>
      </c>
      <c r="M764" s="2">
        <v>25</v>
      </c>
      <c r="N764" s="2">
        <v>1.2348500763449948</v>
      </c>
      <c r="O764" s="2">
        <v>52.282439398861634</v>
      </c>
      <c r="P764" s="2">
        <v>1490.4753495706245</v>
      </c>
      <c r="Q764" s="2">
        <v>1.2470005154356973</v>
      </c>
      <c r="R764" s="2">
        <v>52.720725187802266</v>
      </c>
      <c r="S764" s="2">
        <v>1489.6097463215604</v>
      </c>
      <c r="T764" s="2">
        <v>1.2150439090702569E-2</v>
      </c>
      <c r="U764" s="2">
        <v>0.43828578894063241</v>
      </c>
      <c r="V764" s="2">
        <v>-0.86560324906417918</v>
      </c>
    </row>
    <row r="765" spans="1:22" ht="15">
      <c r="A765" s="2">
        <v>764</v>
      </c>
      <c r="B765" s="2" t="s">
        <v>78</v>
      </c>
      <c r="C765" s="2" t="s">
        <v>13</v>
      </c>
      <c r="D765" s="2">
        <v>1457.1942206821404</v>
      </c>
      <c r="E765" s="2">
        <v>1014.2282548826188</v>
      </c>
      <c r="F765" s="2">
        <v>405.01702977344394</v>
      </c>
      <c r="G765" s="2">
        <v>152.44426931720227</v>
      </c>
      <c r="H765" s="2">
        <v>17.363394420128316</v>
      </c>
      <c r="I765" s="2">
        <v>0.84501573473215108</v>
      </c>
      <c r="J765" s="2">
        <v>9</v>
      </c>
      <c r="K765" s="2">
        <v>191.60645454253446</v>
      </c>
      <c r="L765" s="2">
        <v>45</v>
      </c>
      <c r="M765" s="2">
        <v>25</v>
      </c>
      <c r="N765" s="2">
        <v>1.1490286186244085</v>
      </c>
      <c r="O765" s="2">
        <v>52.220065693703283</v>
      </c>
      <c r="P765" s="2">
        <v>1457.1942206821404</v>
      </c>
      <c r="Q765" s="2">
        <v>1.1488362552631217</v>
      </c>
      <c r="R765" s="2">
        <v>53.617546082251174</v>
      </c>
      <c r="S765" s="2">
        <v>1462.4986243845985</v>
      </c>
      <c r="T765" s="2">
        <v>-1.9236336128680698E-4</v>
      </c>
      <c r="U765" s="2">
        <v>1.3974803885478906</v>
      </c>
      <c r="V765" s="2">
        <v>5.304403702458103</v>
      </c>
    </row>
    <row r="766" spans="1:22" ht="15">
      <c r="A766" s="2">
        <v>765</v>
      </c>
      <c r="B766" s="2" t="s">
        <v>78</v>
      </c>
      <c r="C766" s="2" t="s">
        <v>13</v>
      </c>
      <c r="D766" s="2">
        <v>1357.8889194410294</v>
      </c>
      <c r="E766" s="2">
        <v>769.18536023003981</v>
      </c>
      <c r="F766" s="2">
        <v>513.18836268037558</v>
      </c>
      <c r="G766" s="2">
        <v>82.386088308412582</v>
      </c>
      <c r="H766" s="2">
        <v>9.1139527224004269</v>
      </c>
      <c r="I766" s="2">
        <v>0.80065511036897086</v>
      </c>
      <c r="J766" s="2">
        <v>9</v>
      </c>
      <c r="K766" s="2">
        <v>188.44137088568567</v>
      </c>
      <c r="L766" s="2">
        <v>55</v>
      </c>
      <c r="M766" s="2">
        <v>25</v>
      </c>
      <c r="N766" s="2">
        <v>1.1659804907814149</v>
      </c>
      <c r="O766" s="2">
        <v>52.187800173564291</v>
      </c>
      <c r="P766" s="2">
        <v>1357.8889194410294</v>
      </c>
      <c r="Q766" s="2">
        <v>1.1622525964649812</v>
      </c>
      <c r="R766" s="2">
        <v>52.699661806206514</v>
      </c>
      <c r="S766" s="2">
        <v>1376.5592352828621</v>
      </c>
      <c r="T766" s="2">
        <v>-3.7278943164336109E-3</v>
      </c>
      <c r="U766" s="2">
        <v>0.51186163264222273</v>
      </c>
      <c r="V766" s="2">
        <v>18.670315841832689</v>
      </c>
    </row>
    <row r="767" spans="1:22" ht="15">
      <c r="A767" s="2">
        <v>766</v>
      </c>
      <c r="B767" s="2" t="s">
        <v>78</v>
      </c>
      <c r="C767" s="2" t="s">
        <v>13</v>
      </c>
      <c r="D767" s="2">
        <v>1450.1037288573571</v>
      </c>
      <c r="E767" s="2">
        <v>1010.3081154404208</v>
      </c>
      <c r="F767" s="2">
        <v>515.72163002565503</v>
      </c>
      <c r="G767" s="2">
        <v>261.65352661162615</v>
      </c>
      <c r="H767" s="2">
        <v>20.795218499843031</v>
      </c>
      <c r="I767" s="2">
        <v>0.81630392107646921</v>
      </c>
      <c r="J767" s="2">
        <v>9</v>
      </c>
      <c r="K767" s="2">
        <v>197.38069655139242</v>
      </c>
      <c r="L767" s="2">
        <v>40</v>
      </c>
      <c r="M767" s="2">
        <v>25</v>
      </c>
      <c r="N767" s="2">
        <v>1.189240909124005</v>
      </c>
      <c r="O767" s="2">
        <v>52.253744514198715</v>
      </c>
      <c r="P767" s="2">
        <v>1450.1037288573571</v>
      </c>
      <c r="Q767" s="2">
        <v>1.1869552387782727</v>
      </c>
      <c r="R767" s="2">
        <v>52.828073302686391</v>
      </c>
      <c r="S767" s="2">
        <v>1449.4692535481292</v>
      </c>
      <c r="T767" s="2">
        <v>-2.2856703457323491E-3</v>
      </c>
      <c r="U767" s="2">
        <v>0.57432878848767643</v>
      </c>
      <c r="V767" s="2">
        <v>-0.6344753092278097</v>
      </c>
    </row>
    <row r="768" spans="1:22" ht="15">
      <c r="A768" s="2">
        <v>767</v>
      </c>
      <c r="B768" s="2" t="s">
        <v>78</v>
      </c>
      <c r="C768" s="2" t="s">
        <v>13</v>
      </c>
      <c r="D768" s="2">
        <v>1448.1206938857213</v>
      </c>
      <c r="E768" s="2">
        <v>744.73474650876597</v>
      </c>
      <c r="F768" s="2">
        <v>385.30872985720634</v>
      </c>
      <c r="G768" s="2">
        <v>303.74547220533714</v>
      </c>
      <c r="H768" s="2">
        <v>29.220283216796815</v>
      </c>
      <c r="I768" s="2">
        <v>0.83809297220548618</v>
      </c>
      <c r="J768" s="2">
        <v>9</v>
      </c>
      <c r="K768" s="2">
        <v>191.98621711051072</v>
      </c>
      <c r="L768" s="2">
        <v>50</v>
      </c>
      <c r="M768" s="2">
        <v>25</v>
      </c>
      <c r="N768" s="2">
        <v>1.2054448510025748</v>
      </c>
      <c r="O768" s="2">
        <v>52.198563541805974</v>
      </c>
      <c r="P768" s="2">
        <v>1448.1206938857213</v>
      </c>
      <c r="Q768" s="2">
        <v>1.1974970661584592</v>
      </c>
      <c r="R768" s="2">
        <v>52.379577016220274</v>
      </c>
      <c r="S768" s="2">
        <v>1432.011730229153</v>
      </c>
      <c r="T768" s="2">
        <v>-7.947784844115624E-3</v>
      </c>
      <c r="U768" s="2">
        <v>0.18101347441429994</v>
      </c>
      <c r="V768" s="2">
        <v>-16.108963656568221</v>
      </c>
    </row>
    <row r="769" spans="1:22" ht="15">
      <c r="A769" s="2">
        <v>768</v>
      </c>
      <c r="B769" s="2" t="s">
        <v>78</v>
      </c>
      <c r="C769" s="2" t="s">
        <v>13</v>
      </c>
      <c r="D769" s="2">
        <v>1468.71094572125</v>
      </c>
      <c r="E769" s="2">
        <v>1130.126391723752</v>
      </c>
      <c r="F769" s="2">
        <v>741.15579118952155</v>
      </c>
      <c r="G769" s="2">
        <v>259.8480796860531</v>
      </c>
      <c r="H769" s="2">
        <v>24.179365025367588</v>
      </c>
      <c r="I769" s="2">
        <v>0.83697109895758337</v>
      </c>
      <c r="J769" s="2">
        <v>9</v>
      </c>
      <c r="K769" s="2">
        <v>194.9769893887449</v>
      </c>
      <c r="L769" s="2">
        <v>30</v>
      </c>
      <c r="M769" s="2">
        <v>25</v>
      </c>
      <c r="N769" s="2">
        <v>1.1325439038668075</v>
      </c>
      <c r="O769" s="2">
        <v>52.307296486195796</v>
      </c>
      <c r="P769" s="2">
        <v>1468.71094572125</v>
      </c>
      <c r="Q769" s="2">
        <v>1.1429916421684474</v>
      </c>
      <c r="R769" s="2">
        <v>52.561826859173024</v>
      </c>
      <c r="S769" s="2">
        <v>1439.2275026502662</v>
      </c>
      <c r="T769" s="2">
        <v>1.0447738301639919E-2</v>
      </c>
      <c r="U769" s="2">
        <v>0.25453037297722858</v>
      </c>
      <c r="V769" s="2">
        <v>-29.483443070983867</v>
      </c>
    </row>
    <row r="770" spans="1:22" ht="15">
      <c r="A770" s="2">
        <v>769</v>
      </c>
      <c r="B770" s="2" t="s">
        <v>78</v>
      </c>
      <c r="C770" s="2" t="s">
        <v>13</v>
      </c>
      <c r="D770" s="2">
        <v>1495.8902637474239</v>
      </c>
      <c r="E770" s="2">
        <v>715.58896558126435</v>
      </c>
      <c r="F770" s="2">
        <v>489.30974546819925</v>
      </c>
      <c r="G770" s="2">
        <v>235.31415218720213</v>
      </c>
      <c r="H770" s="2">
        <v>16.640402832999825</v>
      </c>
      <c r="I770" s="2">
        <v>0.79546984593616799</v>
      </c>
      <c r="J770" s="2">
        <v>10</v>
      </c>
      <c r="K770" s="2">
        <v>188.05115887038423</v>
      </c>
      <c r="L770" s="2">
        <v>45</v>
      </c>
      <c r="M770" s="2">
        <v>25</v>
      </c>
      <c r="N770" s="2">
        <v>1.1569405849226861</v>
      </c>
      <c r="O770" s="2">
        <v>52.224516878555754</v>
      </c>
      <c r="P770" s="2">
        <v>1495.8902637474239</v>
      </c>
      <c r="Q770" s="2">
        <v>1.1503582776398888</v>
      </c>
      <c r="R770" s="2">
        <v>52.115311646849008</v>
      </c>
      <c r="S770" s="2">
        <v>1502.5644590797997</v>
      </c>
      <c r="T770" s="2">
        <v>-6.582307282797295E-3</v>
      </c>
      <c r="U770" s="2">
        <v>-0.10920523170674556</v>
      </c>
      <c r="V770" s="2">
        <v>6.6741953323758025</v>
      </c>
    </row>
    <row r="771" spans="1:22" ht="15">
      <c r="A771" s="2">
        <v>770</v>
      </c>
      <c r="B771" s="2" t="s">
        <v>78</v>
      </c>
      <c r="C771" s="2" t="s">
        <v>13</v>
      </c>
      <c r="D771" s="2">
        <v>1363.1227170699276</v>
      </c>
      <c r="E771" s="2">
        <v>1146.177741070278</v>
      </c>
      <c r="F771" s="2">
        <v>508.70719188824296</v>
      </c>
      <c r="G771" s="2">
        <v>194.37810421921313</v>
      </c>
      <c r="H771" s="2">
        <v>10.018938146997243</v>
      </c>
      <c r="I771" s="2">
        <v>0.82885835541877895</v>
      </c>
      <c r="J771" s="2">
        <v>9</v>
      </c>
      <c r="K771" s="2">
        <v>182.73095600021131</v>
      </c>
      <c r="L771" s="2">
        <v>40</v>
      </c>
      <c r="M771" s="2">
        <v>25</v>
      </c>
      <c r="N771" s="2">
        <v>1.1684294507272186</v>
      </c>
      <c r="O771" s="2">
        <v>52.263346339071937</v>
      </c>
      <c r="P771" s="2">
        <v>1363.1227170699276</v>
      </c>
      <c r="Q771" s="2">
        <v>1.1754011908121758</v>
      </c>
      <c r="R771" s="2">
        <v>53.586332672082186</v>
      </c>
      <c r="S771" s="2">
        <v>1362.04971831014</v>
      </c>
      <c r="T771" s="2">
        <v>6.9717400849571565E-3</v>
      </c>
      <c r="U771" s="2">
        <v>1.3229863330102489</v>
      </c>
      <c r="V771" s="2">
        <v>-1.0729987597876516</v>
      </c>
    </row>
    <row r="772" spans="1:22" ht="15">
      <c r="A772" s="2">
        <v>771</v>
      </c>
      <c r="B772" s="2" t="s">
        <v>78</v>
      </c>
      <c r="C772" s="2" t="s">
        <v>13</v>
      </c>
      <c r="D772" s="2">
        <v>1418.9499113475904</v>
      </c>
      <c r="E772" s="2">
        <v>1191.9161898666061</v>
      </c>
      <c r="F772" s="2">
        <v>657.31193535029888</v>
      </c>
      <c r="G772" s="2">
        <v>138.51009086472914</v>
      </c>
      <c r="H772" s="2">
        <v>13.985197369940579</v>
      </c>
      <c r="I772" s="2">
        <v>0.83405448646051816</v>
      </c>
      <c r="J772" s="2">
        <v>9</v>
      </c>
      <c r="K772" s="2">
        <v>189.02973824876921</v>
      </c>
      <c r="L772" s="2">
        <v>35</v>
      </c>
      <c r="M772" s="2">
        <v>25</v>
      </c>
      <c r="N772" s="2">
        <v>1.1345502326119985</v>
      </c>
      <c r="O772" s="2">
        <v>52.284938081342524</v>
      </c>
      <c r="P772" s="2">
        <v>1418.9499113475904</v>
      </c>
      <c r="Q772" s="2">
        <v>1.1535325819356195</v>
      </c>
      <c r="R772" s="2">
        <v>53.612996700235243</v>
      </c>
      <c r="S772" s="2">
        <v>1416.2853861407084</v>
      </c>
      <c r="T772" s="2">
        <v>1.8982349323620973E-2</v>
      </c>
      <c r="U772" s="2">
        <v>1.3280586188927188</v>
      </c>
      <c r="V772" s="2">
        <v>-2.66452520688199</v>
      </c>
    </row>
    <row r="773" spans="1:22" ht="15">
      <c r="A773" s="2">
        <v>772</v>
      </c>
      <c r="B773" s="2" t="s">
        <v>78</v>
      </c>
      <c r="C773" s="2" t="s">
        <v>13</v>
      </c>
      <c r="D773" s="2">
        <v>1394.1494881524704</v>
      </c>
      <c r="E773" s="2">
        <v>1086.1011427361518</v>
      </c>
      <c r="F773" s="2">
        <v>662.65050796791911</v>
      </c>
      <c r="G773" s="2">
        <v>255.75155606027693</v>
      </c>
      <c r="H773" s="2">
        <v>22.772403858136386</v>
      </c>
      <c r="I773" s="2">
        <v>0.83685373594984414</v>
      </c>
      <c r="J773" s="2">
        <v>9</v>
      </c>
      <c r="K773" s="2">
        <v>185.10462704427948</v>
      </c>
      <c r="L773" s="2">
        <v>35</v>
      </c>
      <c r="M773" s="2">
        <v>25</v>
      </c>
      <c r="N773" s="2">
        <v>1.1958969303302818</v>
      </c>
      <c r="O773" s="2">
        <v>52.287552162514729</v>
      </c>
      <c r="P773" s="2">
        <v>1394.1494881524704</v>
      </c>
      <c r="Q773" s="2">
        <v>1.2110407185680097</v>
      </c>
      <c r="R773" s="2">
        <v>52.051297820451502</v>
      </c>
      <c r="S773" s="2">
        <v>1370.7096847592632</v>
      </c>
      <c r="T773" s="2">
        <v>1.5143788237727884E-2</v>
      </c>
      <c r="U773" s="2">
        <v>-0.23625434206322637</v>
      </c>
      <c r="V773" s="2">
        <v>-23.439803393207285</v>
      </c>
    </row>
    <row r="774" spans="1:22" ht="15">
      <c r="A774" s="2">
        <v>773</v>
      </c>
      <c r="B774" s="2" t="s">
        <v>78</v>
      </c>
      <c r="C774" s="2" t="s">
        <v>13</v>
      </c>
      <c r="D774" s="2">
        <v>1496.0428128484637</v>
      </c>
      <c r="E774" s="2">
        <v>1243.356067861896</v>
      </c>
      <c r="F774" s="2">
        <v>511.41661833971739</v>
      </c>
      <c r="G774" s="2">
        <v>136.91819201456383</v>
      </c>
      <c r="H774" s="2">
        <v>13.507043085992336</v>
      </c>
      <c r="I774" s="2">
        <v>0.81572883980581545</v>
      </c>
      <c r="J774" s="2">
        <v>10</v>
      </c>
      <c r="K774" s="2">
        <v>183.39952443076515</v>
      </c>
      <c r="L774" s="2">
        <v>35</v>
      </c>
      <c r="M774" s="2">
        <v>25</v>
      </c>
      <c r="N774" s="2">
        <v>1.1835145631278805</v>
      </c>
      <c r="O774" s="2">
        <v>52.302735444650949</v>
      </c>
      <c r="P774" s="2">
        <v>1496.0428128484637</v>
      </c>
      <c r="Q774" s="2">
        <v>1.1947741395223133</v>
      </c>
      <c r="R774" s="2">
        <v>53.062883878097779</v>
      </c>
      <c r="S774" s="2">
        <v>1488.2911791465958</v>
      </c>
      <c r="T774" s="2">
        <v>1.1259576394432758E-2</v>
      </c>
      <c r="U774" s="2">
        <v>0.76014843344682959</v>
      </c>
      <c r="V774" s="2">
        <v>-7.7516337018678314</v>
      </c>
    </row>
    <row r="775" spans="1:22" ht="15">
      <c r="A775" s="2">
        <v>774</v>
      </c>
      <c r="B775" s="2" t="s">
        <v>78</v>
      </c>
      <c r="C775" s="2" t="s">
        <v>13</v>
      </c>
      <c r="D775" s="2">
        <v>1411.0166951199062</v>
      </c>
      <c r="E775" s="2">
        <v>816.03685056325048</v>
      </c>
      <c r="F775" s="2">
        <v>375.92490883544087</v>
      </c>
      <c r="G775" s="2">
        <v>300.81656334921718</v>
      </c>
      <c r="H775" s="2">
        <v>29.923074705991894</v>
      </c>
      <c r="I775" s="2">
        <v>0.79355882087256768</v>
      </c>
      <c r="J775" s="2">
        <v>9</v>
      </c>
      <c r="K775" s="2">
        <v>197.56523230213944</v>
      </c>
      <c r="L775" s="2">
        <v>45</v>
      </c>
      <c r="M775" s="2">
        <v>25</v>
      </c>
      <c r="N775" s="2">
        <v>1.1536092268403233</v>
      </c>
      <c r="O775" s="2">
        <v>52.207761459974463</v>
      </c>
      <c r="P775" s="2">
        <v>1411.0166951199062</v>
      </c>
      <c r="Q775" s="2">
        <v>1.1371834490094275</v>
      </c>
      <c r="R775" s="2">
        <v>51.408308480989263</v>
      </c>
      <c r="S775" s="2">
        <v>1396.8037879525855</v>
      </c>
      <c r="T775" s="2">
        <v>-1.6425777830895827E-2</v>
      </c>
      <c r="U775" s="2">
        <v>-0.79945297898520096</v>
      </c>
      <c r="V775" s="2">
        <v>-14.212907167320736</v>
      </c>
    </row>
    <row r="776" spans="1:22" ht="15">
      <c r="A776" s="2">
        <v>775</v>
      </c>
      <c r="B776" s="2" t="s">
        <v>79</v>
      </c>
      <c r="C776" s="2" t="s">
        <v>13</v>
      </c>
      <c r="D776" s="2">
        <v>1462.7559854881838</v>
      </c>
      <c r="E776" s="2">
        <v>999.33796526165679</v>
      </c>
      <c r="F776" s="2">
        <v>737.73621022701263</v>
      </c>
      <c r="G776" s="2">
        <v>273.5970670892857</v>
      </c>
      <c r="H776" s="2">
        <v>27.106013211421669</v>
      </c>
      <c r="I776" s="2">
        <v>0.82765439063077795</v>
      </c>
      <c r="J776" s="2">
        <v>9</v>
      </c>
      <c r="K776" s="2">
        <v>196.3723562296976</v>
      </c>
      <c r="L776" s="2">
        <v>35</v>
      </c>
      <c r="M776" s="2">
        <v>25</v>
      </c>
      <c r="N776" s="2">
        <v>1.2242363468989015</v>
      </c>
      <c r="O776" s="2">
        <v>52.288513913498967</v>
      </c>
      <c r="P776" s="2">
        <v>1462.7559854881838</v>
      </c>
      <c r="Q776" s="2">
        <v>1.2228766604997203</v>
      </c>
      <c r="R776" s="2">
        <v>53.332636392878001</v>
      </c>
      <c r="S776" s="2">
        <v>1447.8295928415446</v>
      </c>
      <c r="T776" s="2">
        <v>-1.3596863991811592E-3</v>
      </c>
      <c r="U776" s="2">
        <v>1.044122479379034</v>
      </c>
      <c r="V776" s="2">
        <v>-14.926392646639215</v>
      </c>
    </row>
    <row r="777" spans="1:22" ht="15">
      <c r="A777" s="2">
        <v>776</v>
      </c>
      <c r="B777" s="2" t="s">
        <v>79</v>
      </c>
      <c r="C777" s="2" t="s">
        <v>13</v>
      </c>
      <c r="D777" s="2">
        <v>1385.9998320112936</v>
      </c>
      <c r="E777" s="2">
        <v>841.75144257023931</v>
      </c>
      <c r="F777" s="2">
        <v>425.93132918700576</v>
      </c>
      <c r="G777" s="2">
        <v>136.33886868599802</v>
      </c>
      <c r="H777" s="2">
        <v>9.2686567581258714</v>
      </c>
      <c r="I777" s="2">
        <v>0.7966303200367838</v>
      </c>
      <c r="J777" s="2">
        <v>9</v>
      </c>
      <c r="K777" s="2">
        <v>193.31423555091067</v>
      </c>
      <c r="L777" s="2">
        <v>55</v>
      </c>
      <c r="M777" s="2">
        <v>25</v>
      </c>
      <c r="N777" s="2">
        <v>1.1990850921373859</v>
      </c>
      <c r="O777" s="2">
        <v>52.193922074286107</v>
      </c>
      <c r="P777" s="2">
        <v>1385.9998320112936</v>
      </c>
      <c r="Q777" s="2">
        <v>1.1912369938486822</v>
      </c>
      <c r="R777" s="2">
        <v>52.511950172278169</v>
      </c>
      <c r="S777" s="2">
        <v>1392.5399699177046</v>
      </c>
      <c r="T777" s="2">
        <v>-7.8480982887036976E-3</v>
      </c>
      <c r="U777" s="2">
        <v>0.31802809799206244</v>
      </c>
      <c r="V777" s="2">
        <v>6.5401379064110188</v>
      </c>
    </row>
    <row r="778" spans="1:22" ht="15">
      <c r="A778" s="2">
        <v>777</v>
      </c>
      <c r="B778" s="2" t="s">
        <v>79</v>
      </c>
      <c r="C778" s="2" t="s">
        <v>13</v>
      </c>
      <c r="D778" s="2">
        <v>1381.1456652358174</v>
      </c>
      <c r="E778" s="2">
        <v>919.95966139947996</v>
      </c>
      <c r="F778" s="2">
        <v>509.28317029029131</v>
      </c>
      <c r="G778" s="2">
        <v>150.90914767468348</v>
      </c>
      <c r="H778" s="2">
        <v>17.508417224511504</v>
      </c>
      <c r="I778" s="2">
        <v>0.80709948995383463</v>
      </c>
      <c r="J778" s="2">
        <v>9</v>
      </c>
      <c r="K778" s="2">
        <v>190.13842950071023</v>
      </c>
      <c r="L778" s="2">
        <v>45</v>
      </c>
      <c r="M778" s="2">
        <v>25</v>
      </c>
      <c r="N778" s="2">
        <v>1.1554610257470335</v>
      </c>
      <c r="O778" s="2">
        <v>52.221385197382403</v>
      </c>
      <c r="P778" s="2">
        <v>1381.1456652358174</v>
      </c>
      <c r="Q778" s="2">
        <v>1.1634379852095689</v>
      </c>
      <c r="R778" s="2">
        <v>52.009014751321665</v>
      </c>
      <c r="S778" s="2">
        <v>1392.7207779099783</v>
      </c>
      <c r="T778" s="2">
        <v>7.9769594625354046E-3</v>
      </c>
      <c r="U778" s="2">
        <v>-0.21237044606073852</v>
      </c>
      <c r="V778" s="2">
        <v>11.575112674160891</v>
      </c>
    </row>
    <row r="779" spans="1:22" ht="15">
      <c r="A779" s="2">
        <v>778</v>
      </c>
      <c r="B779" s="2" t="s">
        <v>80</v>
      </c>
      <c r="C779" s="2" t="s">
        <v>13</v>
      </c>
      <c r="D779" s="2">
        <v>1355.6352928862907</v>
      </c>
      <c r="E779" s="2">
        <v>692.30757879558951</v>
      </c>
      <c r="F779" s="2">
        <v>427.56240675225854</v>
      </c>
      <c r="G779" s="2">
        <v>242.20405767671764</v>
      </c>
      <c r="H779" s="2">
        <v>9.5946771842427552</v>
      </c>
      <c r="I779" s="2">
        <v>0.85119780887383967</v>
      </c>
      <c r="J779" s="2">
        <v>8</v>
      </c>
      <c r="K779" s="2">
        <v>199.07759376751642</v>
      </c>
      <c r="L779" s="2">
        <v>65</v>
      </c>
      <c r="M779" s="2">
        <v>25</v>
      </c>
      <c r="N779" s="2">
        <v>1.2207346906807099</v>
      </c>
      <c r="O779" s="2">
        <v>52.163783462390924</v>
      </c>
      <c r="P779" s="2">
        <v>1355.6352928862907</v>
      </c>
      <c r="Q779" s="2">
        <v>1.2223895657014965</v>
      </c>
      <c r="R779" s="2">
        <v>52.37183596516374</v>
      </c>
      <c r="S779" s="2">
        <v>1373.6252484299077</v>
      </c>
      <c r="T779" s="2">
        <v>1.6548750207865393E-3</v>
      </c>
      <c r="U779" s="2">
        <v>0.20805250277281573</v>
      </c>
      <c r="V779" s="2">
        <v>17.989955543617043</v>
      </c>
    </row>
    <row r="780" spans="1:22" ht="15">
      <c r="A780" s="2">
        <v>779</v>
      </c>
      <c r="B780" s="2" t="s">
        <v>80</v>
      </c>
      <c r="C780" s="2" t="s">
        <v>13</v>
      </c>
      <c r="D780" s="2">
        <v>1499.5108472881839</v>
      </c>
      <c r="E780" s="2">
        <v>723.46776077756658</v>
      </c>
      <c r="F780" s="2">
        <v>521.04766853153706</v>
      </c>
      <c r="G780" s="2">
        <v>89.306028659921139</v>
      </c>
      <c r="H780" s="2">
        <v>23.520749063231051</v>
      </c>
      <c r="I780" s="2">
        <v>0.83463445021538063</v>
      </c>
      <c r="J780" s="2">
        <v>9</v>
      </c>
      <c r="K780" s="2">
        <v>199.62310005578948</v>
      </c>
      <c r="L780" s="2">
        <v>55</v>
      </c>
      <c r="M780" s="2">
        <v>25</v>
      </c>
      <c r="N780" s="2">
        <v>1.1976941465595194</v>
      </c>
      <c r="O780" s="2">
        <v>52.18297611083382</v>
      </c>
      <c r="P780" s="2">
        <v>1499.5108472881839</v>
      </c>
      <c r="Q780" s="2">
        <v>1.1904371267033933</v>
      </c>
      <c r="R780" s="2">
        <v>51.323020191838296</v>
      </c>
      <c r="S780" s="2">
        <v>1500.7548812355587</v>
      </c>
      <c r="T780" s="2">
        <v>-7.2570198561261456E-3</v>
      </c>
      <c r="U780" s="2">
        <v>-0.85995591899552437</v>
      </c>
      <c r="V780" s="2">
        <v>1.2440339473748736</v>
      </c>
    </row>
    <row r="781" spans="1:22" ht="15">
      <c r="A781" s="2">
        <v>780</v>
      </c>
      <c r="B781" s="2" t="s">
        <v>80</v>
      </c>
      <c r="C781" s="2" t="s">
        <v>13</v>
      </c>
      <c r="D781" s="2">
        <v>1446.8211980885826</v>
      </c>
      <c r="E781" s="2">
        <v>1207.3539068456739</v>
      </c>
      <c r="F781" s="2">
        <v>667.06860167905688</v>
      </c>
      <c r="G781" s="2">
        <v>272.89813830982894</v>
      </c>
      <c r="H781" s="2">
        <v>15.276470187585801</v>
      </c>
      <c r="I781" s="2">
        <v>0.83369427572935828</v>
      </c>
      <c r="J781" s="2">
        <v>9</v>
      </c>
      <c r="K781" s="2">
        <v>192.82597419550731</v>
      </c>
      <c r="L781" s="2">
        <v>35</v>
      </c>
      <c r="M781" s="2">
        <v>25</v>
      </c>
      <c r="N781" s="2">
        <v>1.2266644868476579</v>
      </c>
      <c r="O781" s="2">
        <v>52.309820971857675</v>
      </c>
      <c r="P781" s="2">
        <v>1446.8211980885826</v>
      </c>
      <c r="Q781" s="2">
        <v>1.2367387001106105</v>
      </c>
      <c r="R781" s="2">
        <v>53.408565340286643</v>
      </c>
      <c r="S781" s="2">
        <v>1430.4992387607726</v>
      </c>
      <c r="T781" s="2">
        <v>1.0074213262952547E-2</v>
      </c>
      <c r="U781" s="2">
        <v>1.0987443684289673</v>
      </c>
      <c r="V781" s="2">
        <v>-16.321959327809964</v>
      </c>
    </row>
    <row r="782" spans="1:22" ht="15">
      <c r="A782" s="2">
        <v>781</v>
      </c>
      <c r="B782" s="2" t="s">
        <v>78</v>
      </c>
      <c r="C782" s="2" t="s">
        <v>13</v>
      </c>
      <c r="D782" s="2">
        <v>1389.7356437053531</v>
      </c>
      <c r="E782" s="2">
        <v>633.57834507478401</v>
      </c>
      <c r="F782" s="2">
        <v>718.17217674106359</v>
      </c>
      <c r="G782" s="2">
        <v>259.32319251121953</v>
      </c>
      <c r="H782" s="2">
        <v>29.650792319327593</v>
      </c>
      <c r="I782" s="2">
        <v>0.79725080415839333</v>
      </c>
      <c r="J782" s="2">
        <v>9</v>
      </c>
      <c r="K782" s="2">
        <v>193.68443495748258</v>
      </c>
      <c r="L782" s="2">
        <v>45</v>
      </c>
      <c r="M782" s="2">
        <v>25</v>
      </c>
      <c r="N782" s="2">
        <v>1.2330442657687704</v>
      </c>
      <c r="O782" s="2">
        <v>52.22620666890645</v>
      </c>
      <c r="P782" s="2">
        <v>1389.7356437053531</v>
      </c>
      <c r="Q782" s="2">
        <v>1.2297420855279859</v>
      </c>
      <c r="R782" s="2">
        <v>51.590706112221568</v>
      </c>
      <c r="S782" s="2">
        <v>1371.480720310989</v>
      </c>
      <c r="T782" s="2">
        <v>-3.3021802407844358E-3</v>
      </c>
      <c r="U782" s="2">
        <v>-0.6355005566848817</v>
      </c>
      <c r="V782" s="2">
        <v>-18.254923394364141</v>
      </c>
    </row>
    <row r="783" spans="1:22" ht="15">
      <c r="A783" s="2">
        <v>782</v>
      </c>
      <c r="B783" s="2" t="s">
        <v>78</v>
      </c>
      <c r="C783" s="2" t="s">
        <v>13</v>
      </c>
      <c r="D783" s="2">
        <v>1419.3938979995437</v>
      </c>
      <c r="E783" s="2">
        <v>1091.7375077260658</v>
      </c>
      <c r="F783" s="2">
        <v>521.37963818386197</v>
      </c>
      <c r="G783" s="2">
        <v>196.67198874056339</v>
      </c>
      <c r="H783" s="2">
        <v>8.0946333953179419</v>
      </c>
      <c r="I783" s="2">
        <v>0.80541857227217406</v>
      </c>
      <c r="J783" s="2">
        <v>9</v>
      </c>
      <c r="K783" s="2">
        <v>195.81176613067413</v>
      </c>
      <c r="L783" s="2">
        <v>45</v>
      </c>
      <c r="M783" s="2">
        <v>25</v>
      </c>
      <c r="N783" s="2">
        <v>1.2650854085631267</v>
      </c>
      <c r="O783" s="2">
        <v>52.257191370820379</v>
      </c>
      <c r="P783" s="2">
        <v>1419.3938979995437</v>
      </c>
      <c r="Q783" s="2">
        <v>1.272797270755772</v>
      </c>
      <c r="R783" s="2">
        <v>52.332083862354153</v>
      </c>
      <c r="S783" s="2">
        <v>1421.1966971733161</v>
      </c>
      <c r="T783" s="2">
        <v>7.7118621926453024E-3</v>
      </c>
      <c r="U783" s="2">
        <v>7.4892491533773864E-2</v>
      </c>
      <c r="V783" s="2">
        <v>1.8027991737724278</v>
      </c>
    </row>
    <row r="784" spans="1:22" ht="15">
      <c r="A784" s="2">
        <v>783</v>
      </c>
      <c r="B784" s="2" t="s">
        <v>78</v>
      </c>
      <c r="C784" s="2" t="s">
        <v>13</v>
      </c>
      <c r="D784" s="2">
        <v>1478.0879093566909</v>
      </c>
      <c r="E784" s="2">
        <v>871.83928164886311</v>
      </c>
      <c r="F784" s="2">
        <v>493.83431151509285</v>
      </c>
      <c r="G784" s="2">
        <v>268.62615566467866</v>
      </c>
      <c r="H784" s="2">
        <v>8.9481773367151618</v>
      </c>
      <c r="I784" s="2">
        <v>0.82842010838678115</v>
      </c>
      <c r="J784" s="2">
        <v>9</v>
      </c>
      <c r="K784" s="2">
        <v>198.24722778438755</v>
      </c>
      <c r="L784" s="2">
        <v>45</v>
      </c>
      <c r="M784" s="2">
        <v>25</v>
      </c>
      <c r="N784" s="2">
        <v>1.1505563540920951</v>
      </c>
      <c r="O784" s="2">
        <v>52.2298281883361</v>
      </c>
      <c r="P784" s="2">
        <v>1478.0879093566909</v>
      </c>
      <c r="Q784" s="2">
        <v>1.1511463179609034</v>
      </c>
      <c r="R784" s="2">
        <v>52.616393176196453</v>
      </c>
      <c r="S784" s="2">
        <v>1489.9807118224712</v>
      </c>
      <c r="T784" s="2">
        <v>5.8996386880827423E-4</v>
      </c>
      <c r="U784" s="2">
        <v>0.38656498786035343</v>
      </c>
      <c r="V784" s="2">
        <v>11.892802465780278</v>
      </c>
    </row>
    <row r="785" spans="1:22" ht="15">
      <c r="A785" s="2">
        <v>784</v>
      </c>
      <c r="B785" s="2" t="s">
        <v>78</v>
      </c>
      <c r="C785" s="2" t="s">
        <v>13</v>
      </c>
      <c r="D785" s="2">
        <v>1394.021707016509</v>
      </c>
      <c r="E785" s="2">
        <v>1108.2213526591659</v>
      </c>
      <c r="F785" s="2">
        <v>504.14103409275413</v>
      </c>
      <c r="G785" s="2">
        <v>142.000269186683</v>
      </c>
      <c r="H785" s="2">
        <v>13.023476192262024</v>
      </c>
      <c r="I785" s="2">
        <v>0.8310531556513161</v>
      </c>
      <c r="J785" s="2">
        <v>9</v>
      </c>
      <c r="K785" s="2">
        <v>186.37953508307191</v>
      </c>
      <c r="L785" s="2">
        <v>45</v>
      </c>
      <c r="M785" s="2">
        <v>25</v>
      </c>
      <c r="N785" s="2">
        <v>1.2518919515825375</v>
      </c>
      <c r="O785" s="2">
        <v>52.24854899712723</v>
      </c>
      <c r="P785" s="2">
        <v>1394.021707016509</v>
      </c>
      <c r="Q785" s="2">
        <v>1.2555492214673725</v>
      </c>
      <c r="R785" s="2">
        <v>53.771254544659129</v>
      </c>
      <c r="S785" s="2">
        <v>1392.0813120501109</v>
      </c>
      <c r="T785" s="2">
        <v>3.6572698848349461E-3</v>
      </c>
      <c r="U785" s="2">
        <v>1.5227055475318991</v>
      </c>
      <c r="V785" s="2">
        <v>-1.9403949663981166</v>
      </c>
    </row>
    <row r="786" spans="1:22" ht="15">
      <c r="A786" s="2">
        <v>785</v>
      </c>
      <c r="B786" s="2" t="s">
        <v>78</v>
      </c>
      <c r="C786" s="2" t="s">
        <v>13</v>
      </c>
      <c r="D786" s="2">
        <v>1393.1252592243254</v>
      </c>
      <c r="E786" s="2">
        <v>632.58912017336115</v>
      </c>
      <c r="F786" s="2">
        <v>632.27738235145807</v>
      </c>
      <c r="G786" s="2">
        <v>238.92859367886558</v>
      </c>
      <c r="H786" s="2">
        <v>23.524107011035085</v>
      </c>
      <c r="I786" s="2">
        <v>0.83905103183584295</v>
      </c>
      <c r="J786" s="2">
        <v>9</v>
      </c>
      <c r="K786" s="2">
        <v>184.48424421895459</v>
      </c>
      <c r="L786" s="2">
        <v>50</v>
      </c>
      <c r="M786" s="2">
        <v>25</v>
      </c>
      <c r="N786" s="2">
        <v>1.2344136068751437</v>
      </c>
      <c r="O786" s="2">
        <v>52.209479250375558</v>
      </c>
      <c r="P786" s="2">
        <v>1393.1252592243254</v>
      </c>
      <c r="Q786" s="2">
        <v>1.2207006081120826</v>
      </c>
      <c r="R786" s="2">
        <v>51.107885209467042</v>
      </c>
      <c r="S786" s="2">
        <v>1395.2873594636276</v>
      </c>
      <c r="T786" s="2">
        <v>-1.3712998763061091E-2</v>
      </c>
      <c r="U786" s="2">
        <v>-1.1015940409085161</v>
      </c>
      <c r="V786" s="2">
        <v>2.1621002393021627</v>
      </c>
    </row>
    <row r="787" spans="1:22" ht="15">
      <c r="A787" s="2">
        <v>786</v>
      </c>
      <c r="B787" s="2" t="s">
        <v>78</v>
      </c>
      <c r="C787" s="2" t="s">
        <v>13</v>
      </c>
      <c r="D787" s="2">
        <v>1489.8726548650302</v>
      </c>
      <c r="E787" s="2">
        <v>1103.7474447162822</v>
      </c>
      <c r="F787" s="2">
        <v>576.99110889807343</v>
      </c>
      <c r="G787" s="2">
        <v>123.72859676368535</v>
      </c>
      <c r="H787" s="2">
        <v>21.335965857375413</v>
      </c>
      <c r="I787" s="2">
        <v>0.82106168294791138</v>
      </c>
      <c r="J787" s="2">
        <v>10</v>
      </c>
      <c r="K787" s="2">
        <v>181.45684859094177</v>
      </c>
      <c r="L787" s="2">
        <v>35</v>
      </c>
      <c r="M787" s="2">
        <v>25</v>
      </c>
      <c r="N787" s="2">
        <v>1.1750946208380628</v>
      </c>
      <c r="O787" s="2">
        <v>52.28762393380299</v>
      </c>
      <c r="P787" s="2">
        <v>1489.8726548650302</v>
      </c>
      <c r="Q787" s="2">
        <v>1.1846967646717068</v>
      </c>
      <c r="R787" s="2">
        <v>53.372880062051188</v>
      </c>
      <c r="S787" s="2">
        <v>1476.1874659950445</v>
      </c>
      <c r="T787" s="2">
        <v>9.6021438336439946E-3</v>
      </c>
      <c r="U787" s="2">
        <v>1.0852561282481972</v>
      </c>
      <c r="V787" s="2">
        <v>-13.685188869985723</v>
      </c>
    </row>
    <row r="788" spans="1:22" ht="15">
      <c r="A788" s="2">
        <v>787</v>
      </c>
      <c r="B788" s="2" t="s">
        <v>78</v>
      </c>
      <c r="C788" s="2" t="s">
        <v>13</v>
      </c>
      <c r="D788" s="2">
        <v>1488.2951469859108</v>
      </c>
      <c r="E788" s="2">
        <v>881.43664967501536</v>
      </c>
      <c r="F788" s="2">
        <v>499.38122294843197</v>
      </c>
      <c r="G788" s="2">
        <v>126.59714241279289</v>
      </c>
      <c r="H788" s="2">
        <v>22.739264962263405</v>
      </c>
      <c r="I788" s="2">
        <v>0.81610620376421139</v>
      </c>
      <c r="J788" s="2">
        <v>10</v>
      </c>
      <c r="K788" s="2">
        <v>182.36537599166536</v>
      </c>
      <c r="L788" s="2">
        <v>45</v>
      </c>
      <c r="M788" s="2">
        <v>25</v>
      </c>
      <c r="N788" s="2">
        <v>1.23380627263599</v>
      </c>
      <c r="O788" s="2">
        <v>52.236159651355024</v>
      </c>
      <c r="P788" s="2">
        <v>1488.2951469859108</v>
      </c>
      <c r="Q788" s="2">
        <v>1.2350825895188389</v>
      </c>
      <c r="R788" s="2">
        <v>51.354284518167304</v>
      </c>
      <c r="S788" s="2">
        <v>1480.5535702979398</v>
      </c>
      <c r="T788" s="2">
        <v>1.2763168828489047E-3</v>
      </c>
      <c r="U788" s="2">
        <v>-0.88187513318771948</v>
      </c>
      <c r="V788" s="2">
        <v>-7.7415766879710191</v>
      </c>
    </row>
    <row r="789" spans="1:22" ht="15">
      <c r="A789" s="2">
        <v>788</v>
      </c>
      <c r="B789" s="2" t="s">
        <v>78</v>
      </c>
      <c r="C789" s="2" t="s">
        <v>13</v>
      </c>
      <c r="D789" s="2">
        <v>1479.8626517294906</v>
      </c>
      <c r="E789" s="2">
        <v>885.04764721728861</v>
      </c>
      <c r="F789" s="2">
        <v>527.49448595568538</v>
      </c>
      <c r="G789" s="2">
        <v>144.78911021258682</v>
      </c>
      <c r="H789" s="2">
        <v>21.437036737333983</v>
      </c>
      <c r="I789" s="2">
        <v>0.82426406534388663</v>
      </c>
      <c r="J789" s="2">
        <v>9</v>
      </c>
      <c r="K789" s="2">
        <v>199.48605118057449</v>
      </c>
      <c r="L789" s="2">
        <v>45</v>
      </c>
      <c r="M789" s="2">
        <v>25</v>
      </c>
      <c r="N789" s="2">
        <v>1.1585372311177002</v>
      </c>
      <c r="O789" s="2">
        <v>52.217826874124896</v>
      </c>
      <c r="P789" s="2">
        <v>1479.8626517294906</v>
      </c>
      <c r="Q789" s="2">
        <v>1.1673945440717786</v>
      </c>
      <c r="R789" s="2">
        <v>51.629691243300236</v>
      </c>
      <c r="S789" s="2">
        <v>1485.9491363285124</v>
      </c>
      <c r="T789" s="2">
        <v>8.8573129540783224E-3</v>
      </c>
      <c r="U789" s="2">
        <v>-0.58813563082465947</v>
      </c>
      <c r="V789" s="2">
        <v>6.0864845990217873</v>
      </c>
    </row>
    <row r="790" spans="1:22" ht="15">
      <c r="A790" s="2">
        <v>789</v>
      </c>
      <c r="B790" s="2" t="s">
        <v>78</v>
      </c>
      <c r="C790" s="2" t="s">
        <v>13</v>
      </c>
      <c r="D790" s="2">
        <v>1428.7980966735631</v>
      </c>
      <c r="E790" s="2">
        <v>978.19495386211202</v>
      </c>
      <c r="F790" s="2">
        <v>663.24400883167982</v>
      </c>
      <c r="G790" s="2">
        <v>191.39233811991289</v>
      </c>
      <c r="H790" s="2">
        <v>20.375091627240181</v>
      </c>
      <c r="I790" s="2">
        <v>0.82367740525165578</v>
      </c>
      <c r="J790" s="2">
        <v>9</v>
      </c>
      <c r="K790" s="2">
        <v>192.73970982163371</v>
      </c>
      <c r="L790" s="2">
        <v>40</v>
      </c>
      <c r="M790" s="2">
        <v>25</v>
      </c>
      <c r="N790" s="2">
        <v>1.2143113421584601</v>
      </c>
      <c r="O790" s="2">
        <v>52.260784220579374</v>
      </c>
      <c r="P790" s="2">
        <v>1428.7980966735631</v>
      </c>
      <c r="Q790" s="2">
        <v>1.2273282954064741</v>
      </c>
      <c r="R790" s="2">
        <v>52.90390302706264</v>
      </c>
      <c r="S790" s="2">
        <v>1419.2185945162619</v>
      </c>
      <c r="T790" s="2">
        <v>1.3016953248013996E-2</v>
      </c>
      <c r="U790" s="2">
        <v>0.64311880648326536</v>
      </c>
      <c r="V790" s="2">
        <v>-9.5795021573012491</v>
      </c>
    </row>
    <row r="791" spans="1:22" ht="15">
      <c r="A791" s="2">
        <v>790</v>
      </c>
      <c r="B791" s="2" t="s">
        <v>78</v>
      </c>
      <c r="C791" s="2" t="s">
        <v>13</v>
      </c>
      <c r="D791" s="2">
        <v>1416.749448061455</v>
      </c>
      <c r="E791" s="2">
        <v>1078.5936539759859</v>
      </c>
      <c r="F791" s="2">
        <v>568.66372944787145</v>
      </c>
      <c r="G791" s="2">
        <v>166.67900459840894</v>
      </c>
      <c r="H791" s="2">
        <v>23.764862066600472</v>
      </c>
      <c r="I791" s="2">
        <v>0.80980651130434134</v>
      </c>
      <c r="J791" s="2">
        <v>9</v>
      </c>
      <c r="K791" s="2">
        <v>194.38792247621407</v>
      </c>
      <c r="L791" s="2">
        <v>40</v>
      </c>
      <c r="M791" s="2">
        <v>25</v>
      </c>
      <c r="N791" s="2">
        <v>1.2205874544747672</v>
      </c>
      <c r="O791" s="2">
        <v>52.25783803130237</v>
      </c>
      <c r="P791" s="2">
        <v>1416.749448061455</v>
      </c>
      <c r="Q791" s="2">
        <v>1.2303804664923648</v>
      </c>
      <c r="R791" s="2">
        <v>52.122013805084215</v>
      </c>
      <c r="S791" s="2">
        <v>1396.2268621674127</v>
      </c>
      <c r="T791" s="2">
        <v>9.7930120175975244E-3</v>
      </c>
      <c r="U791" s="2">
        <v>-0.13582422621815482</v>
      </c>
      <c r="V791" s="2">
        <v>-20.522585894042322</v>
      </c>
    </row>
    <row r="792" spans="1:22" ht="15">
      <c r="A792" s="2">
        <v>791</v>
      </c>
      <c r="B792" s="2" t="s">
        <v>78</v>
      </c>
      <c r="C792" s="2" t="s">
        <v>13</v>
      </c>
      <c r="D792" s="2">
        <v>1359.1874760808423</v>
      </c>
      <c r="E792" s="2">
        <v>682.47919325949624</v>
      </c>
      <c r="F792" s="2">
        <v>585.44888943433762</v>
      </c>
      <c r="G792" s="2">
        <v>240.69554997375235</v>
      </c>
      <c r="H792" s="2">
        <v>14.101660693995655</v>
      </c>
      <c r="I792" s="2">
        <v>0.80896417256211861</v>
      </c>
      <c r="J792" s="2">
        <v>9</v>
      </c>
      <c r="K792" s="2">
        <v>186.68420159738605</v>
      </c>
      <c r="L792" s="2">
        <v>50</v>
      </c>
      <c r="M792" s="2">
        <v>25</v>
      </c>
      <c r="N792" s="2">
        <v>1.197361074677993</v>
      </c>
      <c r="O792" s="2">
        <v>52.210232139923697</v>
      </c>
      <c r="P792" s="2">
        <v>1359.1874760808423</v>
      </c>
      <c r="Q792" s="2">
        <v>1.2103132964399734</v>
      </c>
      <c r="R792" s="2">
        <v>50.539828876150139</v>
      </c>
      <c r="S792" s="2">
        <v>1368.523166719971</v>
      </c>
      <c r="T792" s="2">
        <v>1.2952221761980409E-2</v>
      </c>
      <c r="U792" s="2">
        <v>-1.670403263773558</v>
      </c>
      <c r="V792" s="2">
        <v>9.3356906391286429</v>
      </c>
    </row>
    <row r="793" spans="1:22" ht="15">
      <c r="A793" s="2">
        <v>792</v>
      </c>
      <c r="B793" s="2" t="s">
        <v>78</v>
      </c>
      <c r="C793" s="2" t="s">
        <v>13</v>
      </c>
      <c r="D793" s="2">
        <v>1400.2811293001287</v>
      </c>
      <c r="E793" s="2">
        <v>956.02013459429145</v>
      </c>
      <c r="F793" s="2">
        <v>484.14138173684478</v>
      </c>
      <c r="G793" s="2">
        <v>191.16419418249279</v>
      </c>
      <c r="H793" s="2">
        <v>20.261797418352216</v>
      </c>
      <c r="I793" s="2">
        <v>0.8330858849454672</v>
      </c>
      <c r="J793" s="2">
        <v>9</v>
      </c>
      <c r="K793" s="2">
        <v>186.75960660963938</v>
      </c>
      <c r="L793" s="2">
        <v>45</v>
      </c>
      <c r="M793" s="2">
        <v>25</v>
      </c>
      <c r="N793" s="2">
        <v>1.2032592493657461</v>
      </c>
      <c r="O793" s="2">
        <v>52.229364461411834</v>
      </c>
      <c r="P793" s="2">
        <v>1400.2811293001287</v>
      </c>
      <c r="Q793" s="2">
        <v>1.2005805682627579</v>
      </c>
      <c r="R793" s="2">
        <v>52.774315585528846</v>
      </c>
      <c r="S793" s="2">
        <v>1394.0757835402846</v>
      </c>
      <c r="T793" s="2">
        <v>-2.6786811029881896E-3</v>
      </c>
      <c r="U793" s="2">
        <v>0.54495112411701285</v>
      </c>
      <c r="V793" s="2">
        <v>-6.2053457598440218</v>
      </c>
    </row>
    <row r="794" spans="1:22" ht="15">
      <c r="A794" s="2">
        <v>793</v>
      </c>
      <c r="B794" s="2" t="s">
        <v>78</v>
      </c>
      <c r="C794" s="2" t="s">
        <v>13</v>
      </c>
      <c r="D794" s="2">
        <v>1411.8803724646568</v>
      </c>
      <c r="E794" s="2">
        <v>870.34335829084739</v>
      </c>
      <c r="F794" s="2">
        <v>585.01738775521517</v>
      </c>
      <c r="G794" s="2">
        <v>87.36277416581288</v>
      </c>
      <c r="H794" s="2">
        <v>15.100310174748302</v>
      </c>
      <c r="I794" s="2">
        <v>0.8122317401063629</v>
      </c>
      <c r="J794" s="2">
        <v>9</v>
      </c>
      <c r="K794" s="2">
        <v>193.14142650959977</v>
      </c>
      <c r="L794" s="2">
        <v>50</v>
      </c>
      <c r="M794" s="2">
        <v>25</v>
      </c>
      <c r="N794" s="2">
        <v>1.2274081592945749</v>
      </c>
      <c r="O794" s="2">
        <v>52.215549164889033</v>
      </c>
      <c r="P794" s="2">
        <v>1411.8803724646568</v>
      </c>
      <c r="Q794" s="2">
        <v>1.2218504790570845</v>
      </c>
      <c r="R794" s="2">
        <v>51.484303245122419</v>
      </c>
      <c r="S794" s="2">
        <v>1411.9544648365891</v>
      </c>
      <c r="T794" s="2">
        <v>-5.55768023749037E-3</v>
      </c>
      <c r="U794" s="2">
        <v>-0.73124591976661435</v>
      </c>
      <c r="V794" s="2">
        <v>7.4092371932238166E-2</v>
      </c>
    </row>
    <row r="795" spans="1:22" ht="15">
      <c r="A795" s="2">
        <v>794</v>
      </c>
      <c r="B795" s="2" t="s">
        <v>78</v>
      </c>
      <c r="C795" s="2" t="s">
        <v>13</v>
      </c>
      <c r="D795" s="2">
        <v>1428.4106201143004</v>
      </c>
      <c r="E795" s="2">
        <v>1132.3757911333814</v>
      </c>
      <c r="F795" s="2">
        <v>452.88029173389077</v>
      </c>
      <c r="G795" s="2">
        <v>150.01596479676664</v>
      </c>
      <c r="H795" s="2">
        <v>19.688189145643264</v>
      </c>
      <c r="I795" s="2">
        <v>0.8098263776348904</v>
      </c>
      <c r="J795" s="2">
        <v>9</v>
      </c>
      <c r="K795" s="2">
        <v>195.98310885764511</v>
      </c>
      <c r="L795" s="2">
        <v>40</v>
      </c>
      <c r="M795" s="2">
        <v>25</v>
      </c>
      <c r="N795" s="2">
        <v>1.151765504384058</v>
      </c>
      <c r="O795" s="2">
        <v>52.245572294032016</v>
      </c>
      <c r="P795" s="2">
        <v>1428.4106201143004</v>
      </c>
      <c r="Q795" s="2">
        <v>1.1482073160175499</v>
      </c>
      <c r="R795" s="2">
        <v>53.825580209402069</v>
      </c>
      <c r="S795" s="2">
        <v>1430.6478859756714</v>
      </c>
      <c r="T795" s="2">
        <v>-3.5581883665081193E-3</v>
      </c>
      <c r="U795" s="2">
        <v>1.5800079153700537</v>
      </c>
      <c r="V795" s="2">
        <v>2.2372658613710428</v>
      </c>
    </row>
    <row r="796" spans="1:22" ht="15">
      <c r="A796" s="2">
        <v>795</v>
      </c>
      <c r="B796" s="2" t="s">
        <v>79</v>
      </c>
      <c r="C796" s="2" t="s">
        <v>13</v>
      </c>
      <c r="D796" s="2">
        <v>1424.1271779639646</v>
      </c>
      <c r="E796" s="2">
        <v>714.01287807384506</v>
      </c>
      <c r="F796" s="2">
        <v>466.50464572012424</v>
      </c>
      <c r="G796" s="2">
        <v>198.65279934136197</v>
      </c>
      <c r="H796" s="2">
        <v>17.665979289449751</v>
      </c>
      <c r="I796" s="2">
        <v>0.81981448511360222</v>
      </c>
      <c r="J796" s="2">
        <v>9</v>
      </c>
      <c r="K796" s="2">
        <v>193.01482955034672</v>
      </c>
      <c r="L796" s="2">
        <v>55</v>
      </c>
      <c r="M796" s="2">
        <v>25</v>
      </c>
      <c r="N796" s="2">
        <v>1.2123046125018977</v>
      </c>
      <c r="O796" s="2">
        <v>52.190047132634874</v>
      </c>
      <c r="P796" s="2">
        <v>1424.1271779639646</v>
      </c>
      <c r="Q796" s="2">
        <v>1.2141826755693681</v>
      </c>
      <c r="R796" s="2">
        <v>52.161351785032302</v>
      </c>
      <c r="S796" s="2">
        <v>1442.3310029483969</v>
      </c>
      <c r="T796" s="2">
        <v>1.8780630674704035E-3</v>
      </c>
      <c r="U796" s="2">
        <v>-2.869534760257153E-2</v>
      </c>
      <c r="V796" s="2">
        <v>18.203824984432231</v>
      </c>
    </row>
    <row r="797" spans="1:22" ht="15">
      <c r="A797" s="2">
        <v>796</v>
      </c>
      <c r="B797" s="2" t="s">
        <v>79</v>
      </c>
      <c r="C797" s="2" t="s">
        <v>13</v>
      </c>
      <c r="D797" s="2">
        <v>1463.6247821501456</v>
      </c>
      <c r="E797" s="2">
        <v>928.98089061491191</v>
      </c>
      <c r="F797" s="2">
        <v>362.55074990913272</v>
      </c>
      <c r="G797" s="2">
        <v>287.13730517309159</v>
      </c>
      <c r="H797" s="2">
        <v>10.808100547175854</v>
      </c>
      <c r="I797" s="2">
        <v>0.84331703774631028</v>
      </c>
      <c r="J797" s="2">
        <v>9</v>
      </c>
      <c r="K797" s="2">
        <v>192.83966588539633</v>
      </c>
      <c r="L797" s="2">
        <v>50</v>
      </c>
      <c r="M797" s="2">
        <v>25</v>
      </c>
      <c r="N797" s="2">
        <v>1.2354903893231028</v>
      </c>
      <c r="O797" s="2">
        <v>52.221153955357821</v>
      </c>
      <c r="P797" s="2">
        <v>1463.6247821501456</v>
      </c>
      <c r="Q797" s="2">
        <v>1.2349902273393567</v>
      </c>
      <c r="R797" s="2">
        <v>51.384609383110558</v>
      </c>
      <c r="S797" s="2">
        <v>1468.3894035723299</v>
      </c>
      <c r="T797" s="2">
        <v>-5.0016198374613907E-4</v>
      </c>
      <c r="U797" s="2">
        <v>-0.83654457224726286</v>
      </c>
      <c r="V797" s="2">
        <v>4.7646214221842911</v>
      </c>
    </row>
    <row r="798" spans="1:22" ht="15">
      <c r="A798" s="2">
        <v>797</v>
      </c>
      <c r="B798" s="2" t="s">
        <v>79</v>
      </c>
      <c r="C798" s="2" t="s">
        <v>13</v>
      </c>
      <c r="D798" s="2">
        <v>1423.9074140321463</v>
      </c>
      <c r="E798" s="2">
        <v>919.59223531885073</v>
      </c>
      <c r="F798" s="2">
        <v>546.26971837133169</v>
      </c>
      <c r="G798" s="2">
        <v>297.12451876373962</v>
      </c>
      <c r="H798" s="2">
        <v>29.877874206751585</v>
      </c>
      <c r="I798" s="2">
        <v>0.80195564549649134</v>
      </c>
      <c r="J798" s="2">
        <v>9</v>
      </c>
      <c r="K798" s="2">
        <v>197.28264995816767</v>
      </c>
      <c r="L798" s="2">
        <v>40</v>
      </c>
      <c r="M798" s="2">
        <v>25</v>
      </c>
      <c r="N798" s="2">
        <v>1.2209267561903361</v>
      </c>
      <c r="O798" s="2">
        <v>52.249893665717373</v>
      </c>
      <c r="P798" s="2">
        <v>1423.9074140321463</v>
      </c>
      <c r="Q798" s="2">
        <v>1.2236655715246822</v>
      </c>
      <c r="R798" s="2">
        <v>53.36237055057655</v>
      </c>
      <c r="S798" s="2">
        <v>1407.5736217254846</v>
      </c>
      <c r="T798" s="2">
        <v>2.7388153343461674E-3</v>
      </c>
      <c r="U798" s="2">
        <v>1.1124768848591771</v>
      </c>
      <c r="V798" s="2">
        <v>-16.333792306661735</v>
      </c>
    </row>
    <row r="799" spans="1:22" ht="15">
      <c r="A799" s="2">
        <v>798</v>
      </c>
      <c r="B799" s="2" t="s">
        <v>80</v>
      </c>
      <c r="C799" s="2" t="s">
        <v>13</v>
      </c>
      <c r="D799" s="2">
        <v>1433.0831736442633</v>
      </c>
      <c r="E799" s="2">
        <v>838.42179093044251</v>
      </c>
      <c r="F799" s="2">
        <v>586.91857056692243</v>
      </c>
      <c r="G799" s="2">
        <v>191.31255980581045</v>
      </c>
      <c r="H799" s="2">
        <v>16.59124286705628</v>
      </c>
      <c r="I799" s="2">
        <v>0.83367612536530944</v>
      </c>
      <c r="J799" s="2">
        <v>9</v>
      </c>
      <c r="K799" s="2">
        <v>190.99918888582502</v>
      </c>
      <c r="L799" s="2">
        <v>45</v>
      </c>
      <c r="M799" s="2">
        <v>25</v>
      </c>
      <c r="N799" s="2">
        <v>1.1758341515727837</v>
      </c>
      <c r="O799" s="2">
        <v>52.227076606754196</v>
      </c>
      <c r="P799" s="2">
        <v>1433.0831736442633</v>
      </c>
      <c r="Q799" s="2">
        <v>1.1835028178335838</v>
      </c>
      <c r="R799" s="2">
        <v>52.640293217049141</v>
      </c>
      <c r="S799" s="2">
        <v>1435.4333597930799</v>
      </c>
      <c r="T799" s="2">
        <v>7.6686662608000944E-3</v>
      </c>
      <c r="U799" s="2">
        <v>0.4132166102949455</v>
      </c>
      <c r="V799" s="2">
        <v>2.3501861488166469</v>
      </c>
    </row>
    <row r="800" spans="1:22" ht="15">
      <c r="A800" s="2">
        <v>799</v>
      </c>
      <c r="B800" s="2" t="s">
        <v>80</v>
      </c>
      <c r="C800" s="2" t="s">
        <v>13</v>
      </c>
      <c r="D800" s="2">
        <v>1370.561121054925</v>
      </c>
      <c r="E800" s="2">
        <v>970.21462834673002</v>
      </c>
      <c r="F800" s="2">
        <v>631.65724501013756</v>
      </c>
      <c r="G800" s="2">
        <v>92.611055222805589</v>
      </c>
      <c r="H800" s="2">
        <v>27.862632564269006</v>
      </c>
      <c r="I800" s="2">
        <v>0.82710806676885118</v>
      </c>
      <c r="J800" s="2">
        <v>9</v>
      </c>
      <c r="K800" s="2">
        <v>184.11689490710916</v>
      </c>
      <c r="L800" s="2">
        <v>40</v>
      </c>
      <c r="M800" s="2">
        <v>25</v>
      </c>
      <c r="N800" s="2">
        <v>1.1691774723245629</v>
      </c>
      <c r="O800" s="2">
        <v>52.239212250638786</v>
      </c>
      <c r="P800" s="2">
        <v>1370.561121054925</v>
      </c>
      <c r="Q800" s="2">
        <v>1.1607362122698472</v>
      </c>
      <c r="R800" s="2">
        <v>53.024172522854521</v>
      </c>
      <c r="S800" s="2">
        <v>1362.6267001794827</v>
      </c>
      <c r="T800" s="2">
        <v>-8.4412600547156824E-3</v>
      </c>
      <c r="U800" s="2">
        <v>0.78496027221573428</v>
      </c>
      <c r="V800" s="2">
        <v>-7.9344208754423562</v>
      </c>
    </row>
    <row r="801" spans="1:22" ht="15">
      <c r="A801" s="2">
        <v>800</v>
      </c>
      <c r="B801" s="2" t="s">
        <v>80</v>
      </c>
      <c r="C801" s="2" t="s">
        <v>13</v>
      </c>
      <c r="D801" s="2">
        <v>1477.8923986363225</v>
      </c>
      <c r="E801" s="2">
        <v>1164.4180558621883</v>
      </c>
      <c r="F801" s="2">
        <v>484.07888701185584</v>
      </c>
      <c r="G801" s="2">
        <v>176.14412405062467</v>
      </c>
      <c r="H801" s="2">
        <v>17.425007612910122</v>
      </c>
      <c r="I801" s="2">
        <v>0.82178755561821171</v>
      </c>
      <c r="J801" s="2">
        <v>9</v>
      </c>
      <c r="K801" s="2">
        <v>199.82082399825995</v>
      </c>
      <c r="L801" s="2">
        <v>40</v>
      </c>
      <c r="M801" s="2">
        <v>25</v>
      </c>
      <c r="N801" s="2">
        <v>1.1937465448621607</v>
      </c>
      <c r="O801" s="2">
        <v>52.259507158360222</v>
      </c>
      <c r="P801" s="2">
        <v>1477.8923986363225</v>
      </c>
      <c r="Q801" s="2">
        <v>1.1945081163955271</v>
      </c>
      <c r="R801" s="2">
        <v>52.917600933304215</v>
      </c>
      <c r="S801" s="2">
        <v>1471.161913134737</v>
      </c>
      <c r="T801" s="2">
        <v>7.6157153336642303E-4</v>
      </c>
      <c r="U801" s="2">
        <v>0.65809377494399257</v>
      </c>
      <c r="V801" s="2">
        <v>-6.7304855015854628</v>
      </c>
    </row>
    <row r="802" spans="1:22" ht="15">
      <c r="A802" s="2">
        <v>801</v>
      </c>
      <c r="B802" s="2" t="s">
        <v>78</v>
      </c>
      <c r="C802" s="2" t="s">
        <v>13</v>
      </c>
      <c r="D802" s="2">
        <v>1465.6038112007082</v>
      </c>
      <c r="E802" s="2">
        <v>900.07923686644062</v>
      </c>
      <c r="F802" s="2">
        <v>531.65495041757822</v>
      </c>
      <c r="G802" s="2">
        <v>142.98188032815233</v>
      </c>
      <c r="H802" s="2">
        <v>27.656578565016389</v>
      </c>
      <c r="I802" s="2">
        <v>0.82063909325050188</v>
      </c>
      <c r="J802" s="2">
        <v>9</v>
      </c>
      <c r="K802" s="2">
        <v>198.43664437940814</v>
      </c>
      <c r="L802" s="2">
        <v>45</v>
      </c>
      <c r="M802" s="2">
        <v>25</v>
      </c>
      <c r="N802" s="2">
        <v>1.1991669561955014</v>
      </c>
      <c r="O802" s="2">
        <v>52.22053760284242</v>
      </c>
      <c r="P802" s="2">
        <v>1465.6038112007082</v>
      </c>
      <c r="Q802" s="2">
        <v>1.1811979791683724</v>
      </c>
      <c r="R802" s="2">
        <v>51.389951473576588</v>
      </c>
      <c r="S802" s="2">
        <v>1455.0251781398267</v>
      </c>
      <c r="T802" s="2">
        <v>-1.7968977027128963E-2</v>
      </c>
      <c r="U802" s="2">
        <v>-0.83058612926583208</v>
      </c>
      <c r="V802" s="2">
        <v>-10.57863306088143</v>
      </c>
    </row>
    <row r="803" spans="1:22" ht="15">
      <c r="A803" s="2">
        <v>802</v>
      </c>
      <c r="B803" s="2" t="s">
        <v>78</v>
      </c>
      <c r="C803" s="2" t="s">
        <v>13</v>
      </c>
      <c r="D803" s="2">
        <v>1456.8322078906931</v>
      </c>
      <c r="E803" s="2">
        <v>887.08095804322511</v>
      </c>
      <c r="F803" s="2">
        <v>494.69605023041368</v>
      </c>
      <c r="G803" s="2">
        <v>259.64810528792441</v>
      </c>
      <c r="H803" s="2">
        <v>14.289481051731855</v>
      </c>
      <c r="I803" s="2">
        <v>0.84613086617086086</v>
      </c>
      <c r="J803" s="2">
        <v>9</v>
      </c>
      <c r="K803" s="2">
        <v>191.30639454594882</v>
      </c>
      <c r="L803" s="2">
        <v>45</v>
      </c>
      <c r="M803" s="2">
        <v>25</v>
      </c>
      <c r="N803" s="2">
        <v>1.1815370613722711</v>
      </c>
      <c r="O803" s="2">
        <v>52.230939210832084</v>
      </c>
      <c r="P803" s="2">
        <v>1456.8322078906931</v>
      </c>
      <c r="Q803" s="2">
        <v>1.1765695519696604</v>
      </c>
      <c r="R803" s="2">
        <v>51.882889858571041</v>
      </c>
      <c r="S803" s="2">
        <v>1463.1642116366595</v>
      </c>
      <c r="T803" s="2">
        <v>-4.9675094026107036E-3</v>
      </c>
      <c r="U803" s="2">
        <v>-0.34804935226104305</v>
      </c>
      <c r="V803" s="2">
        <v>6.3320037459664036</v>
      </c>
    </row>
    <row r="804" spans="1:22" ht="15">
      <c r="A804" s="2">
        <v>803</v>
      </c>
      <c r="B804" s="2" t="s">
        <v>78</v>
      </c>
      <c r="C804" s="2" t="s">
        <v>13</v>
      </c>
      <c r="D804" s="2">
        <v>1479.9835294252262</v>
      </c>
      <c r="E804" s="2">
        <v>1118.8157887780108</v>
      </c>
      <c r="F804" s="2">
        <v>629.54455427825451</v>
      </c>
      <c r="G804" s="2">
        <v>201.02325045270845</v>
      </c>
      <c r="H804" s="2">
        <v>11.077957321889699</v>
      </c>
      <c r="I804" s="2">
        <v>0.80306045316858221</v>
      </c>
      <c r="J804" s="2">
        <v>10</v>
      </c>
      <c r="K804" s="2">
        <v>184.2929163783067</v>
      </c>
      <c r="L804" s="2">
        <v>35</v>
      </c>
      <c r="M804" s="2">
        <v>25</v>
      </c>
      <c r="N804" s="2">
        <v>1.2036747623780066</v>
      </c>
      <c r="O804" s="2">
        <v>52.312730707575426</v>
      </c>
      <c r="P804" s="2">
        <v>1479.9835294252262</v>
      </c>
      <c r="Q804" s="2">
        <v>1.22573094202031</v>
      </c>
      <c r="R804" s="2">
        <v>53.283527806523075</v>
      </c>
      <c r="S804" s="2">
        <v>1478.1518589105458</v>
      </c>
      <c r="T804" s="2">
        <v>2.2056179642303331E-2</v>
      </c>
      <c r="U804" s="2">
        <v>0.97079709894764932</v>
      </c>
      <c r="V804" s="2">
        <v>-1.8316705146803542</v>
      </c>
    </row>
    <row r="805" spans="1:22" ht="15">
      <c r="A805" s="2">
        <v>804</v>
      </c>
      <c r="B805" s="2" t="s">
        <v>78</v>
      </c>
      <c r="C805" s="2" t="s">
        <v>13</v>
      </c>
      <c r="D805" s="2">
        <v>1352.5741230114363</v>
      </c>
      <c r="E805" s="2">
        <v>1152.5684968102723</v>
      </c>
      <c r="F805" s="2">
        <v>707.29064671322703</v>
      </c>
      <c r="G805" s="2">
        <v>147.59220210369676</v>
      </c>
      <c r="H805" s="2">
        <v>27.291681117843837</v>
      </c>
      <c r="I805" s="2">
        <v>0.80497419131919745</v>
      </c>
      <c r="J805" s="2">
        <v>9</v>
      </c>
      <c r="K805" s="2">
        <v>186.6966857926806</v>
      </c>
      <c r="L805" s="2">
        <v>35</v>
      </c>
      <c r="M805" s="2">
        <v>25</v>
      </c>
      <c r="N805" s="2">
        <v>1.2235867353329721</v>
      </c>
      <c r="O805" s="2">
        <v>52.288011851066919</v>
      </c>
      <c r="P805" s="2">
        <v>1352.5741230114363</v>
      </c>
      <c r="Q805" s="2">
        <v>1.2261486482039867</v>
      </c>
      <c r="R805" s="2">
        <v>52.291083540247868</v>
      </c>
      <c r="S805" s="2">
        <v>1326.4353315905228</v>
      </c>
      <c r="T805" s="2">
        <v>2.5619128710145933E-3</v>
      </c>
      <c r="U805" s="2">
        <v>3.0716891809490221E-3</v>
      </c>
      <c r="V805" s="2">
        <v>-26.138791420913549</v>
      </c>
    </row>
    <row r="806" spans="1:22" ht="15">
      <c r="A806" s="2">
        <v>805</v>
      </c>
      <c r="B806" s="2" t="s">
        <v>78</v>
      </c>
      <c r="C806" s="2" t="s">
        <v>13</v>
      </c>
      <c r="D806" s="2">
        <v>1397.895989427343</v>
      </c>
      <c r="E806" s="2">
        <v>631.25089089153334</v>
      </c>
      <c r="F806" s="2">
        <v>653.14179193228483</v>
      </c>
      <c r="G806" s="2">
        <v>321.0270472173579</v>
      </c>
      <c r="H806" s="2">
        <v>17.221208997070789</v>
      </c>
      <c r="I806" s="2">
        <v>0.79031609663972635</v>
      </c>
      <c r="J806" s="2">
        <v>9</v>
      </c>
      <c r="K806" s="2">
        <v>196.53120727698291</v>
      </c>
      <c r="L806" s="2">
        <v>45</v>
      </c>
      <c r="M806" s="2">
        <v>25</v>
      </c>
      <c r="N806" s="2">
        <v>1.1712305398751237</v>
      </c>
      <c r="O806" s="2">
        <v>52.225325071406665</v>
      </c>
      <c r="P806" s="2">
        <v>1397.895989427343</v>
      </c>
      <c r="Q806" s="2">
        <v>1.1773654755035787</v>
      </c>
      <c r="R806" s="2">
        <v>50.569461851262453</v>
      </c>
      <c r="S806" s="2">
        <v>1403.0170296430426</v>
      </c>
      <c r="T806" s="2">
        <v>6.1349356284550183E-3</v>
      </c>
      <c r="U806" s="2">
        <v>-1.6558632201442123</v>
      </c>
      <c r="V806" s="2">
        <v>5.1210402156996224</v>
      </c>
    </row>
    <row r="807" spans="1:22" ht="15">
      <c r="A807" s="2">
        <v>806</v>
      </c>
      <c r="B807" s="2" t="s">
        <v>78</v>
      </c>
      <c r="C807" s="2" t="s">
        <v>13</v>
      </c>
      <c r="D807" s="2">
        <v>1458.267339610029</v>
      </c>
      <c r="E807" s="2">
        <v>1158.4565110271797</v>
      </c>
      <c r="F807" s="2">
        <v>736.13027604296803</v>
      </c>
      <c r="G807" s="2">
        <v>325.09850656613708</v>
      </c>
      <c r="H807" s="2">
        <v>21.257991342339665</v>
      </c>
      <c r="I807" s="2">
        <v>0.85119464696850633</v>
      </c>
      <c r="J807" s="2">
        <v>9</v>
      </c>
      <c r="K807" s="2">
        <v>190.35564306962721</v>
      </c>
      <c r="L807" s="2">
        <v>30</v>
      </c>
      <c r="M807" s="2">
        <v>25</v>
      </c>
      <c r="N807" s="2">
        <v>1.153562253665555</v>
      </c>
      <c r="O807" s="2">
        <v>52.321104429410241</v>
      </c>
      <c r="P807" s="2">
        <v>1458.267339610029</v>
      </c>
      <c r="Q807" s="2">
        <v>1.1608629690334029</v>
      </c>
      <c r="R807" s="2">
        <v>53.979681117233852</v>
      </c>
      <c r="S807" s="2">
        <v>1441.61344252654</v>
      </c>
      <c r="T807" s="2">
        <v>7.300715367847932E-3</v>
      </c>
      <c r="U807" s="2">
        <v>1.6585766878236115</v>
      </c>
      <c r="V807" s="2">
        <v>-16.653897083489028</v>
      </c>
    </row>
    <row r="808" spans="1:22" ht="15">
      <c r="A808" s="2">
        <v>807</v>
      </c>
      <c r="B808" s="2" t="s">
        <v>78</v>
      </c>
      <c r="C808" s="2" t="s">
        <v>13</v>
      </c>
      <c r="D808" s="2">
        <v>1451.0530482279137</v>
      </c>
      <c r="E808" s="2">
        <v>645.55097707780078</v>
      </c>
      <c r="F808" s="2">
        <v>561.4243745803833</v>
      </c>
      <c r="G808" s="2">
        <v>112.20350103219971</v>
      </c>
      <c r="H808" s="2">
        <v>16.058390158228576</v>
      </c>
      <c r="I808" s="2">
        <v>0.85068242989247667</v>
      </c>
      <c r="J808" s="2">
        <v>9</v>
      </c>
      <c r="K808" s="2">
        <v>189.52797284192982</v>
      </c>
      <c r="L808" s="2">
        <v>55</v>
      </c>
      <c r="M808" s="2">
        <v>25</v>
      </c>
      <c r="N808" s="2">
        <v>1.156238673509645</v>
      </c>
      <c r="O808" s="2">
        <v>52.180692962605747</v>
      </c>
      <c r="P808" s="2">
        <v>1451.0530482279137</v>
      </c>
      <c r="Q808" s="2">
        <v>1.1496236594159728</v>
      </c>
      <c r="R808" s="2">
        <v>52.039243543562435</v>
      </c>
      <c r="S808" s="2">
        <v>1458.7049413586012</v>
      </c>
      <c r="T808" s="2">
        <v>-6.6150140936722668E-3</v>
      </c>
      <c r="U808" s="2">
        <v>-0.14144941904331176</v>
      </c>
      <c r="V808" s="2">
        <v>7.6518931306875402</v>
      </c>
    </row>
    <row r="809" spans="1:22" ht="15">
      <c r="A809" s="2">
        <v>808</v>
      </c>
      <c r="B809" s="2" t="s">
        <v>78</v>
      </c>
      <c r="C809" s="2" t="s">
        <v>13</v>
      </c>
      <c r="D809" s="2">
        <v>1448.6850247601978</v>
      </c>
      <c r="E809" s="2">
        <v>930.4130450822413</v>
      </c>
      <c r="F809" s="2">
        <v>551.42135387286544</v>
      </c>
      <c r="G809" s="2">
        <v>188.42651280108839</v>
      </c>
      <c r="H809" s="2">
        <v>25.620875788386911</v>
      </c>
      <c r="I809" s="2">
        <v>0.83920732767321171</v>
      </c>
      <c r="J809" s="2">
        <v>9</v>
      </c>
      <c r="K809" s="2">
        <v>191.80600245403608</v>
      </c>
      <c r="L809" s="2">
        <v>45</v>
      </c>
      <c r="M809" s="2">
        <v>25</v>
      </c>
      <c r="N809" s="2">
        <v>1.2548093079223293</v>
      </c>
      <c r="O809" s="2">
        <v>52.235435432665582</v>
      </c>
      <c r="P809" s="2">
        <v>1448.6850247601978</v>
      </c>
      <c r="Q809" s="2">
        <v>1.2578372139509391</v>
      </c>
      <c r="R809" s="2">
        <v>52.63449307858226</v>
      </c>
      <c r="S809" s="2">
        <v>1435.3599542359043</v>
      </c>
      <c r="T809" s="2">
        <v>3.0279060286098058E-3</v>
      </c>
      <c r="U809" s="2">
        <v>0.39905764591667747</v>
      </c>
      <c r="V809" s="2">
        <v>-13.325070524293551</v>
      </c>
    </row>
    <row r="810" spans="1:22" ht="15">
      <c r="A810" s="2">
        <v>809</v>
      </c>
      <c r="B810" s="2" t="s">
        <v>78</v>
      </c>
      <c r="C810" s="2" t="s">
        <v>13</v>
      </c>
      <c r="D810" s="2">
        <v>1382.8759549185634</v>
      </c>
      <c r="E810" s="2">
        <v>748.5077429912053</v>
      </c>
      <c r="F810" s="2">
        <v>352.67484206706285</v>
      </c>
      <c r="G810" s="2">
        <v>102.44929183507338</v>
      </c>
      <c r="H810" s="2">
        <v>27.052771648392081</v>
      </c>
      <c r="I810" s="2">
        <v>0.80884124846430494</v>
      </c>
      <c r="J810" s="2">
        <v>9</v>
      </c>
      <c r="K810" s="2">
        <v>189.9666766149368</v>
      </c>
      <c r="L810" s="2">
        <v>60</v>
      </c>
      <c r="M810" s="2">
        <v>25</v>
      </c>
      <c r="N810" s="2">
        <v>1.1854100959195704</v>
      </c>
      <c r="O810" s="2">
        <v>52.162676300404584</v>
      </c>
      <c r="P810" s="2">
        <v>1382.8759549185634</v>
      </c>
      <c r="Q810" s="2">
        <v>1.1812447800815387</v>
      </c>
      <c r="R810" s="2">
        <v>52.397524933570146</v>
      </c>
      <c r="S810" s="2">
        <v>1378.8823790635897</v>
      </c>
      <c r="T810" s="2">
        <v>-4.1653158380317024E-3</v>
      </c>
      <c r="U810" s="2">
        <v>0.23484863316556215</v>
      </c>
      <c r="V810" s="2">
        <v>-3.993575854973642</v>
      </c>
    </row>
    <row r="811" spans="1:22" ht="15">
      <c r="A811" s="2">
        <v>810</v>
      </c>
      <c r="B811" s="2" t="s">
        <v>78</v>
      </c>
      <c r="C811" s="2" t="s">
        <v>13</v>
      </c>
      <c r="D811" s="2">
        <v>1497.3018583492376</v>
      </c>
      <c r="E811" s="2">
        <v>865.10882938746363</v>
      </c>
      <c r="F811" s="2">
        <v>736.26483092084527</v>
      </c>
      <c r="G811" s="2">
        <v>306.32231819443405</v>
      </c>
      <c r="H811" s="2">
        <v>26.982443351764232</v>
      </c>
      <c r="I811" s="2">
        <v>0.80499778878409423</v>
      </c>
      <c r="J811" s="2">
        <v>10</v>
      </c>
      <c r="K811" s="2">
        <v>186.00074176735706</v>
      </c>
      <c r="L811" s="2">
        <v>35</v>
      </c>
      <c r="M811" s="2">
        <v>25</v>
      </c>
      <c r="N811" s="2">
        <v>1.2657900256325183</v>
      </c>
      <c r="O811" s="2">
        <v>52.3055083282756</v>
      </c>
      <c r="P811" s="2">
        <v>1497.3018583492376</v>
      </c>
      <c r="Q811" s="2">
        <v>1.2694750476269772</v>
      </c>
      <c r="R811" s="2">
        <v>52.735077246427466</v>
      </c>
      <c r="S811" s="2">
        <v>1472.8131559573383</v>
      </c>
      <c r="T811" s="2">
        <v>3.6850219944588591E-3</v>
      </c>
      <c r="U811" s="2">
        <v>0.42956891815186538</v>
      </c>
      <c r="V811" s="2">
        <v>-24.488702391899324</v>
      </c>
    </row>
    <row r="812" spans="1:22" ht="15">
      <c r="A812" s="2">
        <v>811</v>
      </c>
      <c r="B812" s="2" t="s">
        <v>78</v>
      </c>
      <c r="C812" s="2" t="s">
        <v>13</v>
      </c>
      <c r="D812" s="2">
        <v>1486.3328560022637</v>
      </c>
      <c r="E812" s="2">
        <v>741.03857713053003</v>
      </c>
      <c r="F812" s="2">
        <v>713.71838636696339</v>
      </c>
      <c r="G812" s="2">
        <v>105.93416179297492</v>
      </c>
      <c r="H812" s="2">
        <v>18.531439141370356</v>
      </c>
      <c r="I812" s="2">
        <v>0.81205090648261835</v>
      </c>
      <c r="J812" s="2">
        <v>10</v>
      </c>
      <c r="K812" s="2">
        <v>183.03444330113288</v>
      </c>
      <c r="L812" s="2">
        <v>45</v>
      </c>
      <c r="M812" s="2">
        <v>25</v>
      </c>
      <c r="N812" s="2">
        <v>1.2558859476998767</v>
      </c>
      <c r="O812" s="2">
        <v>52.24538973745657</v>
      </c>
      <c r="P812" s="2">
        <v>1486.3328560022637</v>
      </c>
      <c r="Q812" s="2">
        <v>1.2468505121033799</v>
      </c>
      <c r="R812" s="2">
        <v>51.120638936477057</v>
      </c>
      <c r="S812" s="2">
        <v>1482.8061320719526</v>
      </c>
      <c r="T812" s="2">
        <v>-9.035435596496777E-3</v>
      </c>
      <c r="U812" s="2">
        <v>-1.1247508009795126</v>
      </c>
      <c r="V812" s="2">
        <v>-3.5267239303111637</v>
      </c>
    </row>
    <row r="813" spans="1:22" ht="15">
      <c r="A813" s="2">
        <v>812</v>
      </c>
      <c r="B813" s="2" t="s">
        <v>78</v>
      </c>
      <c r="C813" s="2" t="s">
        <v>13</v>
      </c>
      <c r="D813" s="2">
        <v>1498.0857773101889</v>
      </c>
      <c r="E813" s="2">
        <v>876.8455648329109</v>
      </c>
      <c r="F813" s="2">
        <v>545.22934360429645</v>
      </c>
      <c r="G813" s="2">
        <v>215.99383167456836</v>
      </c>
      <c r="H813" s="2">
        <v>24.868289161007851</v>
      </c>
      <c r="I813" s="2">
        <v>0.84793843362480403</v>
      </c>
      <c r="J813" s="2">
        <v>9</v>
      </c>
      <c r="K813" s="2">
        <v>196.304317219262</v>
      </c>
      <c r="L813" s="2">
        <v>45</v>
      </c>
      <c r="M813" s="2">
        <v>25</v>
      </c>
      <c r="N813" s="2">
        <v>1.22942304475735</v>
      </c>
      <c r="O813" s="2">
        <v>52.230415868301925</v>
      </c>
      <c r="P813" s="2">
        <v>1498.0857773101889</v>
      </c>
      <c r="Q813" s="2">
        <v>1.2156113844578771</v>
      </c>
      <c r="R813" s="2">
        <v>51.218896410668748</v>
      </c>
      <c r="S813" s="2">
        <v>1482.1505490315669</v>
      </c>
      <c r="T813" s="2">
        <v>-1.3811660299472894E-2</v>
      </c>
      <c r="U813" s="2">
        <v>-1.0115194576331774</v>
      </c>
      <c r="V813" s="2">
        <v>-15.935228278621935</v>
      </c>
    </row>
    <row r="814" spans="1:22" ht="15">
      <c r="A814" s="2">
        <v>813</v>
      </c>
      <c r="B814" s="2" t="s">
        <v>78</v>
      </c>
      <c r="C814" s="2" t="s">
        <v>13</v>
      </c>
      <c r="D814" s="2">
        <v>1373.9349616225809</v>
      </c>
      <c r="E814" s="2">
        <v>935.42176362825558</v>
      </c>
      <c r="F814" s="2">
        <v>697.41384889930487</v>
      </c>
      <c r="G814" s="2">
        <v>287.04144035698846</v>
      </c>
      <c r="H814" s="2">
        <v>26.702394429594278</v>
      </c>
      <c r="I814" s="2">
        <v>0.83544086851412436</v>
      </c>
      <c r="J814" s="2">
        <v>9</v>
      </c>
      <c r="K814" s="2">
        <v>182.72919835942383</v>
      </c>
      <c r="L814" s="2">
        <v>35</v>
      </c>
      <c r="M814" s="2">
        <v>25</v>
      </c>
      <c r="N814" s="2">
        <v>1.173642306653659</v>
      </c>
      <c r="O814" s="2">
        <v>52.274356829471024</v>
      </c>
      <c r="P814" s="2">
        <v>1373.9349616225809</v>
      </c>
      <c r="Q814" s="2">
        <v>1.1731112383910745</v>
      </c>
      <c r="R814" s="2">
        <v>51.63451402734151</v>
      </c>
      <c r="S814" s="2">
        <v>1363.1071640732196</v>
      </c>
      <c r="T814" s="2">
        <v>-5.310682625845331E-4</v>
      </c>
      <c r="U814" s="2">
        <v>-0.63984280212951461</v>
      </c>
      <c r="V814" s="2">
        <v>-10.827797549361321</v>
      </c>
    </row>
    <row r="815" spans="1:22" ht="15">
      <c r="A815" s="2">
        <v>814</v>
      </c>
      <c r="B815" s="2" t="s">
        <v>78</v>
      </c>
      <c r="C815" s="2" t="s">
        <v>13</v>
      </c>
      <c r="D815" s="2">
        <v>1472.8083660942502</v>
      </c>
      <c r="E815" s="2">
        <v>734.26065377425402</v>
      </c>
      <c r="F815" s="2">
        <v>730.4109369404614</v>
      </c>
      <c r="G815" s="2">
        <v>85.77375665307045</v>
      </c>
      <c r="H815" s="2">
        <v>18.675275186542422</v>
      </c>
      <c r="I815" s="2">
        <v>0.85880164749454713</v>
      </c>
      <c r="J815" s="2">
        <v>9</v>
      </c>
      <c r="K815" s="2">
        <v>190.5508384711282</v>
      </c>
      <c r="L815" s="2">
        <v>50</v>
      </c>
      <c r="M815" s="2">
        <v>25</v>
      </c>
      <c r="N815" s="2">
        <v>1.2487908272035488</v>
      </c>
      <c r="O815" s="2">
        <v>52.216753190788317</v>
      </c>
      <c r="P815" s="2">
        <v>1472.8083660942502</v>
      </c>
      <c r="Q815" s="2">
        <v>1.2526288807361157</v>
      </c>
      <c r="R815" s="2">
        <v>51.217845179276345</v>
      </c>
      <c r="S815" s="2">
        <v>1473.8206872405754</v>
      </c>
      <c r="T815" s="2">
        <v>3.8380535325668319E-3</v>
      </c>
      <c r="U815" s="2">
        <v>-0.99890801151197195</v>
      </c>
      <c r="V815" s="2">
        <v>1.0123211463251209</v>
      </c>
    </row>
    <row r="816" spans="1:22" ht="15">
      <c r="A816" s="2">
        <v>815</v>
      </c>
      <c r="B816" s="2" t="s">
        <v>79</v>
      </c>
      <c r="C816" s="2" t="s">
        <v>13</v>
      </c>
      <c r="D816" s="2">
        <v>1360.6225738534704</v>
      </c>
      <c r="E816" s="2">
        <v>708.99912278400734</v>
      </c>
      <c r="F816" s="2">
        <v>361.25921979546547</v>
      </c>
      <c r="G816" s="2">
        <v>172.03577268635854</v>
      </c>
      <c r="H816" s="2">
        <v>21.512202366255224</v>
      </c>
      <c r="I816" s="2">
        <v>0.82766377484193077</v>
      </c>
      <c r="J816" s="2">
        <v>9</v>
      </c>
      <c r="K816" s="2">
        <v>182.65905864080099</v>
      </c>
      <c r="L816" s="2">
        <v>60</v>
      </c>
      <c r="M816" s="2">
        <v>25</v>
      </c>
      <c r="N816" s="2">
        <v>1.2005847446992357</v>
      </c>
      <c r="O816" s="2">
        <v>52.168704709922821</v>
      </c>
      <c r="P816" s="2">
        <v>1360.6225738534704</v>
      </c>
      <c r="Q816" s="2">
        <v>1.1882296025412291</v>
      </c>
      <c r="R816" s="2">
        <v>51.936846827591083</v>
      </c>
      <c r="S816" s="2">
        <v>1360.9626459073872</v>
      </c>
      <c r="T816" s="2">
        <v>-1.2355142158006593E-2</v>
      </c>
      <c r="U816" s="2">
        <v>-0.2318578823317381</v>
      </c>
      <c r="V816" s="2">
        <v>0.34007205391685602</v>
      </c>
    </row>
    <row r="817" spans="1:22" ht="15">
      <c r="A817" s="2">
        <v>816</v>
      </c>
      <c r="B817" s="2" t="s">
        <v>79</v>
      </c>
      <c r="C817" s="2" t="s">
        <v>13</v>
      </c>
      <c r="D817" s="2">
        <v>1450.6841961177997</v>
      </c>
      <c r="E817" s="2">
        <v>1236.7970982566476</v>
      </c>
      <c r="F817" s="2">
        <v>407.4891253374517</v>
      </c>
      <c r="G817" s="2">
        <v>192.98719432670623</v>
      </c>
      <c r="H817" s="2">
        <v>14.041521543171257</v>
      </c>
      <c r="I817" s="2">
        <v>0.79903681716881692</v>
      </c>
      <c r="J817" s="2">
        <v>10</v>
      </c>
      <c r="K817" s="2">
        <v>181.55411176895814</v>
      </c>
      <c r="L817" s="2">
        <v>35</v>
      </c>
      <c r="M817" s="2">
        <v>25</v>
      </c>
      <c r="N817" s="2">
        <v>1.1546006734116576</v>
      </c>
      <c r="O817" s="2">
        <v>52.293307619654776</v>
      </c>
      <c r="P817" s="2">
        <v>1450.6841961177997</v>
      </c>
      <c r="Q817" s="2">
        <v>1.153939269499616</v>
      </c>
      <c r="R817" s="2">
        <v>53.52712790572982</v>
      </c>
      <c r="S817" s="2">
        <v>1458.7812700722739</v>
      </c>
      <c r="T817" s="2">
        <v>-6.6140391204161375E-4</v>
      </c>
      <c r="U817" s="2">
        <v>1.2338202860750442</v>
      </c>
      <c r="V817" s="2">
        <v>8.0970739544741264</v>
      </c>
    </row>
    <row r="818" spans="1:22" ht="15">
      <c r="A818" s="2">
        <v>817</v>
      </c>
      <c r="B818" s="2" t="s">
        <v>79</v>
      </c>
      <c r="C818" s="2" t="s">
        <v>13</v>
      </c>
      <c r="D818" s="2">
        <v>1391.785850096494</v>
      </c>
      <c r="E818" s="2">
        <v>1152.6822709827684</v>
      </c>
      <c r="F818" s="2">
        <v>448.8010922446847</v>
      </c>
      <c r="G818" s="2">
        <v>194.05985808232799</v>
      </c>
      <c r="H818" s="2">
        <v>11.897650258615613</v>
      </c>
      <c r="I818" s="2">
        <v>0.81383251040475446</v>
      </c>
      <c r="J818" s="2">
        <v>9</v>
      </c>
      <c r="K818" s="2">
        <v>190.01805685549857</v>
      </c>
      <c r="L818" s="2">
        <v>40</v>
      </c>
      <c r="M818" s="2">
        <v>25</v>
      </c>
      <c r="N818" s="2">
        <v>1.1463964119612979</v>
      </c>
      <c r="O818" s="2">
        <v>52.254970076782719</v>
      </c>
      <c r="P818" s="2">
        <v>1391.785850096494</v>
      </c>
      <c r="Q818" s="2">
        <v>1.1642619232043796</v>
      </c>
      <c r="R818" s="2">
        <v>52.979775289304229</v>
      </c>
      <c r="S818" s="2">
        <v>1398.616959668145</v>
      </c>
      <c r="T818" s="2">
        <v>1.7865511243081666E-2</v>
      </c>
      <c r="U818" s="2">
        <v>0.72480521252150965</v>
      </c>
      <c r="V818" s="2">
        <v>6.8311095716510408</v>
      </c>
    </row>
    <row r="819" spans="1:22" ht="15">
      <c r="A819" s="2">
        <v>818</v>
      </c>
      <c r="B819" s="2" t="s">
        <v>80</v>
      </c>
      <c r="C819" s="2" t="s">
        <v>13</v>
      </c>
      <c r="D819" s="2">
        <v>1481.5146512934007</v>
      </c>
      <c r="E819" s="2">
        <v>861.53548930305988</v>
      </c>
      <c r="F819" s="2">
        <v>481.55468190088868</v>
      </c>
      <c r="G819" s="2">
        <v>174.57391616888344</v>
      </c>
      <c r="H819" s="2">
        <v>26.200864345300943</v>
      </c>
      <c r="I819" s="2">
        <v>0.84382954644504937</v>
      </c>
      <c r="J819" s="2">
        <v>9</v>
      </c>
      <c r="K819" s="2">
        <v>195.07818815552668</v>
      </c>
      <c r="L819" s="2">
        <v>45</v>
      </c>
      <c r="M819" s="2">
        <v>25</v>
      </c>
      <c r="N819" s="2">
        <v>1.1536421912389907</v>
      </c>
      <c r="O819" s="2">
        <v>52.211641772823612</v>
      </c>
      <c r="P819" s="2">
        <v>1481.5146512934007</v>
      </c>
      <c r="Q819" s="2">
        <v>1.137789843827173</v>
      </c>
      <c r="R819" s="2">
        <v>51.581852856003067</v>
      </c>
      <c r="S819" s="2">
        <v>1468.5928810791409</v>
      </c>
      <c r="T819" s="2">
        <v>-1.5852347411817735E-2</v>
      </c>
      <c r="U819" s="2">
        <v>-0.62978891682054439</v>
      </c>
      <c r="V819" s="2">
        <v>-12.921770214259823</v>
      </c>
    </row>
    <row r="820" spans="1:22" ht="15">
      <c r="A820" s="2">
        <v>819</v>
      </c>
      <c r="B820" s="2" t="s">
        <v>80</v>
      </c>
      <c r="C820" s="2" t="s">
        <v>13</v>
      </c>
      <c r="D820" s="2">
        <v>1476.3507215073332</v>
      </c>
      <c r="E820" s="2">
        <v>687.21782226348296</v>
      </c>
      <c r="F820" s="2">
        <v>472.4906500428915</v>
      </c>
      <c r="G820" s="2">
        <v>107.30614569736645</v>
      </c>
      <c r="H820" s="2">
        <v>14.264183384366333</v>
      </c>
      <c r="I820" s="2">
        <v>0.84422250200761484</v>
      </c>
      <c r="J820" s="2">
        <v>9</v>
      </c>
      <c r="K820" s="2">
        <v>194.30774312017894</v>
      </c>
      <c r="L820" s="2">
        <v>60</v>
      </c>
      <c r="M820" s="2">
        <v>25</v>
      </c>
      <c r="N820" s="2">
        <v>1.1964654320543209</v>
      </c>
      <c r="O820" s="2">
        <v>52.172559254312233</v>
      </c>
      <c r="P820" s="2">
        <v>1476.3507215073332</v>
      </c>
      <c r="Q820" s="2">
        <v>1.1861039106887383</v>
      </c>
      <c r="R820" s="2">
        <v>51.797877212023657</v>
      </c>
      <c r="S820" s="2">
        <v>1497.8649970809652</v>
      </c>
      <c r="T820" s="2">
        <v>-1.0361521365582549E-2</v>
      </c>
      <c r="U820" s="2">
        <v>-0.37468204228857616</v>
      </c>
      <c r="V820" s="2">
        <v>21.514275573631949</v>
      </c>
    </row>
    <row r="821" spans="1:22" ht="15">
      <c r="A821" s="2">
        <v>820</v>
      </c>
      <c r="B821" s="2" t="s">
        <v>80</v>
      </c>
      <c r="C821" s="2" t="s">
        <v>13</v>
      </c>
      <c r="D821" s="2">
        <v>1495.6113861291669</v>
      </c>
      <c r="E821" s="2">
        <v>937.59633922018111</v>
      </c>
      <c r="F821" s="2">
        <v>565.37517188116908</v>
      </c>
      <c r="G821" s="2">
        <v>237.75168256368488</v>
      </c>
      <c r="H821" s="2">
        <v>23.702395349275321</v>
      </c>
      <c r="I821" s="2">
        <v>0.79258442515507344</v>
      </c>
      <c r="J821" s="2">
        <v>10</v>
      </c>
      <c r="K821" s="2">
        <v>188.70057733427481</v>
      </c>
      <c r="L821" s="2">
        <v>35</v>
      </c>
      <c r="M821" s="2">
        <v>25</v>
      </c>
      <c r="N821" s="2">
        <v>1.1501653054413059</v>
      </c>
      <c r="O821" s="2">
        <v>52.276580293302466</v>
      </c>
      <c r="P821" s="2">
        <v>1495.6113861291669</v>
      </c>
      <c r="Q821" s="2">
        <v>1.1393258634173802</v>
      </c>
      <c r="R821" s="2">
        <v>53.002561519316487</v>
      </c>
      <c r="S821" s="2">
        <v>1479.7898383506913</v>
      </c>
      <c r="T821" s="2">
        <v>-1.0839442023925727E-2</v>
      </c>
      <c r="U821" s="2">
        <v>0.72598122601402082</v>
      </c>
      <c r="V821" s="2">
        <v>-15.821547778475633</v>
      </c>
    </row>
    <row r="822" spans="1:22" ht="15">
      <c r="A822" s="2">
        <v>821</v>
      </c>
      <c r="B822" s="2" t="s">
        <v>78</v>
      </c>
      <c r="C822" s="2" t="s">
        <v>13</v>
      </c>
      <c r="D822" s="2">
        <v>1360.5928082484752</v>
      </c>
      <c r="E822" s="2">
        <v>1161.4266194286756</v>
      </c>
      <c r="F822" s="2">
        <v>686.70689146965742</v>
      </c>
      <c r="G822" s="2">
        <v>288.09420041041449</v>
      </c>
      <c r="H822" s="2">
        <v>13.100052177906036</v>
      </c>
      <c r="I822" s="2">
        <v>0.81400657778838648</v>
      </c>
      <c r="J822" s="2">
        <v>9</v>
      </c>
      <c r="K822" s="2">
        <v>185.71960328012949</v>
      </c>
      <c r="L822" s="2">
        <v>35</v>
      </c>
      <c r="M822" s="2">
        <v>25</v>
      </c>
      <c r="N822" s="2">
        <v>1.207459580790758</v>
      </c>
      <c r="O822" s="2">
        <v>52.30809130588581</v>
      </c>
      <c r="P822" s="2">
        <v>1360.5928082484752</v>
      </c>
      <c r="Q822" s="2">
        <v>1.2348354358176885</v>
      </c>
      <c r="R822" s="2">
        <v>53.02963750229133</v>
      </c>
      <c r="S822" s="2">
        <v>1352.0080042979444</v>
      </c>
      <c r="T822" s="2">
        <v>2.7375855026930518E-2</v>
      </c>
      <c r="U822" s="2">
        <v>0.72154619640551942</v>
      </c>
      <c r="V822" s="2">
        <v>-8.5848039505308407</v>
      </c>
    </row>
    <row r="823" spans="1:22" ht="15">
      <c r="A823" s="2">
        <v>822</v>
      </c>
      <c r="B823" s="2" t="s">
        <v>78</v>
      </c>
      <c r="C823" s="2" t="s">
        <v>13</v>
      </c>
      <c r="D823" s="2">
        <v>1487.9835472558625</v>
      </c>
      <c r="E823" s="2">
        <v>1030.7604620000347</v>
      </c>
      <c r="F823" s="2">
        <v>726.27987088635564</v>
      </c>
      <c r="G823" s="2">
        <v>171.57143766060472</v>
      </c>
      <c r="H823" s="2">
        <v>8.5534329921938479</v>
      </c>
      <c r="I823" s="2">
        <v>0.79714263094123461</v>
      </c>
      <c r="J823" s="2">
        <v>10</v>
      </c>
      <c r="K823" s="2">
        <v>186.66465567133326</v>
      </c>
      <c r="L823" s="2">
        <v>35</v>
      </c>
      <c r="M823" s="2">
        <v>25</v>
      </c>
      <c r="N823" s="2">
        <v>1.1771838062753754</v>
      </c>
      <c r="O823" s="2">
        <v>52.30913198924727</v>
      </c>
      <c r="P823" s="2">
        <v>1487.9835472558625</v>
      </c>
      <c r="Q823" s="2">
        <v>1.1871759584263695</v>
      </c>
      <c r="R823" s="2">
        <v>51.82486000778551</v>
      </c>
      <c r="S823" s="2">
        <v>1483.9031790585786</v>
      </c>
      <c r="T823" s="2">
        <v>9.992152150994027E-3</v>
      </c>
      <c r="U823" s="2">
        <v>-0.48427198146175954</v>
      </c>
      <c r="V823" s="2">
        <v>-4.0803681972838604</v>
      </c>
    </row>
    <row r="824" spans="1:22" ht="15">
      <c r="A824" s="2">
        <v>823</v>
      </c>
      <c r="B824" s="2" t="s">
        <v>78</v>
      </c>
      <c r="C824" s="2" t="s">
        <v>13</v>
      </c>
      <c r="D824" s="2">
        <v>1398.9964702399448</v>
      </c>
      <c r="E824" s="2">
        <v>1185.157473210711</v>
      </c>
      <c r="F824" s="2">
        <v>747.87091761827469</v>
      </c>
      <c r="G824" s="2">
        <v>194.73484238376841</v>
      </c>
      <c r="H824" s="2">
        <v>14.383153508417308</v>
      </c>
      <c r="I824" s="2">
        <v>0.79568620729958639</v>
      </c>
      <c r="J824" s="2">
        <v>9</v>
      </c>
      <c r="K824" s="2">
        <v>195.3584853210306</v>
      </c>
      <c r="L824" s="2">
        <v>35</v>
      </c>
      <c r="M824" s="2">
        <v>25</v>
      </c>
      <c r="N824" s="2">
        <v>1.2108810406896917</v>
      </c>
      <c r="O824" s="2">
        <v>52.306771482138693</v>
      </c>
      <c r="P824" s="2">
        <v>1398.9964702399448</v>
      </c>
      <c r="Q824" s="2">
        <v>1.2177533706646892</v>
      </c>
      <c r="R824" s="2">
        <v>53.178462186433109</v>
      </c>
      <c r="S824" s="2">
        <v>1386.378831664925</v>
      </c>
      <c r="T824" s="2">
        <v>6.8723299749975375E-3</v>
      </c>
      <c r="U824" s="2">
        <v>0.87169070429441575</v>
      </c>
      <c r="V824" s="2">
        <v>-12.617638575019782</v>
      </c>
    </row>
    <row r="825" spans="1:22" ht="15">
      <c r="A825" s="2">
        <v>824</v>
      </c>
      <c r="B825" s="2" t="s">
        <v>78</v>
      </c>
      <c r="C825" s="2" t="s">
        <v>13</v>
      </c>
      <c r="D825" s="2">
        <v>1389.9662486161105</v>
      </c>
      <c r="E825" s="2">
        <v>623.34768502041698</v>
      </c>
      <c r="F825" s="2">
        <v>416.98633348569274</v>
      </c>
      <c r="G825" s="2">
        <v>155.73278865311295</v>
      </c>
      <c r="H825" s="2">
        <v>23.75638381158933</v>
      </c>
      <c r="I825" s="2">
        <v>0.84713743996806445</v>
      </c>
      <c r="J825" s="2">
        <v>9</v>
      </c>
      <c r="K825" s="2">
        <v>182.30889936407613</v>
      </c>
      <c r="L825" s="2">
        <v>60</v>
      </c>
      <c r="M825" s="2">
        <v>25</v>
      </c>
      <c r="N825" s="2">
        <v>1.1668406766929307</v>
      </c>
      <c r="O825" s="2">
        <v>52.161496716906292</v>
      </c>
      <c r="P825" s="2">
        <v>1389.9662486161105</v>
      </c>
      <c r="Q825" s="2">
        <v>1.1490890800116125</v>
      </c>
      <c r="R825" s="2">
        <v>52.315738911665584</v>
      </c>
      <c r="S825" s="2">
        <v>1396.1599279853442</v>
      </c>
      <c r="T825" s="2">
        <v>-1.7751596681318205E-2</v>
      </c>
      <c r="U825" s="2">
        <v>0.15424219475929135</v>
      </c>
      <c r="V825" s="2">
        <v>6.1936793692336778</v>
      </c>
    </row>
    <row r="826" spans="1:22" ht="15">
      <c r="A826" s="2">
        <v>825</v>
      </c>
      <c r="B826" s="2" t="s">
        <v>78</v>
      </c>
      <c r="C826" s="2" t="s">
        <v>13</v>
      </c>
      <c r="D826" s="2">
        <v>1415.9273039549589</v>
      </c>
      <c r="E826" s="2">
        <v>951.11190363531932</v>
      </c>
      <c r="F826" s="2">
        <v>469.90323830395937</v>
      </c>
      <c r="G826" s="2">
        <v>100.10317944223061</v>
      </c>
      <c r="H826" s="2">
        <v>12.732470346614718</v>
      </c>
      <c r="I826" s="2">
        <v>0.79126379993977025</v>
      </c>
      <c r="J826" s="2">
        <v>9</v>
      </c>
      <c r="K826" s="2">
        <v>198.82781950465923</v>
      </c>
      <c r="L826" s="2">
        <v>50</v>
      </c>
      <c r="M826" s="2">
        <v>25</v>
      </c>
      <c r="N826" s="2">
        <v>1.2007331085410746</v>
      </c>
      <c r="O826" s="2">
        <v>52.212180374261415</v>
      </c>
      <c r="P826" s="2">
        <v>1415.9273039549589</v>
      </c>
      <c r="Q826" s="2">
        <v>1.1924384958780871</v>
      </c>
      <c r="R826" s="2">
        <v>52.801554369689924</v>
      </c>
      <c r="S826" s="2">
        <v>1420.527203095915</v>
      </c>
      <c r="T826" s="2">
        <v>-8.2946126629874772E-3</v>
      </c>
      <c r="U826" s="2">
        <v>0.58937399542850955</v>
      </c>
      <c r="V826" s="2">
        <v>4.5998991409560404</v>
      </c>
    </row>
    <row r="827" spans="1:22" ht="15">
      <c r="A827" s="2">
        <v>826</v>
      </c>
      <c r="B827" s="2" t="s">
        <v>78</v>
      </c>
      <c r="C827" s="2" t="s">
        <v>13</v>
      </c>
      <c r="D827" s="2">
        <v>1433.0205249250866</v>
      </c>
      <c r="E827" s="2">
        <v>706.86487837228924</v>
      </c>
      <c r="F827" s="2">
        <v>605.45650282874703</v>
      </c>
      <c r="G827" s="2">
        <v>223.62388080917299</v>
      </c>
      <c r="H827" s="2">
        <v>16.731437605340034</v>
      </c>
      <c r="I827" s="2">
        <v>0.84527939461637291</v>
      </c>
      <c r="J827" s="2">
        <v>9</v>
      </c>
      <c r="K827" s="2">
        <v>188.36908102050393</v>
      </c>
      <c r="L827" s="2">
        <v>50</v>
      </c>
      <c r="M827" s="2">
        <v>25</v>
      </c>
      <c r="N827" s="2">
        <v>1.2294306125066394</v>
      </c>
      <c r="O827" s="2">
        <v>52.214492264978944</v>
      </c>
      <c r="P827" s="2">
        <v>1433.0205249250866</v>
      </c>
      <c r="Q827" s="2">
        <v>1.217665532920708</v>
      </c>
      <c r="R827" s="2">
        <v>51.629282046370008</v>
      </c>
      <c r="S827" s="2">
        <v>1440.6161061625176</v>
      </c>
      <c r="T827" s="2">
        <v>-1.1765079585931426E-2</v>
      </c>
      <c r="U827" s="2">
        <v>-0.58521021860893541</v>
      </c>
      <c r="V827" s="2">
        <v>7.5955812374309062</v>
      </c>
    </row>
    <row r="828" spans="1:22" ht="15">
      <c r="A828" s="2">
        <v>827</v>
      </c>
      <c r="B828" s="2" t="s">
        <v>78</v>
      </c>
      <c r="C828" s="2" t="s">
        <v>13</v>
      </c>
      <c r="D828" s="2">
        <v>1453.009442682378</v>
      </c>
      <c r="E828" s="2">
        <v>1154.6280183480121</v>
      </c>
      <c r="F828" s="2">
        <v>722.72917367517948</v>
      </c>
      <c r="G828" s="2">
        <v>281.39929204015061</v>
      </c>
      <c r="H828" s="2">
        <v>26.97281099203974</v>
      </c>
      <c r="I828" s="2">
        <v>0.81994097384391351</v>
      </c>
      <c r="J828" s="2">
        <v>9</v>
      </c>
      <c r="K828" s="2">
        <v>196.89892172910069</v>
      </c>
      <c r="L828" s="2">
        <v>30</v>
      </c>
      <c r="M828" s="2">
        <v>25</v>
      </c>
      <c r="N828" s="2">
        <v>1.1633801360479363</v>
      </c>
      <c r="O828" s="2">
        <v>52.311604104777572</v>
      </c>
      <c r="P828" s="2">
        <v>1453.009442682378</v>
      </c>
      <c r="Q828" s="2">
        <v>1.1698170463168123</v>
      </c>
      <c r="R828" s="2">
        <v>52.097697600668582</v>
      </c>
      <c r="S828" s="2">
        <v>1428.7030350014816</v>
      </c>
      <c r="T828" s="2">
        <v>6.4369102688759394E-3</v>
      </c>
      <c r="U828" s="2">
        <v>-0.2139065041089907</v>
      </c>
      <c r="V828" s="2">
        <v>-24.306407680896427</v>
      </c>
    </row>
    <row r="829" spans="1:22" ht="15">
      <c r="A829" s="2">
        <v>828</v>
      </c>
      <c r="B829" s="2" t="s">
        <v>78</v>
      </c>
      <c r="C829" s="2" t="s">
        <v>13</v>
      </c>
      <c r="D829" s="2">
        <v>1366.2220973870717</v>
      </c>
      <c r="E829" s="2">
        <v>695.60811626724899</v>
      </c>
      <c r="F829" s="2">
        <v>444.26087690517306</v>
      </c>
      <c r="G829" s="2">
        <v>130.34860770683736</v>
      </c>
      <c r="H829" s="2">
        <v>14.622899066191167</v>
      </c>
      <c r="I829" s="2">
        <v>0.80992342308163645</v>
      </c>
      <c r="J829" s="2">
        <v>9</v>
      </c>
      <c r="K829" s="2">
        <v>187.42815794565459</v>
      </c>
      <c r="L829" s="2">
        <v>60</v>
      </c>
      <c r="M829" s="2">
        <v>25</v>
      </c>
      <c r="N829" s="2">
        <v>1.2006806217640991</v>
      </c>
      <c r="O829" s="2">
        <v>52.173058679417096</v>
      </c>
      <c r="P829" s="2">
        <v>1366.2220973870717</v>
      </c>
      <c r="Q829" s="2">
        <v>1.2064230565345078</v>
      </c>
      <c r="R829" s="2">
        <v>50.907879829770948</v>
      </c>
      <c r="S829" s="2">
        <v>1377.5900172620948</v>
      </c>
      <c r="T829" s="2">
        <v>5.7424347704086998E-3</v>
      </c>
      <c r="U829" s="2">
        <v>-1.2651788496461478</v>
      </c>
      <c r="V829" s="2">
        <v>11.367919875023063</v>
      </c>
    </row>
    <row r="830" spans="1:22" ht="15">
      <c r="A830" s="2">
        <v>829</v>
      </c>
      <c r="B830" s="2" t="s">
        <v>78</v>
      </c>
      <c r="C830" s="2" t="s">
        <v>13</v>
      </c>
      <c r="D830" s="2">
        <v>1383.7689395528287</v>
      </c>
      <c r="E830" s="2">
        <v>944.58392829401419</v>
      </c>
      <c r="F830" s="2">
        <v>514.11555465310812</v>
      </c>
      <c r="G830" s="2">
        <v>166.27259620698169</v>
      </c>
      <c r="H830" s="2">
        <v>25.795220907777548</v>
      </c>
      <c r="I830" s="2">
        <v>0.83860231671715157</v>
      </c>
      <c r="J830" s="2">
        <v>9</v>
      </c>
      <c r="K830" s="2">
        <v>183.3432860007434</v>
      </c>
      <c r="L830" s="2">
        <v>45</v>
      </c>
      <c r="M830" s="2">
        <v>25</v>
      </c>
      <c r="N830" s="2">
        <v>1.2248114223719189</v>
      </c>
      <c r="O830" s="2">
        <v>52.228373771442094</v>
      </c>
      <c r="P830" s="2">
        <v>1383.7689395528287</v>
      </c>
      <c r="Q830" s="2">
        <v>1.213800487568778</v>
      </c>
      <c r="R830" s="2">
        <v>52.048555556328516</v>
      </c>
      <c r="S830" s="2">
        <v>1381.6635657282256</v>
      </c>
      <c r="T830" s="2">
        <v>-1.1010934803140859E-2</v>
      </c>
      <c r="U830" s="2">
        <v>-0.17981821511357765</v>
      </c>
      <c r="V830" s="2">
        <v>-2.1053738246030207</v>
      </c>
    </row>
    <row r="831" spans="1:22" ht="15">
      <c r="A831" s="2">
        <v>830</v>
      </c>
      <c r="B831" s="2" t="s">
        <v>78</v>
      </c>
      <c r="C831" s="2" t="s">
        <v>13</v>
      </c>
      <c r="D831" s="2">
        <v>1445.3527700272389</v>
      </c>
      <c r="E831" s="2">
        <v>621.40573810320348</v>
      </c>
      <c r="F831" s="2">
        <v>435.94487207010388</v>
      </c>
      <c r="G831" s="2">
        <v>256.63104925304651</v>
      </c>
      <c r="H831" s="2">
        <v>17.352193000260741</v>
      </c>
      <c r="I831" s="2">
        <v>0.80987762767355898</v>
      </c>
      <c r="J831" s="2">
        <v>9</v>
      </c>
      <c r="K831" s="2">
        <v>198.29508401975568</v>
      </c>
      <c r="L831" s="2">
        <v>55</v>
      </c>
      <c r="M831" s="2">
        <v>25</v>
      </c>
      <c r="N831" s="2">
        <v>1.1570684313364574</v>
      </c>
      <c r="O831" s="2">
        <v>52.179882590246052</v>
      </c>
      <c r="P831" s="2">
        <v>1445.3527700272389</v>
      </c>
      <c r="Q831" s="2">
        <v>1.1621964110888534</v>
      </c>
      <c r="R831" s="2">
        <v>52.206685687224493</v>
      </c>
      <c r="S831" s="2">
        <v>1465.642192047239</v>
      </c>
      <c r="T831" s="2">
        <v>5.1279797523959836E-3</v>
      </c>
      <c r="U831" s="2">
        <v>2.6803096978440522E-2</v>
      </c>
      <c r="V831" s="2">
        <v>20.289422020000075</v>
      </c>
    </row>
    <row r="832" spans="1:22" ht="15">
      <c r="A832" s="2">
        <v>831</v>
      </c>
      <c r="B832" s="2" t="s">
        <v>78</v>
      </c>
      <c r="C832" s="2" t="s">
        <v>13</v>
      </c>
      <c r="D832" s="2">
        <v>1446.1963095003739</v>
      </c>
      <c r="E832" s="2">
        <v>1022.4189917673357</v>
      </c>
      <c r="F832" s="2">
        <v>365.82505032420158</v>
      </c>
      <c r="G832" s="2">
        <v>133.94880048697814</v>
      </c>
      <c r="H832" s="2">
        <v>24.380987084470689</v>
      </c>
      <c r="I832" s="2">
        <v>0.82092814447125428</v>
      </c>
      <c r="J832" s="2">
        <v>9</v>
      </c>
      <c r="K832" s="2">
        <v>195.74000467101973</v>
      </c>
      <c r="L832" s="2">
        <v>50</v>
      </c>
      <c r="M832" s="2">
        <v>25</v>
      </c>
      <c r="N832" s="2">
        <v>1.2519301751650163</v>
      </c>
      <c r="O832" s="2">
        <v>52.212347918979049</v>
      </c>
      <c r="P832" s="2">
        <v>1446.1963095003739</v>
      </c>
      <c r="Q832" s="2">
        <v>1.2420145114202628</v>
      </c>
      <c r="R832" s="2">
        <v>52.622715600373354</v>
      </c>
      <c r="S832" s="2">
        <v>1445.6951792259799</v>
      </c>
      <c r="T832" s="2">
        <v>-9.9156637447535001E-3</v>
      </c>
      <c r="U832" s="2">
        <v>0.41036768139430535</v>
      </c>
      <c r="V832" s="2">
        <v>-0.50113027439397229</v>
      </c>
    </row>
    <row r="833" spans="1:22" ht="15">
      <c r="A833" s="2">
        <v>832</v>
      </c>
      <c r="B833" s="2" t="s">
        <v>78</v>
      </c>
      <c r="C833" s="2" t="s">
        <v>13</v>
      </c>
      <c r="D833" s="2">
        <v>1376.8891343730502</v>
      </c>
      <c r="E833" s="2">
        <v>911.14415489137173</v>
      </c>
      <c r="F833" s="2">
        <v>582.53214946016669</v>
      </c>
      <c r="G833" s="2">
        <v>124.06710818875581</v>
      </c>
      <c r="H833" s="2">
        <v>17.880189613904804</v>
      </c>
      <c r="I833" s="2">
        <v>0.83394275548867891</v>
      </c>
      <c r="J833" s="2">
        <v>9</v>
      </c>
      <c r="K833" s="2">
        <v>183.45105894871276</v>
      </c>
      <c r="L833" s="2">
        <v>45</v>
      </c>
      <c r="M833" s="2">
        <v>25</v>
      </c>
      <c r="N833" s="2">
        <v>1.1827358076909651</v>
      </c>
      <c r="O833" s="2">
        <v>52.227246641600345</v>
      </c>
      <c r="P833" s="2">
        <v>1376.8891343730502</v>
      </c>
      <c r="Q833" s="2">
        <v>1.1936587493533541</v>
      </c>
      <c r="R833" s="2">
        <v>52.167661154262298</v>
      </c>
      <c r="S833" s="2">
        <v>1377.5426099386218</v>
      </c>
      <c r="T833" s="2">
        <v>1.0922941662389052E-2</v>
      </c>
      <c r="U833" s="2">
        <v>-5.9585487338047471E-2</v>
      </c>
      <c r="V833" s="2">
        <v>0.65347556557162534</v>
      </c>
    </row>
    <row r="834" spans="1:22" ht="15">
      <c r="A834" s="2">
        <v>833</v>
      </c>
      <c r="B834" s="2" t="s">
        <v>78</v>
      </c>
      <c r="C834" s="2" t="s">
        <v>13</v>
      </c>
      <c r="D834" s="2">
        <v>1467.2699782066047</v>
      </c>
      <c r="E834" s="2">
        <v>1015.4996934696101</v>
      </c>
      <c r="F834" s="2">
        <v>368.9025754109025</v>
      </c>
      <c r="G834" s="2">
        <v>269.8518885136582</v>
      </c>
      <c r="H834" s="2">
        <v>10.089576730504632</v>
      </c>
      <c r="I834" s="2">
        <v>0.79604812289820992</v>
      </c>
      <c r="J834" s="2">
        <v>10</v>
      </c>
      <c r="K834" s="2">
        <v>184.31925608525347</v>
      </c>
      <c r="L834" s="2">
        <v>40</v>
      </c>
      <c r="M834" s="2">
        <v>25</v>
      </c>
      <c r="N834" s="2">
        <v>1.1564986949385954</v>
      </c>
      <c r="O834" s="2">
        <v>52.261599532768535</v>
      </c>
      <c r="P834" s="2">
        <v>1467.2699782066047</v>
      </c>
      <c r="Q834" s="2">
        <v>1.1543156160251531</v>
      </c>
      <c r="R834" s="2">
        <v>53.137507718925768</v>
      </c>
      <c r="S834" s="2">
        <v>1475.3773472269545</v>
      </c>
      <c r="T834" s="2">
        <v>-2.1830789134422712E-3</v>
      </c>
      <c r="U834" s="2">
        <v>0.87590818615723265</v>
      </c>
      <c r="V834" s="2">
        <v>8.107369020349779</v>
      </c>
    </row>
    <row r="835" spans="1:22" ht="15">
      <c r="A835" s="2">
        <v>834</v>
      </c>
      <c r="B835" s="2" t="s">
        <v>78</v>
      </c>
      <c r="C835" s="2" t="s">
        <v>13</v>
      </c>
      <c r="D835" s="2">
        <v>1408.9234945946373</v>
      </c>
      <c r="E835" s="2">
        <v>882.75144987273961</v>
      </c>
      <c r="F835" s="2">
        <v>479.56529492512345</v>
      </c>
      <c r="G835" s="2">
        <v>309.35151890851557</v>
      </c>
      <c r="H835" s="2">
        <v>20.850480728317052</v>
      </c>
      <c r="I835" s="2">
        <v>0.8269975370028988</v>
      </c>
      <c r="J835" s="2">
        <v>9</v>
      </c>
      <c r="K835" s="2">
        <v>189.29567253887839</v>
      </c>
      <c r="L835" s="2">
        <v>45</v>
      </c>
      <c r="M835" s="2">
        <v>25</v>
      </c>
      <c r="N835" s="2">
        <v>1.2334297614313374</v>
      </c>
      <c r="O835" s="2">
        <v>52.235654874018422</v>
      </c>
      <c r="P835" s="2">
        <v>1408.9234945946373</v>
      </c>
      <c r="Q835" s="2">
        <v>1.221446672374138</v>
      </c>
      <c r="R835" s="2">
        <v>52.201380605938944</v>
      </c>
      <c r="S835" s="2">
        <v>1398.2394378822255</v>
      </c>
      <c r="T835" s="2">
        <v>-1.198308905719947E-2</v>
      </c>
      <c r="U835" s="2">
        <v>-3.4274268079478531E-2</v>
      </c>
      <c r="V835" s="2">
        <v>-10.684056712411802</v>
      </c>
    </row>
    <row r="836" spans="1:22" ht="15">
      <c r="A836" s="2">
        <v>835</v>
      </c>
      <c r="B836" s="2" t="s">
        <v>79</v>
      </c>
      <c r="C836" s="2" t="s">
        <v>13</v>
      </c>
      <c r="D836" s="2">
        <v>1428.0429329490289</v>
      </c>
      <c r="E836" s="2">
        <v>1026.3011058443226</v>
      </c>
      <c r="F836" s="2">
        <v>504.86135594546795</v>
      </c>
      <c r="G836" s="2">
        <v>263.0826994846575</v>
      </c>
      <c r="H836" s="2">
        <v>11.465148960240185</v>
      </c>
      <c r="I836" s="2">
        <v>0.80357535199029373</v>
      </c>
      <c r="J836" s="2">
        <v>9</v>
      </c>
      <c r="K836" s="2">
        <v>197.45682418125378</v>
      </c>
      <c r="L836" s="2">
        <v>40</v>
      </c>
      <c r="M836" s="2">
        <v>25</v>
      </c>
      <c r="N836" s="2">
        <v>1.1432507446078533</v>
      </c>
      <c r="O836" s="2">
        <v>52.254767676771721</v>
      </c>
      <c r="P836" s="2">
        <v>1428.0429329490289</v>
      </c>
      <c r="Q836" s="2">
        <v>1.1553120773204537</v>
      </c>
      <c r="R836" s="2">
        <v>52.746576876589778</v>
      </c>
      <c r="S836" s="2">
        <v>1437.1410835158431</v>
      </c>
      <c r="T836" s="2">
        <v>1.2061332712600459E-2</v>
      </c>
      <c r="U836" s="2">
        <v>0.49180919981805715</v>
      </c>
      <c r="V836" s="2">
        <v>9.0981505668141835</v>
      </c>
    </row>
    <row r="837" spans="1:22" ht="15">
      <c r="A837" s="2">
        <v>836</v>
      </c>
      <c r="B837" s="2" t="s">
        <v>79</v>
      </c>
      <c r="C837" s="2" t="s">
        <v>13</v>
      </c>
      <c r="D837" s="2">
        <v>1472.5265345885418</v>
      </c>
      <c r="E837" s="2">
        <v>1100.0501502770931</v>
      </c>
      <c r="F837" s="2">
        <v>552.97486810013652</v>
      </c>
      <c r="G837" s="2">
        <v>102.9697305476293</v>
      </c>
      <c r="H837" s="2">
        <v>29.978597156237811</v>
      </c>
      <c r="I837" s="2">
        <v>0.85244312500581154</v>
      </c>
      <c r="J837" s="2">
        <v>9</v>
      </c>
      <c r="K837" s="2">
        <v>191.93545539781488</v>
      </c>
      <c r="L837" s="2">
        <v>40</v>
      </c>
      <c r="M837" s="2">
        <v>25</v>
      </c>
      <c r="N837" s="2">
        <v>1.2171877497464212</v>
      </c>
      <c r="O837" s="2">
        <v>52.248803481226105</v>
      </c>
      <c r="P837" s="2">
        <v>1472.5265345885418</v>
      </c>
      <c r="Q837" s="2">
        <v>1.2240083019840715</v>
      </c>
      <c r="R837" s="2">
        <v>53.167165088558242</v>
      </c>
      <c r="S837" s="2">
        <v>1461.8440935556562</v>
      </c>
      <c r="T837" s="2">
        <v>6.8205522376503236E-3</v>
      </c>
      <c r="U837" s="2">
        <v>0.91836160733213745</v>
      </c>
      <c r="V837" s="2">
        <v>-10.682441032885663</v>
      </c>
    </row>
    <row r="838" spans="1:22" ht="15">
      <c r="A838" s="2">
        <v>837</v>
      </c>
      <c r="B838" s="2" t="s">
        <v>79</v>
      </c>
      <c r="C838" s="2" t="s">
        <v>13</v>
      </c>
      <c r="D838" s="2">
        <v>1415.5022921506315</v>
      </c>
      <c r="E838" s="2">
        <v>765.75964557705447</v>
      </c>
      <c r="F838" s="2">
        <v>674.61435627192259</v>
      </c>
      <c r="G838" s="2">
        <v>83.625444427598268</v>
      </c>
      <c r="H838" s="2">
        <v>25.767450027167797</v>
      </c>
      <c r="I838" s="2">
        <v>0.82802262189099574</v>
      </c>
      <c r="J838" s="2">
        <v>9</v>
      </c>
      <c r="K838" s="2">
        <v>189.94412507957543</v>
      </c>
      <c r="L838" s="2">
        <v>45</v>
      </c>
      <c r="M838" s="2">
        <v>25</v>
      </c>
      <c r="N838" s="2">
        <v>1.1559659907521693</v>
      </c>
      <c r="O838" s="2">
        <v>52.212629613660674</v>
      </c>
      <c r="P838" s="2">
        <v>1415.5022921506315</v>
      </c>
      <c r="Q838" s="2">
        <v>1.1471882748888167</v>
      </c>
      <c r="R838" s="2">
        <v>51.779578873773048</v>
      </c>
      <c r="S838" s="2">
        <v>1405.8141378224996</v>
      </c>
      <c r="T838" s="2">
        <v>-8.7777158633526309E-3</v>
      </c>
      <c r="U838" s="2">
        <v>-0.43305073988762643</v>
      </c>
      <c r="V838" s="2">
        <v>-9.6881543281319864</v>
      </c>
    </row>
    <row r="839" spans="1:22" ht="15">
      <c r="A839" s="2">
        <v>838</v>
      </c>
      <c r="B839" s="2" t="s">
        <v>80</v>
      </c>
      <c r="C839" s="2" t="s">
        <v>13</v>
      </c>
      <c r="D839" s="2">
        <v>1425.6452328641899</v>
      </c>
      <c r="E839" s="2">
        <v>1105.4550003027543</v>
      </c>
      <c r="F839" s="2">
        <v>465.58346124365926</v>
      </c>
      <c r="G839" s="2">
        <v>114.53361941501498</v>
      </c>
      <c r="H839" s="2">
        <v>19.604891850147396</v>
      </c>
      <c r="I839" s="2">
        <v>0.85936478817369788</v>
      </c>
      <c r="J839" s="2">
        <v>9</v>
      </c>
      <c r="K839" s="2">
        <v>184.32803863239215</v>
      </c>
      <c r="L839" s="2">
        <v>45</v>
      </c>
      <c r="M839" s="2">
        <v>25</v>
      </c>
      <c r="N839" s="2">
        <v>1.2369659743949635</v>
      </c>
      <c r="O839" s="2">
        <v>52.237822826723907</v>
      </c>
      <c r="P839" s="2">
        <v>1425.6452328641899</v>
      </c>
      <c r="Q839" s="2">
        <v>1.2403877261861433</v>
      </c>
      <c r="R839" s="2">
        <v>53.119512359665656</v>
      </c>
      <c r="S839" s="2">
        <v>1429.5148508377197</v>
      </c>
      <c r="T839" s="2">
        <v>3.4217517911798723E-3</v>
      </c>
      <c r="U839" s="2">
        <v>0.88168953294174912</v>
      </c>
      <c r="V839" s="2">
        <v>3.8696179735297846</v>
      </c>
    </row>
    <row r="840" spans="1:22" ht="15">
      <c r="A840" s="2">
        <v>839</v>
      </c>
      <c r="B840" s="2" t="s">
        <v>80</v>
      </c>
      <c r="C840" s="2" t="s">
        <v>13</v>
      </c>
      <c r="D840" s="2">
        <v>1474.9408073024824</v>
      </c>
      <c r="E840" s="2">
        <v>958.30322877736762</v>
      </c>
      <c r="F840" s="2">
        <v>710.19989550113678</v>
      </c>
      <c r="G840" s="2">
        <v>220.92888677259907</v>
      </c>
      <c r="H840" s="2">
        <v>26.855949523858726</v>
      </c>
      <c r="I840" s="2">
        <v>0.83637403383618225</v>
      </c>
      <c r="J840" s="2">
        <v>9</v>
      </c>
      <c r="K840" s="2">
        <v>195.94380658952539</v>
      </c>
      <c r="L840" s="2">
        <v>35</v>
      </c>
      <c r="M840" s="2">
        <v>25</v>
      </c>
      <c r="N840" s="2">
        <v>1.1583166774905003</v>
      </c>
      <c r="O840" s="2">
        <v>52.269609686323136</v>
      </c>
      <c r="P840" s="2">
        <v>1474.9408073024824</v>
      </c>
      <c r="Q840" s="2">
        <v>1.1488847747091087</v>
      </c>
      <c r="R840" s="2">
        <v>53.240503531583819</v>
      </c>
      <c r="S840" s="2">
        <v>1453.8860497288808</v>
      </c>
      <c r="T840" s="2">
        <v>-9.4319027813916101E-3</v>
      </c>
      <c r="U840" s="2">
        <v>0.97089384526068301</v>
      </c>
      <c r="V840" s="2">
        <v>-21.054757573601592</v>
      </c>
    </row>
    <row r="841" spans="1:22" ht="15">
      <c r="A841" s="2">
        <v>840</v>
      </c>
      <c r="B841" s="2" t="s">
        <v>80</v>
      </c>
      <c r="C841" s="2" t="s">
        <v>13</v>
      </c>
      <c r="D841" s="2">
        <v>1496.6978904674761</v>
      </c>
      <c r="E841" s="2">
        <v>780.00914352014661</v>
      </c>
      <c r="F841" s="2">
        <v>364.19203346595168</v>
      </c>
      <c r="G841" s="2">
        <v>260.58256397489458</v>
      </c>
      <c r="H841" s="2">
        <v>8.1159228063188493</v>
      </c>
      <c r="I841" s="2">
        <v>0.85873581045307223</v>
      </c>
      <c r="J841" s="2">
        <v>9</v>
      </c>
      <c r="K841" s="2">
        <v>193.65649316494321</v>
      </c>
      <c r="L841" s="2">
        <v>55</v>
      </c>
      <c r="M841" s="2">
        <v>25</v>
      </c>
      <c r="N841" s="2">
        <v>1.1950006799564603</v>
      </c>
      <c r="O841" s="2">
        <v>52.194040904809341</v>
      </c>
      <c r="P841" s="2">
        <v>1496.6978904674761</v>
      </c>
      <c r="Q841" s="2">
        <v>1.1875431240487382</v>
      </c>
      <c r="R841" s="2">
        <v>52.0415946496706</v>
      </c>
      <c r="S841" s="2">
        <v>1511.2905935143392</v>
      </c>
      <c r="T841" s="2">
        <v>-7.4575559077221243E-3</v>
      </c>
      <c r="U841" s="2">
        <v>-0.15244625513874155</v>
      </c>
      <c r="V841" s="2">
        <v>14.592703046863107</v>
      </c>
    </row>
    <row r="842" spans="1:22" ht="15">
      <c r="A842" s="2">
        <v>841</v>
      </c>
      <c r="B842" s="2" t="s">
        <v>78</v>
      </c>
      <c r="C842" s="2" t="s">
        <v>13</v>
      </c>
      <c r="D842" s="2">
        <v>1485.9054828062654</v>
      </c>
      <c r="E842" s="2">
        <v>1073.1059439829551</v>
      </c>
      <c r="F842" s="2">
        <v>580.67840654402971</v>
      </c>
      <c r="G842" s="2">
        <v>123.1749313720502</v>
      </c>
      <c r="H842" s="2">
        <v>13.425996845588088</v>
      </c>
      <c r="I842" s="2">
        <v>0.81734103881986819</v>
      </c>
      <c r="J842" s="2">
        <v>10</v>
      </c>
      <c r="K842" s="2">
        <v>181.79748871434563</v>
      </c>
      <c r="L842" s="2">
        <v>40</v>
      </c>
      <c r="M842" s="2">
        <v>25</v>
      </c>
      <c r="N842" s="2">
        <v>1.2551215063789682</v>
      </c>
      <c r="O842" s="2">
        <v>52.282858195589</v>
      </c>
      <c r="P842" s="2">
        <v>1485.9054828062654</v>
      </c>
      <c r="Q842" s="2">
        <v>1.2729227956848936</v>
      </c>
      <c r="R842" s="2">
        <v>53.438908396134643</v>
      </c>
      <c r="S842" s="2">
        <v>1487.9319260127577</v>
      </c>
      <c r="T842" s="2">
        <v>1.7801289305925394E-2</v>
      </c>
      <c r="U842" s="2">
        <v>1.1560502005456428</v>
      </c>
      <c r="V842" s="2">
        <v>2.0264432064923312</v>
      </c>
    </row>
    <row r="843" spans="1:22" ht="15">
      <c r="A843" s="2">
        <v>842</v>
      </c>
      <c r="B843" s="2" t="s">
        <v>78</v>
      </c>
      <c r="C843" s="2" t="s">
        <v>13</v>
      </c>
      <c r="D843" s="2">
        <v>1450.9558715508319</v>
      </c>
      <c r="E843" s="2">
        <v>1065.8478260273114</v>
      </c>
      <c r="F843" s="2">
        <v>722.96141097322106</v>
      </c>
      <c r="G843" s="2">
        <v>134.39211870543659</v>
      </c>
      <c r="H843" s="2">
        <v>16.835654084105045</v>
      </c>
      <c r="I843" s="2">
        <v>0.84825221930164851</v>
      </c>
      <c r="J843" s="2">
        <v>9</v>
      </c>
      <c r="K843" s="2">
        <v>190.05823432319576</v>
      </c>
      <c r="L843" s="2">
        <v>40</v>
      </c>
      <c r="M843" s="2">
        <v>25</v>
      </c>
      <c r="N843" s="2">
        <v>1.250045868271201</v>
      </c>
      <c r="O843" s="2">
        <v>52.274875171388445</v>
      </c>
      <c r="P843" s="2">
        <v>1450.9558715508319</v>
      </c>
      <c r="Q843" s="2">
        <v>1.2622380694482094</v>
      </c>
      <c r="R843" s="2">
        <v>53.145278707808913</v>
      </c>
      <c r="S843" s="2">
        <v>1438.4098044216025</v>
      </c>
      <c r="T843" s="2">
        <v>1.2192201177008366E-2</v>
      </c>
      <c r="U843" s="2">
        <v>0.87040353642046853</v>
      </c>
      <c r="V843" s="2">
        <v>-12.546067129229414</v>
      </c>
    </row>
    <row r="844" spans="1:22" ht="15">
      <c r="A844" s="2">
        <v>843</v>
      </c>
      <c r="B844" s="2" t="s">
        <v>78</v>
      </c>
      <c r="C844" s="2" t="s">
        <v>13</v>
      </c>
      <c r="D844" s="2">
        <v>1432.7865461586043</v>
      </c>
      <c r="E844" s="2">
        <v>1081.671002751682</v>
      </c>
      <c r="F844" s="2">
        <v>368.03041584789753</v>
      </c>
      <c r="G844" s="2">
        <v>187.72900673327968</v>
      </c>
      <c r="H844" s="2">
        <v>24.187574089504778</v>
      </c>
      <c r="I844" s="2">
        <v>0.84394718109397227</v>
      </c>
      <c r="J844" s="2">
        <v>9</v>
      </c>
      <c r="K844" s="2">
        <v>188.63562636985372</v>
      </c>
      <c r="L844" s="2">
        <v>45</v>
      </c>
      <c r="M844" s="2">
        <v>25</v>
      </c>
      <c r="N844" s="2">
        <v>1.2258231837817906</v>
      </c>
      <c r="O844" s="2">
        <v>52.230316339070029</v>
      </c>
      <c r="P844" s="2">
        <v>1432.7865461586043</v>
      </c>
      <c r="Q844" s="2">
        <v>1.2196718677740446</v>
      </c>
      <c r="R844" s="2">
        <v>52.05333249416767</v>
      </c>
      <c r="S844" s="2">
        <v>1420.1193752411034</v>
      </c>
      <c r="T844" s="2">
        <v>-6.1513160077459883E-3</v>
      </c>
      <c r="U844" s="2">
        <v>-0.17698384490235952</v>
      </c>
      <c r="V844" s="2">
        <v>-12.667170917500925</v>
      </c>
    </row>
    <row r="845" spans="1:22" ht="15">
      <c r="A845" s="2">
        <v>844</v>
      </c>
      <c r="B845" s="2" t="s">
        <v>78</v>
      </c>
      <c r="C845" s="2" t="s">
        <v>13</v>
      </c>
      <c r="D845" s="2">
        <v>1468.9637655741535</v>
      </c>
      <c r="E845" s="2">
        <v>804.97755981050432</v>
      </c>
      <c r="F845" s="2">
        <v>489.19246895238757</v>
      </c>
      <c r="G845" s="2">
        <v>229.25635128747672</v>
      </c>
      <c r="H845" s="2">
        <v>28.868652674835175</v>
      </c>
      <c r="I845" s="2">
        <v>0.80682251270860439</v>
      </c>
      <c r="J845" s="2">
        <v>10</v>
      </c>
      <c r="K845" s="2">
        <v>182.067771094123</v>
      </c>
      <c r="L845" s="2">
        <v>40</v>
      </c>
      <c r="M845" s="2">
        <v>25</v>
      </c>
      <c r="N845" s="2">
        <v>1.1585523593217144</v>
      </c>
      <c r="O845" s="2">
        <v>52.238933620343722</v>
      </c>
      <c r="P845" s="2">
        <v>1468.9637655741535</v>
      </c>
      <c r="Q845" s="2">
        <v>1.1522244961642221</v>
      </c>
      <c r="R845" s="2">
        <v>50.96243883537462</v>
      </c>
      <c r="S845" s="2">
        <v>1460.7451960794363</v>
      </c>
      <c r="T845" s="2">
        <v>-6.3278631574923416E-3</v>
      </c>
      <c r="U845" s="2">
        <v>-1.2764947849691026</v>
      </c>
      <c r="V845" s="2">
        <v>-8.2185694947172578</v>
      </c>
    </row>
    <row r="846" spans="1:22" ht="15">
      <c r="A846" s="2">
        <v>845</v>
      </c>
      <c r="B846" s="2" t="s">
        <v>78</v>
      </c>
      <c r="C846" s="2" t="s">
        <v>13</v>
      </c>
      <c r="D846" s="2">
        <v>1499.6549227740616</v>
      </c>
      <c r="E846" s="2">
        <v>1231.5429932321422</v>
      </c>
      <c r="F846" s="2">
        <v>506.46394696086645</v>
      </c>
      <c r="G846" s="2">
        <v>233.58889085473493</v>
      </c>
      <c r="H846" s="2">
        <v>17.465893436223269</v>
      </c>
      <c r="I846" s="2">
        <v>0.85193544298643253</v>
      </c>
      <c r="J846" s="2">
        <v>9</v>
      </c>
      <c r="K846" s="2">
        <v>195.58797104222268</v>
      </c>
      <c r="L846" s="2">
        <v>35</v>
      </c>
      <c r="M846" s="2">
        <v>25</v>
      </c>
      <c r="N846" s="2">
        <v>1.1470792816687339</v>
      </c>
      <c r="O846" s="2">
        <v>52.282421079956116</v>
      </c>
      <c r="P846" s="2">
        <v>1499.6549227740616</v>
      </c>
      <c r="Q846" s="2">
        <v>1.1624713325464191</v>
      </c>
      <c r="R846" s="2">
        <v>52.71058126194675</v>
      </c>
      <c r="S846" s="2">
        <v>1496.2644512906925</v>
      </c>
      <c r="T846" s="2">
        <v>1.5392050877685248E-2</v>
      </c>
      <c r="U846" s="2">
        <v>0.42816018199063421</v>
      </c>
      <c r="V846" s="2">
        <v>-3.3904714833690832</v>
      </c>
    </row>
    <row r="847" spans="1:22" ht="15">
      <c r="A847" s="2">
        <v>846</v>
      </c>
      <c r="B847" s="2" t="s">
        <v>78</v>
      </c>
      <c r="C847" s="2" t="s">
        <v>13</v>
      </c>
      <c r="D847" s="2">
        <v>1417.0211644959636</v>
      </c>
      <c r="E847" s="2">
        <v>1203.385638887994</v>
      </c>
      <c r="F847" s="2">
        <v>678.62413572147489</v>
      </c>
      <c r="G847" s="2">
        <v>319.96186070144176</v>
      </c>
      <c r="H847" s="2">
        <v>14.617693329695612</v>
      </c>
      <c r="I847" s="2">
        <v>0.81921897679101674</v>
      </c>
      <c r="J847" s="2">
        <v>9</v>
      </c>
      <c r="K847" s="2">
        <v>192.19134384782669</v>
      </c>
      <c r="L847" s="2">
        <v>35</v>
      </c>
      <c r="M847" s="2">
        <v>25</v>
      </c>
      <c r="N847" s="2">
        <v>1.2514748096450601</v>
      </c>
      <c r="O847" s="2">
        <v>52.318342427235855</v>
      </c>
      <c r="P847" s="2">
        <v>1417.0211644959636</v>
      </c>
      <c r="Q847" s="2">
        <v>1.2603494880486501</v>
      </c>
      <c r="R847" s="2">
        <v>52.554524921485218</v>
      </c>
      <c r="S847" s="2">
        <v>1412.0213736924675</v>
      </c>
      <c r="T847" s="2">
        <v>8.8746784035900195E-3</v>
      </c>
      <c r="U847" s="2">
        <v>0.23618249424936266</v>
      </c>
      <c r="V847" s="2">
        <v>-4.9997908034961256</v>
      </c>
    </row>
    <row r="848" spans="1:22" ht="15">
      <c r="A848" s="2">
        <v>847</v>
      </c>
      <c r="B848" s="2" t="s">
        <v>78</v>
      </c>
      <c r="C848" s="2" t="s">
        <v>13</v>
      </c>
      <c r="D848" s="2">
        <v>1434.9231666186824</v>
      </c>
      <c r="E848" s="2">
        <v>900.41335272835568</v>
      </c>
      <c r="F848" s="2">
        <v>374.2426760494709</v>
      </c>
      <c r="G848" s="2">
        <v>226.73652168130502</v>
      </c>
      <c r="H848" s="2">
        <v>22.763633935712278</v>
      </c>
      <c r="I848" s="2">
        <v>0.799451071897056</v>
      </c>
      <c r="J848" s="2">
        <v>9</v>
      </c>
      <c r="K848" s="2">
        <v>199.43172635161108</v>
      </c>
      <c r="L848" s="2">
        <v>50</v>
      </c>
      <c r="M848" s="2">
        <v>25</v>
      </c>
      <c r="N848" s="2">
        <v>1.2293675742608876</v>
      </c>
      <c r="O848" s="2">
        <v>52.209104633430336</v>
      </c>
      <c r="P848" s="2">
        <v>1434.9231666186824</v>
      </c>
      <c r="Q848" s="2">
        <v>1.2256970659680584</v>
      </c>
      <c r="R848" s="2">
        <v>53.007591108035506</v>
      </c>
      <c r="S848" s="2">
        <v>1437.6703930981571</v>
      </c>
      <c r="T848" s="2">
        <v>-3.6705082928292221E-3</v>
      </c>
      <c r="U848" s="2">
        <v>0.79848647460516986</v>
      </c>
      <c r="V848" s="2">
        <v>2.7472264794746479</v>
      </c>
    </row>
    <row r="849" spans="1:22" ht="15">
      <c r="A849" s="2">
        <v>848</v>
      </c>
      <c r="B849" s="2" t="s">
        <v>78</v>
      </c>
      <c r="C849" s="2" t="s">
        <v>13</v>
      </c>
      <c r="D849" s="2">
        <v>1364.5051076891832</v>
      </c>
      <c r="E849" s="2">
        <v>1249.0749789401889</v>
      </c>
      <c r="F849" s="2">
        <v>524.00898477062583</v>
      </c>
      <c r="G849" s="2">
        <v>329.87657193560153</v>
      </c>
      <c r="H849" s="2">
        <v>17.672792830970138</v>
      </c>
      <c r="I849" s="2">
        <v>0.85580148263834421</v>
      </c>
      <c r="J849" s="2">
        <v>8</v>
      </c>
      <c r="K849" s="2">
        <v>199.30222361302768</v>
      </c>
      <c r="L849" s="2">
        <v>40</v>
      </c>
      <c r="M849" s="2">
        <v>25</v>
      </c>
      <c r="N849" s="2">
        <v>1.2337346160032521</v>
      </c>
      <c r="O849" s="2">
        <v>52.266470330240594</v>
      </c>
      <c r="P849" s="2">
        <v>1364.5051076891832</v>
      </c>
      <c r="Q849" s="2">
        <v>1.2582821264658575</v>
      </c>
      <c r="R849" s="2">
        <v>52.623232149189718</v>
      </c>
      <c r="S849" s="2">
        <v>1352.6566479133223</v>
      </c>
      <c r="T849" s="2">
        <v>2.4547510462605393E-2</v>
      </c>
      <c r="U849" s="2">
        <v>0.35676181894912418</v>
      </c>
      <c r="V849" s="2">
        <v>-11.848459775860874</v>
      </c>
    </row>
    <row r="850" spans="1:22" ht="15">
      <c r="A850" s="2">
        <v>849</v>
      </c>
      <c r="B850" s="2" t="s">
        <v>78</v>
      </c>
      <c r="C850" s="2" t="s">
        <v>13</v>
      </c>
      <c r="D850" s="2">
        <v>1376.6684697009623</v>
      </c>
      <c r="E850" s="2">
        <v>1119.7364908992313</v>
      </c>
      <c r="F850" s="2">
        <v>525.97429249435663</v>
      </c>
      <c r="G850" s="2">
        <v>144.77584881940857</v>
      </c>
      <c r="H850" s="2">
        <v>14.932034494355321</v>
      </c>
      <c r="I850" s="2">
        <v>0.82789612970547755</v>
      </c>
      <c r="J850" s="2">
        <v>9</v>
      </c>
      <c r="K850" s="2">
        <v>184.76129771801601</v>
      </c>
      <c r="L850" s="2">
        <v>40</v>
      </c>
      <c r="M850" s="2">
        <v>25</v>
      </c>
      <c r="N850" s="2">
        <v>1.1597980989117858</v>
      </c>
      <c r="O850" s="2">
        <v>52.254181628127803</v>
      </c>
      <c r="P850" s="2">
        <v>1376.6684697009623</v>
      </c>
      <c r="Q850" s="2">
        <v>1.1706606512577267</v>
      </c>
      <c r="R850" s="2">
        <v>53.602807037675511</v>
      </c>
      <c r="S850" s="2">
        <v>1378.2935824640381</v>
      </c>
      <c r="T850" s="2">
        <v>1.0862552345940912E-2</v>
      </c>
      <c r="U850" s="2">
        <v>1.3486254095477079</v>
      </c>
      <c r="V850" s="2">
        <v>1.6251127630757765</v>
      </c>
    </row>
    <row r="851" spans="1:22" ht="15">
      <c r="A851" s="2">
        <v>850</v>
      </c>
      <c r="B851" s="2" t="s">
        <v>78</v>
      </c>
      <c r="C851" s="2" t="s">
        <v>13</v>
      </c>
      <c r="D851" s="2">
        <v>1395.9274816908874</v>
      </c>
      <c r="E851" s="2">
        <v>1149.7774542542174</v>
      </c>
      <c r="F851" s="2">
        <v>577.99180531874299</v>
      </c>
      <c r="G851" s="2">
        <v>176.35960613377392</v>
      </c>
      <c r="H851" s="2">
        <v>10.852679566014558</v>
      </c>
      <c r="I851" s="2">
        <v>0.83342582295183099</v>
      </c>
      <c r="J851" s="2">
        <v>9</v>
      </c>
      <c r="K851" s="2">
        <v>186.10300910987505</v>
      </c>
      <c r="L851" s="2">
        <v>40</v>
      </c>
      <c r="M851" s="2">
        <v>25</v>
      </c>
      <c r="N851" s="2">
        <v>1.2060520370838268</v>
      </c>
      <c r="O851" s="2">
        <v>52.271901293385319</v>
      </c>
      <c r="P851" s="2">
        <v>1395.9274816908874</v>
      </c>
      <c r="Q851" s="2">
        <v>1.2262007057259483</v>
      </c>
      <c r="R851" s="2">
        <v>52.642642419919525</v>
      </c>
      <c r="S851" s="2">
        <v>1399.0976294021868</v>
      </c>
      <c r="T851" s="2">
        <v>2.0148668642121503E-2</v>
      </c>
      <c r="U851" s="2">
        <v>0.37074112653420599</v>
      </c>
      <c r="V851" s="2">
        <v>3.170147711299478</v>
      </c>
    </row>
    <row r="852" spans="1:22" ht="15">
      <c r="A852" s="2">
        <v>851</v>
      </c>
      <c r="B852" s="2" t="s">
        <v>78</v>
      </c>
      <c r="C852" s="2" t="s">
        <v>13</v>
      </c>
      <c r="D852" s="2">
        <v>1350.8919203421101</v>
      </c>
      <c r="E852" s="2">
        <v>1072.8431358584203</v>
      </c>
      <c r="F852" s="2">
        <v>580.25164268910885</v>
      </c>
      <c r="G852" s="2">
        <v>148.73392377747223</v>
      </c>
      <c r="H852" s="2">
        <v>20.627356735058129</v>
      </c>
      <c r="I852" s="2">
        <v>0.85415473920060325</v>
      </c>
      <c r="J852" s="2">
        <v>8</v>
      </c>
      <c r="K852" s="2">
        <v>197.69426111339018</v>
      </c>
      <c r="L852" s="2">
        <v>45</v>
      </c>
      <c r="M852" s="2">
        <v>25</v>
      </c>
      <c r="N852" s="2">
        <v>1.1969078171248804</v>
      </c>
      <c r="O852" s="2">
        <v>52.224733458142246</v>
      </c>
      <c r="P852" s="2">
        <v>1350.8919203421101</v>
      </c>
      <c r="Q852" s="2">
        <v>1.1926325512553582</v>
      </c>
      <c r="R852" s="2">
        <v>52.666114896487223</v>
      </c>
      <c r="S852" s="2">
        <v>1345.4564624881375</v>
      </c>
      <c r="T852" s="2">
        <v>-4.2752658695222046E-3</v>
      </c>
      <c r="U852" s="2">
        <v>0.44138143834497612</v>
      </c>
      <c r="V852" s="2">
        <v>-5.4354578539725935</v>
      </c>
    </row>
    <row r="853" spans="1:22" ht="15">
      <c r="A853" s="2">
        <v>852</v>
      </c>
      <c r="B853" s="2" t="s">
        <v>78</v>
      </c>
      <c r="C853" s="2" t="s">
        <v>13</v>
      </c>
      <c r="D853" s="2">
        <v>1436.4712712704204</v>
      </c>
      <c r="E853" s="2">
        <v>938.9602339360863</v>
      </c>
      <c r="F853" s="2">
        <v>434.20716701075435</v>
      </c>
      <c r="G853" s="2">
        <v>223.18485313560814</v>
      </c>
      <c r="H853" s="2">
        <v>14.748063638340682</v>
      </c>
      <c r="I853" s="2">
        <v>0.80852169590070844</v>
      </c>
      <c r="J853" s="2">
        <v>9</v>
      </c>
      <c r="K853" s="2">
        <v>197.40709474993182</v>
      </c>
      <c r="L853" s="2">
        <v>45</v>
      </c>
      <c r="M853" s="2">
        <v>25</v>
      </c>
      <c r="N853" s="2">
        <v>1.1532064235172366</v>
      </c>
      <c r="O853" s="2">
        <v>52.223911225217797</v>
      </c>
      <c r="P853" s="2">
        <v>1436.4712712704204</v>
      </c>
      <c r="Q853" s="2">
        <v>1.1523998869063916</v>
      </c>
      <c r="R853" s="2">
        <v>53.044271535588258</v>
      </c>
      <c r="S853" s="2">
        <v>1436.7988052711291</v>
      </c>
      <c r="T853" s="2">
        <v>-8.0653661084495454E-4</v>
      </c>
      <c r="U853" s="2">
        <v>0.82036031037046087</v>
      </c>
      <c r="V853" s="2">
        <v>0.32753400070873795</v>
      </c>
    </row>
    <row r="854" spans="1:22" ht="15">
      <c r="A854" s="2">
        <v>853</v>
      </c>
      <c r="B854" s="2" t="s">
        <v>78</v>
      </c>
      <c r="C854" s="2" t="s">
        <v>13</v>
      </c>
      <c r="D854" s="2">
        <v>1474.4706020224839</v>
      </c>
      <c r="E854" s="2">
        <v>1095.0472410651855</v>
      </c>
      <c r="F854" s="2">
        <v>357.61736016720533</v>
      </c>
      <c r="G854" s="2">
        <v>193.03719162242487</v>
      </c>
      <c r="H854" s="2">
        <v>11.555403277277946</v>
      </c>
      <c r="I854" s="2">
        <v>0.84992511151591321</v>
      </c>
      <c r="J854" s="2">
        <v>9</v>
      </c>
      <c r="K854" s="2">
        <v>192.75823795720348</v>
      </c>
      <c r="L854" s="2">
        <v>45</v>
      </c>
      <c r="M854" s="2">
        <v>25</v>
      </c>
      <c r="N854" s="2">
        <v>1.1711170960877544</v>
      </c>
      <c r="O854" s="2">
        <v>52.231606052050886</v>
      </c>
      <c r="P854" s="2">
        <v>1474.4706020224839</v>
      </c>
      <c r="Q854" s="2">
        <v>1.1699772737557319</v>
      </c>
      <c r="R854" s="2">
        <v>53.375358205485242</v>
      </c>
      <c r="S854" s="2">
        <v>1475.2673515294446</v>
      </c>
      <c r="T854" s="2">
        <v>-1.1398223320224776E-3</v>
      </c>
      <c r="U854" s="2">
        <v>1.143752153434356</v>
      </c>
      <c r="V854" s="2">
        <v>0.79674950696062297</v>
      </c>
    </row>
    <row r="855" spans="1:22" ht="15">
      <c r="A855" s="2">
        <v>854</v>
      </c>
      <c r="B855" s="2" t="s">
        <v>78</v>
      </c>
      <c r="C855" s="2" t="s">
        <v>13</v>
      </c>
      <c r="D855" s="2">
        <v>1392.7085426752456</v>
      </c>
      <c r="E855" s="2">
        <v>1130.4290724685416</v>
      </c>
      <c r="F855" s="2">
        <v>384.02761938050389</v>
      </c>
      <c r="G855" s="2">
        <v>278.485326487571</v>
      </c>
      <c r="H855" s="2">
        <v>16.543807125184685</v>
      </c>
      <c r="I855" s="2">
        <v>0.83374536549206824</v>
      </c>
      <c r="J855" s="2">
        <v>9</v>
      </c>
      <c r="K855" s="2">
        <v>185.60270321773081</v>
      </c>
      <c r="L855" s="2">
        <v>40</v>
      </c>
      <c r="M855" s="2">
        <v>25</v>
      </c>
      <c r="N855" s="2">
        <v>1.1699213593637612</v>
      </c>
      <c r="O855" s="2">
        <v>52.254564484209133</v>
      </c>
      <c r="P855" s="2">
        <v>1392.7085426752456</v>
      </c>
      <c r="Q855" s="2">
        <v>1.1684460737562412</v>
      </c>
      <c r="R855" s="2">
        <v>52.994748985282321</v>
      </c>
      <c r="S855" s="2">
        <v>1394.5746157592052</v>
      </c>
      <c r="T855" s="2">
        <v>-1.4752856075199716E-3</v>
      </c>
      <c r="U855" s="2">
        <v>0.74018450107318756</v>
      </c>
      <c r="V855" s="2">
        <v>1.8660730839596908</v>
      </c>
    </row>
    <row r="856" spans="1:22" ht="15">
      <c r="A856" s="2">
        <v>855</v>
      </c>
      <c r="B856" s="2" t="s">
        <v>79</v>
      </c>
      <c r="C856" s="2" t="s">
        <v>13</v>
      </c>
      <c r="D856" s="2">
        <v>1408.9634214760736</v>
      </c>
      <c r="E856" s="2">
        <v>923.01818152191117</v>
      </c>
      <c r="F856" s="2">
        <v>622.02581018209457</v>
      </c>
      <c r="G856" s="2">
        <v>240.07533756783232</v>
      </c>
      <c r="H856" s="2">
        <v>26.504823858849704</v>
      </c>
      <c r="I856" s="2">
        <v>0.81904092292999853</v>
      </c>
      <c r="J856" s="2">
        <v>9</v>
      </c>
      <c r="K856" s="2">
        <v>191.14001131357313</v>
      </c>
      <c r="L856" s="2">
        <v>40</v>
      </c>
      <c r="M856" s="2">
        <v>25</v>
      </c>
      <c r="N856" s="2">
        <v>1.2172405990564734</v>
      </c>
      <c r="O856" s="2">
        <v>52.253344731416711</v>
      </c>
      <c r="P856" s="2">
        <v>1408.9634214760736</v>
      </c>
      <c r="Q856" s="2">
        <v>1.2103536215238728</v>
      </c>
      <c r="R856" s="2">
        <v>52.106139373065631</v>
      </c>
      <c r="S856" s="2">
        <v>1394.251184317164</v>
      </c>
      <c r="T856" s="2">
        <v>-6.8869775326005911E-3</v>
      </c>
      <c r="U856" s="2">
        <v>-0.14720535835107995</v>
      </c>
      <c r="V856" s="2">
        <v>-14.712237158909602</v>
      </c>
    </row>
    <row r="857" spans="1:22" ht="15">
      <c r="A857" s="2">
        <v>856</v>
      </c>
      <c r="B857" s="2" t="s">
        <v>79</v>
      </c>
      <c r="C857" s="2" t="s">
        <v>13</v>
      </c>
      <c r="D857" s="2">
        <v>1414.6463992889039</v>
      </c>
      <c r="E857" s="2">
        <v>960.47508781775832</v>
      </c>
      <c r="F857" s="2">
        <v>595.53479170426726</v>
      </c>
      <c r="G857" s="2">
        <v>138.49295912776142</v>
      </c>
      <c r="H857" s="2">
        <v>12.559203465934843</v>
      </c>
      <c r="I857" s="2">
        <v>0.83245382462628192</v>
      </c>
      <c r="J857" s="2">
        <v>9</v>
      </c>
      <c r="K857" s="2">
        <v>188.81880124088283</v>
      </c>
      <c r="L857" s="2">
        <v>45</v>
      </c>
      <c r="M857" s="2">
        <v>25</v>
      </c>
      <c r="N857" s="2">
        <v>1.2090794660367468</v>
      </c>
      <c r="O857" s="2">
        <v>52.239215355116464</v>
      </c>
      <c r="P857" s="2">
        <v>1414.6463992889039</v>
      </c>
      <c r="Q857" s="2">
        <v>1.2216806216938834</v>
      </c>
      <c r="R857" s="2">
        <v>51.473731733076839</v>
      </c>
      <c r="S857" s="2">
        <v>1420.2408450020175</v>
      </c>
      <c r="T857" s="2">
        <v>1.2601155657136598E-2</v>
      </c>
      <c r="U857" s="2">
        <v>-0.76548362203962483</v>
      </c>
      <c r="V857" s="2">
        <v>5.5944457131136005</v>
      </c>
    </row>
    <row r="858" spans="1:22" ht="15">
      <c r="A858" s="2">
        <v>857</v>
      </c>
      <c r="B858" s="2" t="s">
        <v>79</v>
      </c>
      <c r="C858" s="2" t="s">
        <v>13</v>
      </c>
      <c r="D858" s="2">
        <v>1392.6327265799046</v>
      </c>
      <c r="E858" s="2">
        <v>923.35598341887817</v>
      </c>
      <c r="F858" s="2">
        <v>640.30430186539888</v>
      </c>
      <c r="G858" s="2">
        <v>119.05605763429776</v>
      </c>
      <c r="H858" s="2">
        <v>16.214863596484065</v>
      </c>
      <c r="I858" s="2">
        <v>0.83779546876670796</v>
      </c>
      <c r="J858" s="2">
        <v>9</v>
      </c>
      <c r="K858" s="2">
        <v>184.69540047497841</v>
      </c>
      <c r="L858" s="2">
        <v>45</v>
      </c>
      <c r="M858" s="2">
        <v>25</v>
      </c>
      <c r="N858" s="2">
        <v>1.2188196731012182</v>
      </c>
      <c r="O858" s="2">
        <v>52.237377545769576</v>
      </c>
      <c r="P858" s="2">
        <v>1392.6327265799046</v>
      </c>
      <c r="Q858" s="2">
        <v>1.2178353901629198</v>
      </c>
      <c r="R858" s="2">
        <v>52.060186346577204</v>
      </c>
      <c r="S858" s="2">
        <v>1388.4449291205772</v>
      </c>
      <c r="T858" s="2">
        <v>-9.8428293829844193E-4</v>
      </c>
      <c r="U858" s="2">
        <v>-0.17719119919237158</v>
      </c>
      <c r="V858" s="2">
        <v>-4.1877974593273848</v>
      </c>
    </row>
    <row r="859" spans="1:22" ht="15">
      <c r="A859" s="2">
        <v>858</v>
      </c>
      <c r="B859" s="2" t="s">
        <v>80</v>
      </c>
      <c r="C859" s="2" t="s">
        <v>13</v>
      </c>
      <c r="D859" s="2">
        <v>1445.5498843104579</v>
      </c>
      <c r="E859" s="2">
        <v>845.23226341698319</v>
      </c>
      <c r="F859" s="2">
        <v>711.05128386989236</v>
      </c>
      <c r="G859" s="2">
        <v>194.19420107267797</v>
      </c>
      <c r="H859" s="2">
        <v>22.217059340793639</v>
      </c>
      <c r="I859" s="2">
        <v>0.80238595888484276</v>
      </c>
      <c r="J859" s="2">
        <v>10</v>
      </c>
      <c r="K859" s="2">
        <v>180.15642825049997</v>
      </c>
      <c r="L859" s="2">
        <v>35</v>
      </c>
      <c r="M859" s="2">
        <v>25</v>
      </c>
      <c r="N859" s="2">
        <v>1.1480412328948248</v>
      </c>
      <c r="O859" s="2">
        <v>52.278270269903288</v>
      </c>
      <c r="P859" s="2">
        <v>1445.5498843104579</v>
      </c>
      <c r="Q859" s="2">
        <v>1.137850648879275</v>
      </c>
      <c r="R859" s="2">
        <v>51.289844657955264</v>
      </c>
      <c r="S859" s="2">
        <v>1438.4780233993495</v>
      </c>
      <c r="T859" s="2">
        <v>-1.0190584015549842E-2</v>
      </c>
      <c r="U859" s="2">
        <v>-0.98842561194802414</v>
      </c>
      <c r="V859" s="2">
        <v>-7.0718609111083879</v>
      </c>
    </row>
    <row r="860" spans="1:22" ht="15">
      <c r="A860" s="2">
        <v>859</v>
      </c>
      <c r="B860" s="2" t="s">
        <v>80</v>
      </c>
      <c r="C860" s="2" t="s">
        <v>13</v>
      </c>
      <c r="D860" s="2">
        <v>1472.9168214602396</v>
      </c>
      <c r="E860" s="2">
        <v>1066.4889719919302</v>
      </c>
      <c r="F860" s="2">
        <v>663.56864608824253</v>
      </c>
      <c r="G860" s="2">
        <v>170.66076314775273</v>
      </c>
      <c r="H860" s="2">
        <v>22.590004556812346</v>
      </c>
      <c r="I860" s="2">
        <v>0.81077225650427864</v>
      </c>
      <c r="J860" s="2">
        <v>10</v>
      </c>
      <c r="K860" s="2">
        <v>181.668379701454</v>
      </c>
      <c r="L860" s="2">
        <v>35</v>
      </c>
      <c r="M860" s="2">
        <v>25</v>
      </c>
      <c r="N860" s="2">
        <v>1.2383954356020077</v>
      </c>
      <c r="O860" s="2">
        <v>52.304299459547735</v>
      </c>
      <c r="P860" s="2">
        <v>1472.9168214602396</v>
      </c>
      <c r="Q860" s="2">
        <v>1.2356760980244708</v>
      </c>
      <c r="R860" s="2">
        <v>51.907154693390929</v>
      </c>
      <c r="S860" s="2">
        <v>1459.5941421962993</v>
      </c>
      <c r="T860" s="2">
        <v>-2.719337577536951E-3</v>
      </c>
      <c r="U860" s="2">
        <v>-0.39714476615680638</v>
      </c>
      <c r="V860" s="2">
        <v>-13.322679263940245</v>
      </c>
    </row>
    <row r="861" spans="1:22" ht="15">
      <c r="A861" s="2">
        <v>860</v>
      </c>
      <c r="B861" s="2" t="s">
        <v>80</v>
      </c>
      <c r="C861" s="2" t="s">
        <v>13</v>
      </c>
      <c r="D861" s="2">
        <v>1451.5279144397937</v>
      </c>
      <c r="E861" s="2">
        <v>977.83673848025501</v>
      </c>
      <c r="F861" s="2">
        <v>534.96186388656497</v>
      </c>
      <c r="G861" s="2">
        <v>168.07060855906457</v>
      </c>
      <c r="H861" s="2">
        <v>11.408131774049252</v>
      </c>
      <c r="I861" s="2">
        <v>0.80824675597250462</v>
      </c>
      <c r="J861" s="2">
        <v>9</v>
      </c>
      <c r="K861" s="2">
        <v>199.54410975413285</v>
      </c>
      <c r="L861" s="2">
        <v>45</v>
      </c>
      <c r="M861" s="2">
        <v>25</v>
      </c>
      <c r="N861" s="2">
        <v>1.194210298216664</v>
      </c>
      <c r="O861" s="2">
        <v>52.237089531713615</v>
      </c>
      <c r="P861" s="2">
        <v>1451.5279144397937</v>
      </c>
      <c r="Q861" s="2">
        <v>1.2030307175406536</v>
      </c>
      <c r="R861" s="2">
        <v>52.953483722676992</v>
      </c>
      <c r="S861" s="2">
        <v>1455.5041344011645</v>
      </c>
      <c r="T861" s="2">
        <v>8.8204193239895812E-3</v>
      </c>
      <c r="U861" s="2">
        <v>0.71639419096337775</v>
      </c>
      <c r="V861" s="2">
        <v>3.9762199613708162</v>
      </c>
    </row>
    <row r="862" spans="1:22" ht="15">
      <c r="A862" s="2">
        <v>861</v>
      </c>
      <c r="B862" s="2" t="s">
        <v>78</v>
      </c>
      <c r="C862" s="2" t="s">
        <v>13</v>
      </c>
      <c r="D862" s="2">
        <v>1492.0084081124514</v>
      </c>
      <c r="E862" s="2">
        <v>1167.3354879836552</v>
      </c>
      <c r="F862" s="2">
        <v>477.12626215070486</v>
      </c>
      <c r="G862" s="2">
        <v>164.9584944662638</v>
      </c>
      <c r="H862" s="2">
        <v>16.537623684853315</v>
      </c>
      <c r="I862" s="2">
        <v>0.84491030957782642</v>
      </c>
      <c r="J862" s="2">
        <v>9</v>
      </c>
      <c r="K862" s="2">
        <v>196.20865094583675</v>
      </c>
      <c r="L862" s="2">
        <v>40</v>
      </c>
      <c r="M862" s="2">
        <v>25</v>
      </c>
      <c r="N862" s="2">
        <v>1.1798279793599991</v>
      </c>
      <c r="O862" s="2">
        <v>52.257133851639352</v>
      </c>
      <c r="P862" s="2">
        <v>1492.0084081124514</v>
      </c>
      <c r="Q862" s="2">
        <v>1.1889469591646022</v>
      </c>
      <c r="R862" s="2">
        <v>52.5705522512961</v>
      </c>
      <c r="S862" s="2">
        <v>1494.6902689006881</v>
      </c>
      <c r="T862" s="2">
        <v>9.1189798046031889E-3</v>
      </c>
      <c r="U862" s="2">
        <v>0.31341839965674723</v>
      </c>
      <c r="V862" s="2">
        <v>2.6818607882366905</v>
      </c>
    </row>
    <row r="863" spans="1:22" ht="15">
      <c r="A863" s="2">
        <v>862</v>
      </c>
      <c r="B863" s="2" t="s">
        <v>78</v>
      </c>
      <c r="C863" s="2" t="s">
        <v>13</v>
      </c>
      <c r="D863" s="2">
        <v>1398.0148129281588</v>
      </c>
      <c r="E863" s="2">
        <v>998.2309042243287</v>
      </c>
      <c r="F863" s="2">
        <v>749.5681126601994</v>
      </c>
      <c r="G863" s="2">
        <v>84.470567218959332</v>
      </c>
      <c r="H863" s="2">
        <v>23.832707571331412</v>
      </c>
      <c r="I863" s="2">
        <v>0.82424802761059257</v>
      </c>
      <c r="J863" s="2">
        <v>9</v>
      </c>
      <c r="K863" s="2">
        <v>188.45659802734312</v>
      </c>
      <c r="L863" s="2">
        <v>40</v>
      </c>
      <c r="M863" s="2">
        <v>25</v>
      </c>
      <c r="N863" s="2">
        <v>1.2320305631952047</v>
      </c>
      <c r="O863" s="2">
        <v>52.260696634901336</v>
      </c>
      <c r="P863" s="2">
        <v>1398.0148129281588</v>
      </c>
      <c r="Q863" s="2">
        <v>1.2368218540720359</v>
      </c>
      <c r="R863" s="2">
        <v>53.085089236402531</v>
      </c>
      <c r="S863" s="2">
        <v>1391.8228468581808</v>
      </c>
      <c r="T863" s="2">
        <v>4.7912908768312779E-3</v>
      </c>
      <c r="U863" s="2">
        <v>0.82439260150119509</v>
      </c>
      <c r="V863" s="2">
        <v>-6.1919660699779797</v>
      </c>
    </row>
    <row r="864" spans="1:22" ht="15">
      <c r="A864" s="2">
        <v>863</v>
      </c>
      <c r="B864" s="2" t="s">
        <v>78</v>
      </c>
      <c r="C864" s="2" t="s">
        <v>13</v>
      </c>
      <c r="D864" s="2">
        <v>1441.0357807064429</v>
      </c>
      <c r="E864" s="2">
        <v>679.25921372370794</v>
      </c>
      <c r="F864" s="2">
        <v>686.10316142439842</v>
      </c>
      <c r="G864" s="2">
        <v>210.7482099509798</v>
      </c>
      <c r="H864" s="2">
        <v>27.640337011776865</v>
      </c>
      <c r="I864" s="2">
        <v>0.83186643773457036</v>
      </c>
      <c r="J864" s="2">
        <v>9</v>
      </c>
      <c r="K864" s="2">
        <v>192.47691634393044</v>
      </c>
      <c r="L864" s="2">
        <v>45</v>
      </c>
      <c r="M864" s="2">
        <v>25</v>
      </c>
      <c r="N864" s="2">
        <v>1.2000424123204345</v>
      </c>
      <c r="O864" s="2">
        <v>52.220755042981573</v>
      </c>
      <c r="P864" s="2">
        <v>1441.0357807064429</v>
      </c>
      <c r="Q864" s="2">
        <v>1.1876742783869161</v>
      </c>
      <c r="R864" s="2">
        <v>52.022015641088771</v>
      </c>
      <c r="S864" s="2">
        <v>1423.9931588215748</v>
      </c>
      <c r="T864" s="2">
        <v>-1.2368133933518433E-2</v>
      </c>
      <c r="U864" s="2">
        <v>-0.19873940189280148</v>
      </c>
      <c r="V864" s="2">
        <v>-17.04262188486814</v>
      </c>
    </row>
    <row r="865" spans="1:22" ht="15">
      <c r="A865" s="2">
        <v>864</v>
      </c>
      <c r="B865" s="2" t="s">
        <v>78</v>
      </c>
      <c r="C865" s="2" t="s">
        <v>13</v>
      </c>
      <c r="D865" s="2">
        <v>1424.4108697283082</v>
      </c>
      <c r="E865" s="2">
        <v>766.16040170192719</v>
      </c>
      <c r="F865" s="2">
        <v>378.36128165945411</v>
      </c>
      <c r="G865" s="2">
        <v>177.98836999107152</v>
      </c>
      <c r="H865" s="2">
        <v>21.250721575226635</v>
      </c>
      <c r="I865" s="2">
        <v>0.84893840755335992</v>
      </c>
      <c r="J865" s="2">
        <v>9</v>
      </c>
      <c r="K865" s="2">
        <v>186.43033818010943</v>
      </c>
      <c r="L865" s="2">
        <v>55</v>
      </c>
      <c r="M865" s="2">
        <v>25</v>
      </c>
      <c r="N865" s="2">
        <v>1.1794711262033113</v>
      </c>
      <c r="O865" s="2">
        <v>52.181212380068978</v>
      </c>
      <c r="P865" s="2">
        <v>1424.4108697283082</v>
      </c>
      <c r="Q865" s="2">
        <v>1.1683345894697885</v>
      </c>
      <c r="R865" s="2">
        <v>51.75959260852337</v>
      </c>
      <c r="S865" s="2">
        <v>1426.4849271553451</v>
      </c>
      <c r="T865" s="2">
        <v>-1.1136536733522773E-2</v>
      </c>
      <c r="U865" s="2">
        <v>-0.42161977154560759</v>
      </c>
      <c r="V865" s="2">
        <v>2.0740574270369052</v>
      </c>
    </row>
    <row r="866" spans="1:22" ht="15">
      <c r="A866" s="2">
        <v>865</v>
      </c>
      <c r="B866" s="2" t="s">
        <v>78</v>
      </c>
      <c r="C866" s="2" t="s">
        <v>13</v>
      </c>
      <c r="D866" s="2">
        <v>1365.4822706244886</v>
      </c>
      <c r="E866" s="2">
        <v>868.32616546889767</v>
      </c>
      <c r="F866" s="2">
        <v>727.85926107317209</v>
      </c>
      <c r="G866" s="2">
        <v>255.60313182184473</v>
      </c>
      <c r="H866" s="2">
        <v>17.857121938839555</v>
      </c>
      <c r="I866" s="2">
        <v>0.81255508917616681</v>
      </c>
      <c r="J866" s="2">
        <v>9</v>
      </c>
      <c r="K866" s="2">
        <v>186.71995820669335</v>
      </c>
      <c r="L866" s="2">
        <v>40</v>
      </c>
      <c r="M866" s="2">
        <v>25</v>
      </c>
      <c r="N866" s="2">
        <v>1.212428165166707</v>
      </c>
      <c r="O866" s="2">
        <v>52.263740130962887</v>
      </c>
      <c r="P866" s="2">
        <v>1365.4822706244886</v>
      </c>
      <c r="Q866" s="2">
        <v>1.2093878991154314</v>
      </c>
      <c r="R866" s="2">
        <v>52.838555999005571</v>
      </c>
      <c r="S866" s="2">
        <v>1364.7138897912444</v>
      </c>
      <c r="T866" s="2">
        <v>-3.0402660512756086E-3</v>
      </c>
      <c r="U866" s="2">
        <v>0.57481586804268403</v>
      </c>
      <c r="V866" s="2">
        <v>-0.76838083324423678</v>
      </c>
    </row>
    <row r="867" spans="1:22" ht="15">
      <c r="A867" s="2">
        <v>866</v>
      </c>
      <c r="B867" s="2" t="s">
        <v>78</v>
      </c>
      <c r="C867" s="2" t="s">
        <v>13</v>
      </c>
      <c r="D867" s="2">
        <v>1395.6355908536352</v>
      </c>
      <c r="E867" s="2">
        <v>1108.1953200744465</v>
      </c>
      <c r="F867" s="2">
        <v>638.36375409737229</v>
      </c>
      <c r="G867" s="2">
        <v>312.63507359661162</v>
      </c>
      <c r="H867" s="2">
        <v>26.030794598627836</v>
      </c>
      <c r="I867" s="2">
        <v>0.80773156127426782</v>
      </c>
      <c r="J867" s="2">
        <v>9</v>
      </c>
      <c r="K867" s="2">
        <v>191.98286737901128</v>
      </c>
      <c r="L867" s="2">
        <v>35</v>
      </c>
      <c r="M867" s="2">
        <v>25</v>
      </c>
      <c r="N867" s="2">
        <v>1.243839482641415</v>
      </c>
      <c r="O867" s="2">
        <v>52.296079847490788</v>
      </c>
      <c r="P867" s="2">
        <v>1395.6355908536352</v>
      </c>
      <c r="Q867" s="2">
        <v>1.2552432053976736</v>
      </c>
      <c r="R867" s="2">
        <v>52.197123604168333</v>
      </c>
      <c r="S867" s="2">
        <v>1379.4441977861636</v>
      </c>
      <c r="T867" s="2">
        <v>1.1403722756258672E-2</v>
      </c>
      <c r="U867" s="2">
        <v>-9.8956243322454895E-2</v>
      </c>
      <c r="V867" s="2">
        <v>-16.191393067471608</v>
      </c>
    </row>
    <row r="868" spans="1:22" ht="15">
      <c r="A868" s="2">
        <v>867</v>
      </c>
      <c r="B868" s="2" t="s">
        <v>78</v>
      </c>
      <c r="C868" s="2" t="s">
        <v>13</v>
      </c>
      <c r="D868" s="2">
        <v>1372.7899871533737</v>
      </c>
      <c r="E868" s="2">
        <v>1201.3655492686667</v>
      </c>
      <c r="F868" s="2">
        <v>654.2096059769392</v>
      </c>
      <c r="G868" s="2">
        <v>198.00997116370127</v>
      </c>
      <c r="H868" s="2">
        <v>17.351606269367039</v>
      </c>
      <c r="I868" s="2">
        <v>0.85242413409752771</v>
      </c>
      <c r="J868" s="2">
        <v>9</v>
      </c>
      <c r="K868" s="2">
        <v>178.93935036964561</v>
      </c>
      <c r="L868" s="2">
        <v>35</v>
      </c>
      <c r="M868" s="2">
        <v>25</v>
      </c>
      <c r="N868" s="2">
        <v>1.1897333044572516</v>
      </c>
      <c r="O868" s="2">
        <v>52.295205260835374</v>
      </c>
      <c r="P868" s="2">
        <v>1372.7899871533737</v>
      </c>
      <c r="Q868" s="2">
        <v>1.1955289392486601</v>
      </c>
      <c r="R868" s="2">
        <v>53.98491699059965</v>
      </c>
      <c r="S868" s="2">
        <v>1370.9566083022214</v>
      </c>
      <c r="T868" s="2">
        <v>5.7956347914085438E-3</v>
      </c>
      <c r="U868" s="2">
        <v>1.6897117297642765</v>
      </c>
      <c r="V868" s="2">
        <v>-1.8333788511522471</v>
      </c>
    </row>
    <row r="869" spans="1:22" ht="15">
      <c r="A869" s="2">
        <v>868</v>
      </c>
      <c r="B869" s="2" t="s">
        <v>78</v>
      </c>
      <c r="C869" s="2" t="s">
        <v>13</v>
      </c>
      <c r="D869" s="2">
        <v>1389.571908430662</v>
      </c>
      <c r="E869" s="2">
        <v>670.59322227723897</v>
      </c>
      <c r="F869" s="2">
        <v>711.08012525364757</v>
      </c>
      <c r="G869" s="2">
        <v>198.69688553269953</v>
      </c>
      <c r="H869" s="2">
        <v>29.331931270193309</v>
      </c>
      <c r="I869" s="2">
        <v>0.79028958974406127</v>
      </c>
      <c r="J869" s="2">
        <v>9</v>
      </c>
      <c r="K869" s="2">
        <v>195.36747126394528</v>
      </c>
      <c r="L869" s="2">
        <v>45</v>
      </c>
      <c r="M869" s="2">
        <v>25</v>
      </c>
      <c r="N869" s="2">
        <v>1.2106661618981571</v>
      </c>
      <c r="O869" s="2">
        <v>52.221419228590435</v>
      </c>
      <c r="P869" s="2">
        <v>1389.571908430662</v>
      </c>
      <c r="Q869" s="2">
        <v>1.2010021725826958</v>
      </c>
      <c r="R869" s="2">
        <v>52.112973156757604</v>
      </c>
      <c r="S869" s="2">
        <v>1371.8534773648587</v>
      </c>
      <c r="T869" s="2">
        <v>-9.6639893154613077E-3</v>
      </c>
      <c r="U869" s="2">
        <v>-0.10844607183283017</v>
      </c>
      <c r="V869" s="2">
        <v>-17.718431065803316</v>
      </c>
    </row>
    <row r="870" spans="1:22" ht="15">
      <c r="A870" s="2">
        <v>869</v>
      </c>
      <c r="B870" s="2" t="s">
        <v>78</v>
      </c>
      <c r="C870" s="2" t="s">
        <v>13</v>
      </c>
      <c r="D870" s="2">
        <v>1384.4513206277043</v>
      </c>
      <c r="E870" s="2">
        <v>1119.4714432465844</v>
      </c>
      <c r="F870" s="2">
        <v>631.54720198363066</v>
      </c>
      <c r="G870" s="2">
        <v>111.75561997340992</v>
      </c>
      <c r="H870" s="2">
        <v>15.24708453565836</v>
      </c>
      <c r="I870" s="2">
        <v>0.81093703860649846</v>
      </c>
      <c r="J870" s="2">
        <v>9</v>
      </c>
      <c r="K870" s="2">
        <v>189.6915755365236</v>
      </c>
      <c r="L870" s="2">
        <v>40</v>
      </c>
      <c r="M870" s="2">
        <v>25</v>
      </c>
      <c r="N870" s="2">
        <v>1.2050729208017037</v>
      </c>
      <c r="O870" s="2">
        <v>52.265453077301878</v>
      </c>
      <c r="P870" s="2">
        <v>1384.4513206277043</v>
      </c>
      <c r="Q870" s="2">
        <v>1.2169591227433008</v>
      </c>
      <c r="R870" s="2">
        <v>53.723544022173762</v>
      </c>
      <c r="S870" s="2">
        <v>1377.3159229326554</v>
      </c>
      <c r="T870" s="2">
        <v>1.1886201941597063E-2</v>
      </c>
      <c r="U870" s="2">
        <v>1.4580909448718842</v>
      </c>
      <c r="V870" s="2">
        <v>-7.1353976950488232</v>
      </c>
    </row>
    <row r="871" spans="1:22" ht="15">
      <c r="A871" s="2">
        <v>870</v>
      </c>
      <c r="B871" s="2" t="s">
        <v>78</v>
      </c>
      <c r="C871" s="2" t="s">
        <v>13</v>
      </c>
      <c r="D871" s="2">
        <v>1496.7136073042639</v>
      </c>
      <c r="E871" s="2">
        <v>1044.6360781555995</v>
      </c>
      <c r="F871" s="2">
        <v>640.11454256251454</v>
      </c>
      <c r="G871" s="2">
        <v>207.1162866614759</v>
      </c>
      <c r="H871" s="2">
        <v>12.054352401290089</v>
      </c>
      <c r="I871" s="2">
        <v>0.82221353159751742</v>
      </c>
      <c r="J871" s="2">
        <v>10</v>
      </c>
      <c r="K871" s="2">
        <v>182.03466007135987</v>
      </c>
      <c r="L871" s="2">
        <v>35</v>
      </c>
      <c r="M871" s="2">
        <v>25</v>
      </c>
      <c r="N871" s="2">
        <v>1.1754952232403666</v>
      </c>
      <c r="O871" s="2">
        <v>52.30276594170352</v>
      </c>
      <c r="P871" s="2">
        <v>1496.7136073042639</v>
      </c>
      <c r="Q871" s="2">
        <v>1.1881006185891576</v>
      </c>
      <c r="R871" s="2">
        <v>53.198188063203453</v>
      </c>
      <c r="S871" s="2">
        <v>1496.5313493082349</v>
      </c>
      <c r="T871" s="2">
        <v>1.2605395348791015E-2</v>
      </c>
      <c r="U871" s="2">
        <v>0.89542212149993361</v>
      </c>
      <c r="V871" s="2">
        <v>-0.18225799602896586</v>
      </c>
    </row>
    <row r="872" spans="1:22" ht="15">
      <c r="A872" s="2">
        <v>871</v>
      </c>
      <c r="B872" s="2" t="s">
        <v>78</v>
      </c>
      <c r="C872" s="2" t="s">
        <v>13</v>
      </c>
      <c r="D872" s="2">
        <v>1486.170971696265</v>
      </c>
      <c r="E872" s="2">
        <v>1128.9826598134823</v>
      </c>
      <c r="F872" s="2">
        <v>390.16628861427307</v>
      </c>
      <c r="G872" s="2">
        <v>258.73928876360878</v>
      </c>
      <c r="H872" s="2">
        <v>14.480869042687118</v>
      </c>
      <c r="I872" s="2">
        <v>0.8082533723837696</v>
      </c>
      <c r="J872" s="2">
        <v>10</v>
      </c>
      <c r="K872" s="2">
        <v>183.87439167907502</v>
      </c>
      <c r="L872" s="2">
        <v>40</v>
      </c>
      <c r="M872" s="2">
        <v>25</v>
      </c>
      <c r="N872" s="2">
        <v>1.2609387726030856</v>
      </c>
      <c r="O872" s="2">
        <v>52.283019137093405</v>
      </c>
      <c r="P872" s="2">
        <v>1486.170971696265</v>
      </c>
      <c r="Q872" s="2">
        <v>1.2787640649547392</v>
      </c>
      <c r="R872" s="2">
        <v>53.803669053531436</v>
      </c>
      <c r="S872" s="2">
        <v>1483.2436875344952</v>
      </c>
      <c r="T872" s="2">
        <v>1.7825292351653532E-2</v>
      </c>
      <c r="U872" s="2">
        <v>1.5206499164380318</v>
      </c>
      <c r="V872" s="2">
        <v>-2.9272841617698759</v>
      </c>
    </row>
    <row r="873" spans="1:22" ht="15">
      <c r="A873" s="2">
        <v>872</v>
      </c>
      <c r="B873" s="2" t="s">
        <v>78</v>
      </c>
      <c r="C873" s="2" t="s">
        <v>13</v>
      </c>
      <c r="D873" s="2">
        <v>1372.1465834300034</v>
      </c>
      <c r="E873" s="2">
        <v>717.84076327458024</v>
      </c>
      <c r="F873" s="2">
        <v>657.65157109126449</v>
      </c>
      <c r="G873" s="2">
        <v>221.12367259804159</v>
      </c>
      <c r="H873" s="2">
        <v>24.733045858796686</v>
      </c>
      <c r="I873" s="2">
        <v>0.81020966486074031</v>
      </c>
      <c r="J873" s="2">
        <v>9</v>
      </c>
      <c r="K873" s="2">
        <v>188.17441719660022</v>
      </c>
      <c r="L873" s="2">
        <v>45</v>
      </c>
      <c r="M873" s="2">
        <v>25</v>
      </c>
      <c r="N873" s="2">
        <v>1.2006041399162848</v>
      </c>
      <c r="O873" s="2">
        <v>52.223952350885845</v>
      </c>
      <c r="P873" s="2">
        <v>1372.1465834300034</v>
      </c>
      <c r="Q873" s="2">
        <v>1.1933632969387171</v>
      </c>
      <c r="R873" s="2">
        <v>51.183674299547931</v>
      </c>
      <c r="S873" s="2">
        <v>1369.3918827041623</v>
      </c>
      <c r="T873" s="2">
        <v>-7.240842977567663E-3</v>
      </c>
      <c r="U873" s="2">
        <v>-1.0402780513379142</v>
      </c>
      <c r="V873" s="2">
        <v>-2.7547007258410758</v>
      </c>
    </row>
    <row r="874" spans="1:22" ht="15">
      <c r="A874" s="2">
        <v>873</v>
      </c>
      <c r="B874" s="2" t="s">
        <v>78</v>
      </c>
      <c r="C874" s="2" t="s">
        <v>13</v>
      </c>
      <c r="D874" s="2">
        <v>1482.7574422582984</v>
      </c>
      <c r="E874" s="2">
        <v>890.26915695285425</v>
      </c>
      <c r="F874" s="2">
        <v>640.41300434619188</v>
      </c>
      <c r="G874" s="2">
        <v>205.30408386373892</v>
      </c>
      <c r="H874" s="2">
        <v>15.850504925474524</v>
      </c>
      <c r="I874" s="2">
        <v>0.80560545281739904</v>
      </c>
      <c r="J874" s="2">
        <v>10</v>
      </c>
      <c r="K874" s="2">
        <v>184.05504047579782</v>
      </c>
      <c r="L874" s="2">
        <v>40</v>
      </c>
      <c r="M874" s="2">
        <v>25</v>
      </c>
      <c r="N874" s="2">
        <v>1.2396017131695096</v>
      </c>
      <c r="O874" s="2">
        <v>52.275759616974455</v>
      </c>
      <c r="P874" s="2">
        <v>1482.7574422582984</v>
      </c>
      <c r="Q874" s="2">
        <v>1.238029330545984</v>
      </c>
      <c r="R874" s="2">
        <v>51.46171033739644</v>
      </c>
      <c r="S874" s="2">
        <v>1479.9043367878833</v>
      </c>
      <c r="T874" s="2">
        <v>-1.5723826235256588E-3</v>
      </c>
      <c r="U874" s="2">
        <v>-0.81404927957801476</v>
      </c>
      <c r="V874" s="2">
        <v>-2.8531054704151302</v>
      </c>
    </row>
    <row r="875" spans="1:22" ht="15">
      <c r="A875" s="2">
        <v>874</v>
      </c>
      <c r="B875" s="2" t="s">
        <v>78</v>
      </c>
      <c r="C875" s="2" t="s">
        <v>13</v>
      </c>
      <c r="D875" s="2">
        <v>1374.6722836629488</v>
      </c>
      <c r="E875" s="2">
        <v>896.28848473075777</v>
      </c>
      <c r="F875" s="2">
        <v>376.76347503438592</v>
      </c>
      <c r="G875" s="2">
        <v>184.81800022535026</v>
      </c>
      <c r="H875" s="2">
        <v>29.194104303140193</v>
      </c>
      <c r="I875" s="2">
        <v>0.85891398128587759</v>
      </c>
      <c r="J875" s="2">
        <v>9</v>
      </c>
      <c r="K875" s="2">
        <v>177.83080515556412</v>
      </c>
      <c r="L875" s="2">
        <v>50</v>
      </c>
      <c r="M875" s="2">
        <v>25</v>
      </c>
      <c r="N875" s="2">
        <v>1.2235453565526837</v>
      </c>
      <c r="O875" s="2">
        <v>52.202318373511517</v>
      </c>
      <c r="P875" s="2">
        <v>1374.6722836629488</v>
      </c>
      <c r="Q875" s="2">
        <v>1.2233762945448026</v>
      </c>
      <c r="R875" s="2">
        <v>52.016382412854227</v>
      </c>
      <c r="S875" s="2">
        <v>1371.7600577549028</v>
      </c>
      <c r="T875" s="2">
        <v>-1.6906200788113779E-4</v>
      </c>
      <c r="U875" s="2">
        <v>-0.18593596065728946</v>
      </c>
      <c r="V875" s="2">
        <v>-2.9122259080459116</v>
      </c>
    </row>
    <row r="876" spans="1:22" ht="15">
      <c r="A876" s="2">
        <v>875</v>
      </c>
      <c r="B876" s="2" t="s">
        <v>79</v>
      </c>
      <c r="C876" s="2" t="s">
        <v>13</v>
      </c>
      <c r="D876" s="2">
        <v>1456.1509704915807</v>
      </c>
      <c r="E876" s="2">
        <v>1161.4600083441474</v>
      </c>
      <c r="F876" s="2">
        <v>487.74352259933949</v>
      </c>
      <c r="G876" s="2">
        <v>99.613659183960408</v>
      </c>
      <c r="H876" s="2">
        <v>28.686175392009318</v>
      </c>
      <c r="I876" s="2">
        <v>0.85773416272131731</v>
      </c>
      <c r="J876" s="2">
        <v>9</v>
      </c>
      <c r="K876" s="2">
        <v>188.63018323010445</v>
      </c>
      <c r="L876" s="2">
        <v>40</v>
      </c>
      <c r="M876" s="2">
        <v>25</v>
      </c>
      <c r="N876" s="2">
        <v>1.2063144754139432</v>
      </c>
      <c r="O876" s="2">
        <v>52.247684320370624</v>
      </c>
      <c r="P876" s="2">
        <v>1456.1509704915807</v>
      </c>
      <c r="Q876" s="2">
        <v>1.1929302957495509</v>
      </c>
      <c r="R876" s="2">
        <v>53.996522823596457</v>
      </c>
      <c r="S876" s="2">
        <v>1440.1597980304678</v>
      </c>
      <c r="T876" s="2">
        <v>-1.3384179664392315E-2</v>
      </c>
      <c r="U876" s="2">
        <v>1.7488385032258336</v>
      </c>
      <c r="V876" s="2">
        <v>-15.99117246111291</v>
      </c>
    </row>
    <row r="877" spans="1:22" ht="15">
      <c r="A877" s="2">
        <v>876</v>
      </c>
      <c r="B877" s="2" t="s">
        <v>79</v>
      </c>
      <c r="C877" s="2" t="s">
        <v>13</v>
      </c>
      <c r="D877" s="2">
        <v>1412.7937859273516</v>
      </c>
      <c r="E877" s="2">
        <v>868.36732341907918</v>
      </c>
      <c r="F877" s="2">
        <v>486.89743084833026</v>
      </c>
      <c r="G877" s="2">
        <v>136.56875378917903</v>
      </c>
      <c r="H877" s="2">
        <v>22.424777525942773</v>
      </c>
      <c r="I877" s="2">
        <v>0.80274275321513422</v>
      </c>
      <c r="J877" s="2">
        <v>9</v>
      </c>
      <c r="K877" s="2">
        <v>195.5509242488192</v>
      </c>
      <c r="L877" s="2">
        <v>50</v>
      </c>
      <c r="M877" s="2">
        <v>25</v>
      </c>
      <c r="N877" s="2">
        <v>1.2207145386355931</v>
      </c>
      <c r="O877" s="2">
        <v>52.207614139743725</v>
      </c>
      <c r="P877" s="2">
        <v>1412.7937859273516</v>
      </c>
      <c r="Q877" s="2">
        <v>1.2084520172071787</v>
      </c>
      <c r="R877" s="2">
        <v>51.031961280017647</v>
      </c>
      <c r="S877" s="2">
        <v>1407.9492530652001</v>
      </c>
      <c r="T877" s="2">
        <v>-1.2262521428414441E-2</v>
      </c>
      <c r="U877" s="2">
        <v>-1.1756528597260782</v>
      </c>
      <c r="V877" s="2">
        <v>-4.8445328621514818</v>
      </c>
    </row>
    <row r="878" spans="1:22" ht="15">
      <c r="A878" s="2">
        <v>877</v>
      </c>
      <c r="B878" s="2" t="s">
        <v>79</v>
      </c>
      <c r="C878" s="2" t="s">
        <v>13</v>
      </c>
      <c r="D878" s="2">
        <v>1427.2898142691702</v>
      </c>
      <c r="E878" s="2">
        <v>875.19520771456882</v>
      </c>
      <c r="F878" s="2">
        <v>446.34786155074835</v>
      </c>
      <c r="G878" s="2">
        <v>279.17184283258393</v>
      </c>
      <c r="H878" s="2">
        <v>14.222295198589563</v>
      </c>
      <c r="I878" s="2">
        <v>0.82534658812219286</v>
      </c>
      <c r="J878" s="2">
        <v>9</v>
      </c>
      <c r="K878" s="2">
        <v>192.14686220710462</v>
      </c>
      <c r="L878" s="2">
        <v>45</v>
      </c>
      <c r="M878" s="2">
        <v>25</v>
      </c>
      <c r="N878" s="2">
        <v>1.1536230505575638</v>
      </c>
      <c r="O878" s="2">
        <v>52.224591472668862</v>
      </c>
      <c r="P878" s="2">
        <v>1427.2898142691702</v>
      </c>
      <c r="Q878" s="2">
        <v>1.1510801874349841</v>
      </c>
      <c r="R878" s="2">
        <v>51.590072334644738</v>
      </c>
      <c r="S878" s="2">
        <v>1437.0639299455929</v>
      </c>
      <c r="T878" s="2">
        <v>-2.542863122579675E-3</v>
      </c>
      <c r="U878" s="2">
        <v>-0.63451913802412463</v>
      </c>
      <c r="V878" s="2">
        <v>9.7741156764227526</v>
      </c>
    </row>
    <row r="879" spans="1:22" ht="15">
      <c r="A879" s="2">
        <v>878</v>
      </c>
      <c r="B879" s="2" t="s">
        <v>80</v>
      </c>
      <c r="C879" s="2" t="s">
        <v>13</v>
      </c>
      <c r="D879" s="2">
        <v>1426.8064631265588</v>
      </c>
      <c r="E879" s="2">
        <v>1091.5990353329107</v>
      </c>
      <c r="F879" s="2">
        <v>680.91181265190244</v>
      </c>
      <c r="G879" s="2">
        <v>254.61349815130234</v>
      </c>
      <c r="H879" s="2">
        <v>16.098401496652514</v>
      </c>
      <c r="I879" s="2">
        <v>0.79936953477095818</v>
      </c>
      <c r="J879" s="2">
        <v>9</v>
      </c>
      <c r="K879" s="2">
        <v>198.32385969516713</v>
      </c>
      <c r="L879" s="2">
        <v>35</v>
      </c>
      <c r="M879" s="2">
        <v>25</v>
      </c>
      <c r="N879" s="2">
        <v>1.1681913327326099</v>
      </c>
      <c r="O879" s="2">
        <v>52.291079363671273</v>
      </c>
      <c r="P879" s="2">
        <v>1426.8064631265588</v>
      </c>
      <c r="Q879" s="2">
        <v>1.1864969832893051</v>
      </c>
      <c r="R879" s="2">
        <v>53.469324765050203</v>
      </c>
      <c r="S879" s="2">
        <v>1412.0854766945508</v>
      </c>
      <c r="T879" s="2">
        <v>1.8305650556695197E-2</v>
      </c>
      <c r="U879" s="2">
        <v>1.1782454013789305</v>
      </c>
      <c r="V879" s="2">
        <v>-14.720986432007976</v>
      </c>
    </row>
    <row r="880" spans="1:22" ht="15">
      <c r="A880" s="2">
        <v>879</v>
      </c>
      <c r="B880" s="2" t="s">
        <v>80</v>
      </c>
      <c r="C880" s="2" t="s">
        <v>13</v>
      </c>
      <c r="D880" s="2">
        <v>1482.2335841367021</v>
      </c>
      <c r="E880" s="2">
        <v>782.19647343503311</v>
      </c>
      <c r="F880" s="2">
        <v>496.70069590210915</v>
      </c>
      <c r="G880" s="2">
        <v>248.9210296026431</v>
      </c>
      <c r="H880" s="2">
        <v>15.551837279461324</v>
      </c>
      <c r="I880" s="2">
        <v>0.85726710697403186</v>
      </c>
      <c r="J880" s="2">
        <v>9</v>
      </c>
      <c r="K880" s="2">
        <v>192.11354211520262</v>
      </c>
      <c r="L880" s="2">
        <v>50</v>
      </c>
      <c r="M880" s="2">
        <v>25</v>
      </c>
      <c r="N880" s="2">
        <v>1.2181642246451299</v>
      </c>
      <c r="O880" s="2">
        <v>52.213225052669685</v>
      </c>
      <c r="P880" s="2">
        <v>1482.2335841367021</v>
      </c>
      <c r="Q880" s="2">
        <v>1.2311491032437512</v>
      </c>
      <c r="R880" s="2">
        <v>51.404613284697263</v>
      </c>
      <c r="S880" s="2">
        <v>1496.7465495023559</v>
      </c>
      <c r="T880" s="2">
        <v>1.2984878598621297E-2</v>
      </c>
      <c r="U880" s="2">
        <v>-0.80861176797242251</v>
      </c>
      <c r="V880" s="2">
        <v>14.512965365653827</v>
      </c>
    </row>
    <row r="881" spans="1:22" ht="15">
      <c r="A881" s="2">
        <v>880</v>
      </c>
      <c r="B881" s="2" t="s">
        <v>80</v>
      </c>
      <c r="C881" s="2" t="s">
        <v>13</v>
      </c>
      <c r="D881" s="2">
        <v>1479.7410335275345</v>
      </c>
      <c r="E881" s="2">
        <v>1160.0513326004148</v>
      </c>
      <c r="F881" s="2">
        <v>748.67131551727653</v>
      </c>
      <c r="G881" s="2">
        <v>121.1803649039939</v>
      </c>
      <c r="H881" s="2">
        <v>12.919975602533668</v>
      </c>
      <c r="I881" s="2">
        <v>0.83958323604427276</v>
      </c>
      <c r="J881" s="2">
        <v>9</v>
      </c>
      <c r="K881" s="2">
        <v>195.83010157110655</v>
      </c>
      <c r="L881" s="2">
        <v>35</v>
      </c>
      <c r="M881" s="2">
        <v>25</v>
      </c>
      <c r="N881" s="2">
        <v>1.1502687668933933</v>
      </c>
      <c r="O881" s="2">
        <v>52.291512627305401</v>
      </c>
      <c r="P881" s="2">
        <v>1479.7410335275345</v>
      </c>
      <c r="Q881" s="2">
        <v>1.1642335399294472</v>
      </c>
      <c r="R881" s="2">
        <v>53.061364638712014</v>
      </c>
      <c r="S881" s="2">
        <v>1468.7495629040338</v>
      </c>
      <c r="T881" s="2">
        <v>1.3964773036053924E-2</v>
      </c>
      <c r="U881" s="2">
        <v>0.76985201140661275</v>
      </c>
      <c r="V881" s="2">
        <v>-10.991470623500618</v>
      </c>
    </row>
    <row r="882" spans="1:22" ht="15">
      <c r="A882" s="2">
        <v>881</v>
      </c>
      <c r="B882" s="2" t="s">
        <v>78</v>
      </c>
      <c r="C882" s="2" t="s">
        <v>13</v>
      </c>
      <c r="D882" s="2">
        <v>1461.9759988971055</v>
      </c>
      <c r="E882" s="2">
        <v>751.55573500087485</v>
      </c>
      <c r="F882" s="2">
        <v>481.22862372547388</v>
      </c>
      <c r="G882" s="2">
        <v>217.0836459682323</v>
      </c>
      <c r="H882" s="2">
        <v>26.904359327629209</v>
      </c>
      <c r="I882" s="2">
        <v>0.81514691903488712</v>
      </c>
      <c r="J882" s="2">
        <v>9</v>
      </c>
      <c r="K882" s="2">
        <v>199.27914080514566</v>
      </c>
      <c r="L882" s="2">
        <v>50</v>
      </c>
      <c r="M882" s="2">
        <v>25</v>
      </c>
      <c r="N882" s="2">
        <v>1.2079517203978847</v>
      </c>
      <c r="O882" s="2">
        <v>52.201070668631999</v>
      </c>
      <c r="P882" s="2">
        <v>1461.9759988971055</v>
      </c>
      <c r="Q882" s="2">
        <v>1.1864947835075046</v>
      </c>
      <c r="R882" s="2">
        <v>51.941151338279205</v>
      </c>
      <c r="S882" s="2">
        <v>1451.517986235918</v>
      </c>
      <c r="T882" s="2">
        <v>-2.1456936890380085E-2</v>
      </c>
      <c r="U882" s="2">
        <v>-0.25991933035279402</v>
      </c>
      <c r="V882" s="2">
        <v>-10.458012661187468</v>
      </c>
    </row>
    <row r="883" spans="1:22" ht="15">
      <c r="A883" s="2">
        <v>882</v>
      </c>
      <c r="B883" s="2" t="s">
        <v>78</v>
      </c>
      <c r="C883" s="2" t="s">
        <v>13</v>
      </c>
      <c r="D883" s="2">
        <v>1391.7720347293653</v>
      </c>
      <c r="E883" s="2">
        <v>953.2450680853799</v>
      </c>
      <c r="F883" s="2">
        <v>719.47630727663636</v>
      </c>
      <c r="G883" s="2">
        <v>232.99802017398179</v>
      </c>
      <c r="H883" s="2">
        <v>15.792143941391259</v>
      </c>
      <c r="I883" s="2">
        <v>0.83323308082763115</v>
      </c>
      <c r="J883" s="2">
        <v>9</v>
      </c>
      <c r="K883" s="2">
        <v>185.59193189803511</v>
      </c>
      <c r="L883" s="2">
        <v>40</v>
      </c>
      <c r="M883" s="2">
        <v>25</v>
      </c>
      <c r="N883" s="2">
        <v>1.2338976863745705</v>
      </c>
      <c r="O883" s="2">
        <v>52.272149296748943</v>
      </c>
      <c r="P883" s="2">
        <v>1391.7720347293653</v>
      </c>
      <c r="Q883" s="2">
        <v>1.246146190675548</v>
      </c>
      <c r="R883" s="2">
        <v>51.753165251935229</v>
      </c>
      <c r="S883" s="2">
        <v>1392.6497235173422</v>
      </c>
      <c r="T883" s="2">
        <v>1.2248504300977459E-2</v>
      </c>
      <c r="U883" s="2">
        <v>-0.5189840448137133</v>
      </c>
      <c r="V883" s="2">
        <v>0.87768878797692196</v>
      </c>
    </row>
    <row r="884" spans="1:22" ht="15">
      <c r="A884" s="2">
        <v>883</v>
      </c>
      <c r="B884" s="2" t="s">
        <v>78</v>
      </c>
      <c r="C884" s="2" t="s">
        <v>13</v>
      </c>
      <c r="D884" s="2">
        <v>1480.5649837246165</v>
      </c>
      <c r="E884" s="2">
        <v>664.75912366295233</v>
      </c>
      <c r="F884" s="2">
        <v>709.23646651208401</v>
      </c>
      <c r="G884" s="2">
        <v>188.65513485623524</v>
      </c>
      <c r="H884" s="2">
        <v>29.767993998713791</v>
      </c>
      <c r="I884" s="2">
        <v>0.83264974151505156</v>
      </c>
      <c r="J884" s="2">
        <v>9</v>
      </c>
      <c r="K884" s="2">
        <v>197.5707337811892</v>
      </c>
      <c r="L884" s="2">
        <v>45</v>
      </c>
      <c r="M884" s="2">
        <v>25</v>
      </c>
      <c r="N884" s="2">
        <v>1.2005678268786377</v>
      </c>
      <c r="O884" s="2">
        <v>52.218656314300503</v>
      </c>
      <c r="P884" s="2">
        <v>1480.5649837246165</v>
      </c>
      <c r="Q884" s="2">
        <v>1.1911218944058934</v>
      </c>
      <c r="R884" s="2">
        <v>52.071176327347366</v>
      </c>
      <c r="S884" s="2">
        <v>1474.9682393298915</v>
      </c>
      <c r="T884" s="2">
        <v>-9.4459324727442784E-3</v>
      </c>
      <c r="U884" s="2">
        <v>-0.14747998695313669</v>
      </c>
      <c r="V884" s="2">
        <v>-5.5967443947249649</v>
      </c>
    </row>
    <row r="885" spans="1:22" ht="15">
      <c r="A885" s="2">
        <v>884</v>
      </c>
      <c r="B885" s="2" t="s">
        <v>78</v>
      </c>
      <c r="C885" s="2" t="s">
        <v>13</v>
      </c>
      <c r="D885" s="2">
        <v>1492.304367700126</v>
      </c>
      <c r="E885" s="2">
        <v>656.57707550562918</v>
      </c>
      <c r="F885" s="2">
        <v>448.49242446944118</v>
      </c>
      <c r="G885" s="2">
        <v>328.29199106898159</v>
      </c>
      <c r="H885" s="2">
        <v>11.119695901405066</v>
      </c>
      <c r="I885" s="2">
        <v>0.7995893053151667</v>
      </c>
      <c r="J885" s="2">
        <v>10</v>
      </c>
      <c r="K885" s="2">
        <v>186.63385787931696</v>
      </c>
      <c r="L885" s="2">
        <v>50</v>
      </c>
      <c r="M885" s="2">
        <v>25</v>
      </c>
      <c r="N885" s="2">
        <v>1.2424145122151105</v>
      </c>
      <c r="O885" s="2">
        <v>52.223329878323376</v>
      </c>
      <c r="P885" s="2">
        <v>1492.304367700126</v>
      </c>
      <c r="Q885" s="2">
        <v>1.2475260377387978</v>
      </c>
      <c r="R885" s="2">
        <v>52.134151597541269</v>
      </c>
      <c r="S885" s="2">
        <v>1504.5013367254289</v>
      </c>
      <c r="T885" s="2">
        <v>5.1115255236873214E-3</v>
      </c>
      <c r="U885" s="2">
        <v>-8.9178280782107322E-2</v>
      </c>
      <c r="V885" s="2">
        <v>12.196969025302906</v>
      </c>
    </row>
    <row r="886" spans="1:22" ht="15">
      <c r="A886" s="2">
        <v>885</v>
      </c>
      <c r="B886" s="2" t="s">
        <v>78</v>
      </c>
      <c r="C886" s="2" t="s">
        <v>13</v>
      </c>
      <c r="D886" s="2">
        <v>1499.3804526049644</v>
      </c>
      <c r="E886" s="2">
        <v>744.2240550997667</v>
      </c>
      <c r="F886" s="2">
        <v>472.31330554932356</v>
      </c>
      <c r="G886" s="2">
        <v>110.84167308406904</v>
      </c>
      <c r="H886" s="2">
        <v>11.951838284730911</v>
      </c>
      <c r="I886" s="2">
        <v>0.80531850448111075</v>
      </c>
      <c r="J886" s="2">
        <v>10</v>
      </c>
      <c r="K886" s="2">
        <v>186.18477586964889</v>
      </c>
      <c r="L886" s="2">
        <v>50</v>
      </c>
      <c r="M886" s="2">
        <v>25</v>
      </c>
      <c r="N886" s="2">
        <v>1.1571850730195368</v>
      </c>
      <c r="O886" s="2">
        <v>52.204968417594259</v>
      </c>
      <c r="P886" s="2">
        <v>1499.3804526049644</v>
      </c>
      <c r="Q886" s="2">
        <v>1.1649832793113319</v>
      </c>
      <c r="R886" s="2">
        <v>52.607291784916036</v>
      </c>
      <c r="S886" s="2">
        <v>1511.8065932494762</v>
      </c>
      <c r="T886" s="2">
        <v>7.7982062917951733E-3</v>
      </c>
      <c r="U886" s="2">
        <v>0.40232336732177743</v>
      </c>
      <c r="V886" s="2">
        <v>12.426140644511861</v>
      </c>
    </row>
    <row r="887" spans="1:22" ht="15">
      <c r="A887" s="2">
        <v>886</v>
      </c>
      <c r="B887" s="2" t="s">
        <v>78</v>
      </c>
      <c r="C887" s="2" t="s">
        <v>13</v>
      </c>
      <c r="D887" s="2">
        <v>1465.6595417414792</v>
      </c>
      <c r="E887" s="2">
        <v>1181.2188701471314</v>
      </c>
      <c r="F887" s="2">
        <v>745.86205305531621</v>
      </c>
      <c r="G887" s="2">
        <v>316.43068084493279</v>
      </c>
      <c r="H887" s="2">
        <v>15.748435637447983</v>
      </c>
      <c r="I887" s="2">
        <v>0.83461837706621744</v>
      </c>
      <c r="J887" s="2">
        <v>9</v>
      </c>
      <c r="K887" s="2">
        <v>195.12038635662262</v>
      </c>
      <c r="L887" s="2">
        <v>30</v>
      </c>
      <c r="M887" s="2">
        <v>25</v>
      </c>
      <c r="N887" s="2">
        <v>1.1267987573160905</v>
      </c>
      <c r="O887" s="2">
        <v>52.324819546861086</v>
      </c>
      <c r="P887" s="2">
        <v>1465.6595417414792</v>
      </c>
      <c r="Q887" s="2">
        <v>1.1412563140382965</v>
      </c>
      <c r="R887" s="2">
        <v>53.533980481576762</v>
      </c>
      <c r="S887" s="2">
        <v>1456.0773148859432</v>
      </c>
      <c r="T887" s="2">
        <v>1.4457556722206055E-2</v>
      </c>
      <c r="U887" s="2">
        <v>1.2091609347156762</v>
      </c>
      <c r="V887" s="2">
        <v>-9.5822268555359642</v>
      </c>
    </row>
    <row r="888" spans="1:22" ht="15">
      <c r="A888" s="2">
        <v>887</v>
      </c>
      <c r="B888" s="2" t="s">
        <v>78</v>
      </c>
      <c r="C888" s="2" t="s">
        <v>13</v>
      </c>
      <c r="D888" s="2">
        <v>1393.5744137736037</v>
      </c>
      <c r="E888" s="2">
        <v>758.15238264622167</v>
      </c>
      <c r="F888" s="2">
        <v>379.64208275079727</v>
      </c>
      <c r="G888" s="2">
        <v>131.38622497906908</v>
      </c>
      <c r="H888" s="2">
        <v>26.933224479667842</v>
      </c>
      <c r="I888" s="2">
        <v>0.81122436437522993</v>
      </c>
      <c r="J888" s="2">
        <v>9</v>
      </c>
      <c r="K888" s="2">
        <v>190.87395340948956</v>
      </c>
      <c r="L888" s="2">
        <v>55</v>
      </c>
      <c r="M888" s="2">
        <v>25</v>
      </c>
      <c r="N888" s="2">
        <v>1.1571893822060622</v>
      </c>
      <c r="O888" s="2">
        <v>52.172896999146893</v>
      </c>
      <c r="P888" s="2">
        <v>1393.5744137736037</v>
      </c>
      <c r="Q888" s="2">
        <v>1.1529263101310356</v>
      </c>
      <c r="R888" s="2">
        <v>52.193691447556731</v>
      </c>
      <c r="S888" s="2">
        <v>1396.3941881699745</v>
      </c>
      <c r="T888" s="2">
        <v>-4.2630720750265194E-3</v>
      </c>
      <c r="U888" s="2">
        <v>2.0794448409837685E-2</v>
      </c>
      <c r="V888" s="2">
        <v>2.8197743963708035</v>
      </c>
    </row>
    <row r="889" spans="1:22" ht="15">
      <c r="A889" s="2">
        <v>888</v>
      </c>
      <c r="B889" s="2" t="s">
        <v>78</v>
      </c>
      <c r="C889" s="2" t="s">
        <v>13</v>
      </c>
      <c r="D889" s="2">
        <v>1439.4766106153838</v>
      </c>
      <c r="E889" s="2">
        <v>776.34399337694049</v>
      </c>
      <c r="F889" s="2">
        <v>466.31995951756835</v>
      </c>
      <c r="G889" s="2">
        <v>314.40198099706322</v>
      </c>
      <c r="H889" s="2">
        <v>9.4463794282637537</v>
      </c>
      <c r="I889" s="2">
        <v>0.83426331040449442</v>
      </c>
      <c r="J889" s="2">
        <v>9</v>
      </c>
      <c r="K889" s="2">
        <v>191.71626467234114</v>
      </c>
      <c r="L889" s="2">
        <v>50</v>
      </c>
      <c r="M889" s="2">
        <v>25</v>
      </c>
      <c r="N889" s="2">
        <v>1.2131645882782993</v>
      </c>
      <c r="O889" s="2">
        <v>52.217785505742043</v>
      </c>
      <c r="P889" s="2">
        <v>1439.4766106153838</v>
      </c>
      <c r="Q889" s="2">
        <v>1.2138746982854316</v>
      </c>
      <c r="R889" s="2">
        <v>52.54164484675114</v>
      </c>
      <c r="S889" s="2">
        <v>1451.9072899571738</v>
      </c>
      <c r="T889" s="2">
        <v>7.1011000713228078E-4</v>
      </c>
      <c r="U889" s="2">
        <v>0.32385934100909708</v>
      </c>
      <c r="V889" s="2">
        <v>12.430679341789983</v>
      </c>
    </row>
    <row r="890" spans="1:22" ht="15">
      <c r="A890" s="2">
        <v>889</v>
      </c>
      <c r="B890" s="2" t="s">
        <v>78</v>
      </c>
      <c r="C890" s="2" t="s">
        <v>13</v>
      </c>
      <c r="D890" s="2">
        <v>1421.6292086988688</v>
      </c>
      <c r="E890" s="2">
        <v>1007.4186152196489</v>
      </c>
      <c r="F890" s="2">
        <v>733.96471906453371</v>
      </c>
      <c r="G890" s="2">
        <v>185.26755132013932</v>
      </c>
      <c r="H890" s="2">
        <v>10.629277033731341</v>
      </c>
      <c r="I890" s="2">
        <v>0.8553802133840509</v>
      </c>
      <c r="J890" s="2">
        <v>9</v>
      </c>
      <c r="K890" s="2">
        <v>184.66501620562997</v>
      </c>
      <c r="L890" s="2">
        <v>40</v>
      </c>
      <c r="M890" s="2">
        <v>25</v>
      </c>
      <c r="N890" s="2">
        <v>1.2183795643072901</v>
      </c>
      <c r="O890" s="2">
        <v>52.275413039337849</v>
      </c>
      <c r="P890" s="2">
        <v>1421.6292086988688</v>
      </c>
      <c r="Q890" s="2">
        <v>1.2361005794291844</v>
      </c>
      <c r="R890" s="2">
        <v>52.111572458588121</v>
      </c>
      <c r="S890" s="2">
        <v>1417.8612327932917</v>
      </c>
      <c r="T890" s="2">
        <v>1.7721015121894279E-2</v>
      </c>
      <c r="U890" s="2">
        <v>-0.16384058074972785</v>
      </c>
      <c r="V890" s="2">
        <v>-3.7679759055770319</v>
      </c>
    </row>
    <row r="891" spans="1:22" ht="15">
      <c r="A891" s="2">
        <v>890</v>
      </c>
      <c r="B891" s="2" t="s">
        <v>78</v>
      </c>
      <c r="C891" s="2" t="s">
        <v>13</v>
      </c>
      <c r="D891" s="2">
        <v>1493.995524442289</v>
      </c>
      <c r="E891" s="2">
        <v>971.50748728308827</v>
      </c>
      <c r="F891" s="2">
        <v>536.90096298232675</v>
      </c>
      <c r="G891" s="2">
        <v>217.39709160290658</v>
      </c>
      <c r="H891" s="2">
        <v>25.856724273879081</v>
      </c>
      <c r="I891" s="2">
        <v>0.7937083262996748</v>
      </c>
      <c r="J891" s="2">
        <v>10</v>
      </c>
      <c r="K891" s="2">
        <v>188.22979108804407</v>
      </c>
      <c r="L891" s="2">
        <v>35</v>
      </c>
      <c r="M891" s="2">
        <v>25</v>
      </c>
      <c r="N891" s="2">
        <v>1.1526796558095391</v>
      </c>
      <c r="O891" s="2">
        <v>52.273995810128682</v>
      </c>
      <c r="P891" s="2">
        <v>1493.995524442289</v>
      </c>
      <c r="Q891" s="2">
        <v>1.1444174720054467</v>
      </c>
      <c r="R891" s="2">
        <v>51.439106065883244</v>
      </c>
      <c r="S891" s="2">
        <v>1472.2191738942629</v>
      </c>
      <c r="T891" s="2">
        <v>-8.2621838040923823E-3</v>
      </c>
      <c r="U891" s="2">
        <v>-0.83488974424543727</v>
      </c>
      <c r="V891" s="2">
        <v>-21.77635054802613</v>
      </c>
    </row>
    <row r="892" spans="1:22" ht="15">
      <c r="A892" s="2">
        <v>891</v>
      </c>
      <c r="B892" s="2" t="s">
        <v>78</v>
      </c>
      <c r="C892" s="2" t="s">
        <v>13</v>
      </c>
      <c r="D892" s="2">
        <v>1447.6127420319244</v>
      </c>
      <c r="E892" s="2">
        <v>967.64383470872417</v>
      </c>
      <c r="F892" s="2">
        <v>508.40782858431339</v>
      </c>
      <c r="G892" s="2">
        <v>258.31343336729333</v>
      </c>
      <c r="H892" s="2">
        <v>27.948956468142569</v>
      </c>
      <c r="I892" s="2">
        <v>0.84714109676657245</v>
      </c>
      <c r="J892" s="2">
        <v>9</v>
      </c>
      <c r="K892" s="2">
        <v>189.8690322541276</v>
      </c>
      <c r="L892" s="2">
        <v>40</v>
      </c>
      <c r="M892" s="2">
        <v>25</v>
      </c>
      <c r="N892" s="2">
        <v>1.1938151551193574</v>
      </c>
      <c r="O892" s="2">
        <v>52.245430877696762</v>
      </c>
      <c r="P892" s="2">
        <v>1447.6127420319244</v>
      </c>
      <c r="Q892" s="2">
        <v>1.1861015946131039</v>
      </c>
      <c r="R892" s="2">
        <v>51.340907670891603</v>
      </c>
      <c r="S892" s="2">
        <v>1436.7635317720083</v>
      </c>
      <c r="T892" s="2">
        <v>-7.7135605062534918E-3</v>
      </c>
      <c r="U892" s="2">
        <v>-0.90452320680515896</v>
      </c>
      <c r="V892" s="2">
        <v>-10.849210259916163</v>
      </c>
    </row>
    <row r="893" spans="1:22" ht="15">
      <c r="A893" s="2">
        <v>892</v>
      </c>
      <c r="B893" s="2" t="s">
        <v>78</v>
      </c>
      <c r="C893" s="2" t="s">
        <v>13</v>
      </c>
      <c r="D893" s="2">
        <v>1464.6777313551866</v>
      </c>
      <c r="E893" s="2">
        <v>1190.174813894555</v>
      </c>
      <c r="F893" s="2">
        <v>525.71816397830844</v>
      </c>
      <c r="G893" s="2">
        <v>187.07698937039822</v>
      </c>
      <c r="H893" s="2">
        <v>19.857890467625111</v>
      </c>
      <c r="I893" s="2">
        <v>0.85466765165328984</v>
      </c>
      <c r="J893" s="2">
        <v>9</v>
      </c>
      <c r="K893" s="2">
        <v>190.41550225489905</v>
      </c>
      <c r="L893" s="2">
        <v>40</v>
      </c>
      <c r="M893" s="2">
        <v>25</v>
      </c>
      <c r="N893" s="2">
        <v>1.2539378413557842</v>
      </c>
      <c r="O893" s="2">
        <v>52.271720592142401</v>
      </c>
      <c r="P893" s="2">
        <v>1464.6777313551866</v>
      </c>
      <c r="Q893" s="2">
        <v>1.2654126552797751</v>
      </c>
      <c r="R893" s="2">
        <v>53.384550932585078</v>
      </c>
      <c r="S893" s="2">
        <v>1460.9562884354302</v>
      </c>
      <c r="T893" s="2">
        <v>1.1474813923990856E-2</v>
      </c>
      <c r="U893" s="2">
        <v>1.1128303404426774</v>
      </c>
      <c r="V893" s="2">
        <v>-3.7214429197563277</v>
      </c>
    </row>
    <row r="894" spans="1:22" ht="15">
      <c r="A894" s="2">
        <v>893</v>
      </c>
      <c r="B894" s="2" t="s">
        <v>78</v>
      </c>
      <c r="C894" s="2" t="s">
        <v>13</v>
      </c>
      <c r="D894" s="2">
        <v>1489.8794818203896</v>
      </c>
      <c r="E894" s="2">
        <v>946.17821321589872</v>
      </c>
      <c r="F894" s="2">
        <v>376.95223148912191</v>
      </c>
      <c r="G894" s="2">
        <v>303.46663736971095</v>
      </c>
      <c r="H894" s="2">
        <v>17.995463397353888</v>
      </c>
      <c r="I894" s="2">
        <v>0.80878855962539098</v>
      </c>
      <c r="J894" s="2">
        <v>10</v>
      </c>
      <c r="K894" s="2">
        <v>184.21124583048768</v>
      </c>
      <c r="L894" s="2">
        <v>40</v>
      </c>
      <c r="M894" s="2">
        <v>25</v>
      </c>
      <c r="N894" s="2">
        <v>1.1767390613954203</v>
      </c>
      <c r="O894" s="2">
        <v>52.256807944469443</v>
      </c>
      <c r="P894" s="2">
        <v>1489.8794818203896</v>
      </c>
      <c r="Q894" s="2">
        <v>1.1671078726932989</v>
      </c>
      <c r="R894" s="2">
        <v>52.547224764852935</v>
      </c>
      <c r="S894" s="2">
        <v>1484.0577172245717</v>
      </c>
      <c r="T894" s="2">
        <v>-9.6311887021214293E-3</v>
      </c>
      <c r="U894" s="2">
        <v>0.29041682038349137</v>
      </c>
      <c r="V894" s="2">
        <v>-5.8217645958179673</v>
      </c>
    </row>
    <row r="895" spans="1:22" ht="15">
      <c r="A895" s="2">
        <v>894</v>
      </c>
      <c r="B895" s="2" t="s">
        <v>78</v>
      </c>
      <c r="C895" s="2" t="s">
        <v>13</v>
      </c>
      <c r="D895" s="2">
        <v>1354.515347268898</v>
      </c>
      <c r="E895" s="2">
        <v>789.89948655944318</v>
      </c>
      <c r="F895" s="2">
        <v>470.80587046220899</v>
      </c>
      <c r="G895" s="2">
        <v>133.72393596917391</v>
      </c>
      <c r="H895" s="2">
        <v>20.631175252143294</v>
      </c>
      <c r="I895" s="2">
        <v>0.84784567478578543</v>
      </c>
      <c r="J895" s="2">
        <v>8</v>
      </c>
      <c r="K895" s="2">
        <v>199.69957203755368</v>
      </c>
      <c r="L895" s="2">
        <v>60</v>
      </c>
      <c r="M895" s="2">
        <v>25</v>
      </c>
      <c r="N895" s="2">
        <v>1.2041605185271502</v>
      </c>
      <c r="O895" s="2">
        <v>52.168267900008523</v>
      </c>
      <c r="P895" s="2">
        <v>1354.515347268898</v>
      </c>
      <c r="Q895" s="2">
        <v>1.1948898911537473</v>
      </c>
      <c r="R895" s="2">
        <v>50.806486788413423</v>
      </c>
      <c r="S895" s="2">
        <v>1356.1897354443486</v>
      </c>
      <c r="T895" s="2">
        <v>-9.2706273734028954E-3</v>
      </c>
      <c r="U895" s="2">
        <v>-1.3617811115951</v>
      </c>
      <c r="V895" s="2">
        <v>1.674388175450531</v>
      </c>
    </row>
    <row r="896" spans="1:22" ht="15">
      <c r="A896" s="2">
        <v>895</v>
      </c>
      <c r="B896" s="2" t="s">
        <v>79</v>
      </c>
      <c r="C896" s="2" t="s">
        <v>13</v>
      </c>
      <c r="D896" s="2">
        <v>1376.557806157507</v>
      </c>
      <c r="E896" s="2">
        <v>1110.0529211689718</v>
      </c>
      <c r="F896" s="2">
        <v>622.03259393572807</v>
      </c>
      <c r="G896" s="2">
        <v>297.40503556793556</v>
      </c>
      <c r="H896" s="2">
        <v>23.474422580562532</v>
      </c>
      <c r="I896" s="2">
        <v>0.82957992898067467</v>
      </c>
      <c r="J896" s="2">
        <v>9</v>
      </c>
      <c r="K896" s="2">
        <v>184.37146561485477</v>
      </c>
      <c r="L896" s="2">
        <v>35</v>
      </c>
      <c r="M896" s="2">
        <v>25</v>
      </c>
      <c r="N896" s="2">
        <v>1.2132453935340637</v>
      </c>
      <c r="O896" s="2">
        <v>52.29144831411363</v>
      </c>
      <c r="P896" s="2">
        <v>1376.557806157507</v>
      </c>
      <c r="Q896" s="2">
        <v>1.2199084126998994</v>
      </c>
      <c r="R896" s="2">
        <v>53.520539739534591</v>
      </c>
      <c r="S896" s="2">
        <v>1364.8880850027101</v>
      </c>
      <c r="T896" s="2">
        <v>6.6630191658356708E-3</v>
      </c>
      <c r="U896" s="2">
        <v>1.2290914254209611</v>
      </c>
      <c r="V896" s="2">
        <v>-11.669721154796889</v>
      </c>
    </row>
    <row r="897" spans="1:22" ht="15">
      <c r="A897" s="2">
        <v>896</v>
      </c>
      <c r="B897" s="2" t="s">
        <v>79</v>
      </c>
      <c r="C897" s="2" t="s">
        <v>13</v>
      </c>
      <c r="D897" s="2">
        <v>1375.2610714989714</v>
      </c>
      <c r="E897" s="2">
        <v>688.60375918447971</v>
      </c>
      <c r="F897" s="2">
        <v>519.66198673471808</v>
      </c>
      <c r="G897" s="2">
        <v>275.5604973481968</v>
      </c>
      <c r="H897" s="2">
        <v>20.836164043750614</v>
      </c>
      <c r="I897" s="2">
        <v>0.81274497079662977</v>
      </c>
      <c r="J897" s="2">
        <v>9</v>
      </c>
      <c r="K897" s="2">
        <v>188.01320366502054</v>
      </c>
      <c r="L897" s="2">
        <v>50</v>
      </c>
      <c r="M897" s="2">
        <v>25</v>
      </c>
      <c r="N897" s="2">
        <v>1.2078909616637736</v>
      </c>
      <c r="O897" s="2">
        <v>52.206365606981464</v>
      </c>
      <c r="P897" s="2">
        <v>1375.2610714989714</v>
      </c>
      <c r="Q897" s="2">
        <v>1.1972802628104975</v>
      </c>
      <c r="R897" s="2">
        <v>51.583773163069445</v>
      </c>
      <c r="S897" s="2">
        <v>1383.3851780058721</v>
      </c>
      <c r="T897" s="2">
        <v>-1.0610698853276146E-2</v>
      </c>
      <c r="U897" s="2">
        <v>-0.62259244391201918</v>
      </c>
      <c r="V897" s="2">
        <v>8.1241065069007163</v>
      </c>
    </row>
    <row r="898" spans="1:22" ht="15">
      <c r="A898" s="2">
        <v>897</v>
      </c>
      <c r="B898" s="2" t="s">
        <v>79</v>
      </c>
      <c r="C898" s="2" t="s">
        <v>13</v>
      </c>
      <c r="D898" s="2">
        <v>1449.0529443137348</v>
      </c>
      <c r="E898" s="2">
        <v>762.69073294242844</v>
      </c>
      <c r="F898" s="2">
        <v>716.581648029387</v>
      </c>
      <c r="G898" s="2">
        <v>87.570815330836922</v>
      </c>
      <c r="H898" s="2">
        <v>18.595688799396157</v>
      </c>
      <c r="I898" s="2">
        <v>0.82211189638124782</v>
      </c>
      <c r="J898" s="2">
        <v>9</v>
      </c>
      <c r="K898" s="2">
        <v>195.84424384349364</v>
      </c>
      <c r="L898" s="2">
        <v>45</v>
      </c>
      <c r="M898" s="2">
        <v>25</v>
      </c>
      <c r="N898" s="2">
        <v>1.1516006904949976</v>
      </c>
      <c r="O898" s="2">
        <v>52.219310025383486</v>
      </c>
      <c r="P898" s="2">
        <v>1449.0529443137348</v>
      </c>
      <c r="Q898" s="2">
        <v>1.1566627849117621</v>
      </c>
      <c r="R898" s="2">
        <v>51.050118820298351</v>
      </c>
      <c r="S898" s="2">
        <v>1450.724430623322</v>
      </c>
      <c r="T898" s="2">
        <v>5.0620944167645288E-3</v>
      </c>
      <c r="U898" s="2">
        <v>-1.1691912050851343</v>
      </c>
      <c r="V898" s="2">
        <v>1.6714863095871806</v>
      </c>
    </row>
    <row r="899" spans="1:22" ht="15">
      <c r="A899" s="2">
        <v>898</v>
      </c>
      <c r="B899" s="2" t="s">
        <v>80</v>
      </c>
      <c r="C899" s="2" t="s">
        <v>13</v>
      </c>
      <c r="D899" s="2">
        <v>1483.0512603395618</v>
      </c>
      <c r="E899" s="2">
        <v>1182.9499221639708</v>
      </c>
      <c r="F899" s="2">
        <v>702.3902558721602</v>
      </c>
      <c r="G899" s="2">
        <v>133.17674786783755</v>
      </c>
      <c r="H899" s="2">
        <v>15.503030084539205</v>
      </c>
      <c r="I899" s="2">
        <v>0.80382488234434279</v>
      </c>
      <c r="J899" s="2">
        <v>10</v>
      </c>
      <c r="K899" s="2">
        <v>184.4992974109318</v>
      </c>
      <c r="L899" s="2">
        <v>35</v>
      </c>
      <c r="M899" s="2">
        <v>25</v>
      </c>
      <c r="N899" s="2">
        <v>1.2689232306520477</v>
      </c>
      <c r="O899" s="2">
        <v>52.324708057412863</v>
      </c>
      <c r="P899" s="2">
        <v>1483.0512603395618</v>
      </c>
      <c r="Q899" s="2">
        <v>1.2723847108155091</v>
      </c>
      <c r="R899" s="2">
        <v>52.446258061191742</v>
      </c>
      <c r="S899" s="2">
        <v>1472.7815086647183</v>
      </c>
      <c r="T899" s="2">
        <v>3.4614801634613723E-3</v>
      </c>
      <c r="U899" s="2">
        <v>0.12155000377887859</v>
      </c>
      <c r="V899" s="2">
        <v>-10.269751674843519</v>
      </c>
    </row>
    <row r="900" spans="1:22" ht="15">
      <c r="A900" s="2">
        <v>899</v>
      </c>
      <c r="B900" s="2" t="s">
        <v>80</v>
      </c>
      <c r="C900" s="2" t="s">
        <v>13</v>
      </c>
      <c r="D900" s="2">
        <v>1416.8553072726354</v>
      </c>
      <c r="E900" s="2">
        <v>884.90877725416794</v>
      </c>
      <c r="F900" s="2">
        <v>679.78656999766827</v>
      </c>
      <c r="G900" s="2">
        <v>133.03284869296476</v>
      </c>
      <c r="H900" s="2">
        <v>13.41091323364526</v>
      </c>
      <c r="I900" s="2">
        <v>0.80127550066215925</v>
      </c>
      <c r="J900" s="2">
        <v>9</v>
      </c>
      <c r="K900" s="2">
        <v>196.4722088028916</v>
      </c>
      <c r="L900" s="2">
        <v>45</v>
      </c>
      <c r="M900" s="2">
        <v>25</v>
      </c>
      <c r="N900" s="2">
        <v>1.2154185647476217</v>
      </c>
      <c r="O900" s="2">
        <v>52.239718268952693</v>
      </c>
      <c r="P900" s="2">
        <v>1416.8553072726354</v>
      </c>
      <c r="Q900" s="2">
        <v>1.2241622726931782</v>
      </c>
      <c r="R900" s="2">
        <v>52.234697721490789</v>
      </c>
      <c r="S900" s="2">
        <v>1413.2407321456451</v>
      </c>
      <c r="T900" s="2">
        <v>8.7437079455565669E-3</v>
      </c>
      <c r="U900" s="2">
        <v>-5.0205474619033907E-3</v>
      </c>
      <c r="V900" s="2">
        <v>-3.614575126990303</v>
      </c>
    </row>
    <row r="901" spans="1:22" ht="15">
      <c r="A901" s="2">
        <v>900</v>
      </c>
      <c r="B901" s="2" t="s">
        <v>80</v>
      </c>
      <c r="C901" s="2" t="s">
        <v>13</v>
      </c>
      <c r="D901" s="2">
        <v>1472.8691800846718</v>
      </c>
      <c r="E901" s="2">
        <v>632.02608195133507</v>
      </c>
      <c r="F901" s="2">
        <v>699.23337129876018</v>
      </c>
      <c r="G901" s="2">
        <v>187.36766119953245</v>
      </c>
      <c r="H901" s="2">
        <v>26.94421275658533</v>
      </c>
      <c r="I901" s="2">
        <v>0.83751138826832183</v>
      </c>
      <c r="J901" s="2">
        <v>9</v>
      </c>
      <c r="K901" s="2">
        <v>195.40287262110428</v>
      </c>
      <c r="L901" s="2">
        <v>45</v>
      </c>
      <c r="M901" s="2">
        <v>25</v>
      </c>
      <c r="N901" s="2">
        <v>1.1577022861239332</v>
      </c>
      <c r="O901" s="2">
        <v>52.211791932820553</v>
      </c>
      <c r="P901" s="2">
        <v>1472.8691800846718</v>
      </c>
      <c r="Q901" s="2">
        <v>1.1408667926425546</v>
      </c>
      <c r="R901" s="2">
        <v>51.410576611148592</v>
      </c>
      <c r="S901" s="2">
        <v>1455.8099381223858</v>
      </c>
      <c r="T901" s="2">
        <v>-1.6835493481378583E-2</v>
      </c>
      <c r="U901" s="2">
        <v>-0.80121532167196108</v>
      </c>
      <c r="V901" s="2">
        <v>-17.059241962286023</v>
      </c>
    </row>
    <row r="902" spans="1:22" ht="15">
      <c r="A902" s="2">
        <v>901</v>
      </c>
      <c r="B902" s="2" t="s">
        <v>78</v>
      </c>
      <c r="C902" s="2" t="s">
        <v>13</v>
      </c>
      <c r="D902" s="2">
        <v>1452.0514244679362</v>
      </c>
      <c r="E902" s="2">
        <v>1175.1316452282481</v>
      </c>
      <c r="F902" s="2">
        <v>660.90321969240904</v>
      </c>
      <c r="G902" s="2">
        <v>252.61606018291786</v>
      </c>
      <c r="H902" s="2">
        <v>12.980180881917477</v>
      </c>
      <c r="I902" s="2">
        <v>0.84974171983310953</v>
      </c>
      <c r="J902" s="2">
        <v>9</v>
      </c>
      <c r="K902" s="2">
        <v>189.86833692806238</v>
      </c>
      <c r="L902" s="2">
        <v>35</v>
      </c>
      <c r="M902" s="2">
        <v>25</v>
      </c>
      <c r="N902" s="2">
        <v>1.1816274109716247</v>
      </c>
      <c r="O902" s="2">
        <v>52.300672895496774</v>
      </c>
      <c r="P902" s="2">
        <v>1452.0514244679362</v>
      </c>
      <c r="Q902" s="2">
        <v>1.1930788884967827</v>
      </c>
      <c r="R902" s="2">
        <v>52.878377210614644</v>
      </c>
      <c r="S902" s="2">
        <v>1447.1579046546146</v>
      </c>
      <c r="T902" s="2">
        <v>1.145147752515796E-2</v>
      </c>
      <c r="U902" s="2">
        <v>0.57770431511787024</v>
      </c>
      <c r="V902" s="2">
        <v>-4.8935198133215181</v>
      </c>
    </row>
    <row r="903" spans="1:22" ht="15">
      <c r="A903" s="2">
        <v>902</v>
      </c>
      <c r="B903" s="2" t="s">
        <v>78</v>
      </c>
      <c r="C903" s="2" t="s">
        <v>13</v>
      </c>
      <c r="D903" s="2">
        <v>1482.3794453521259</v>
      </c>
      <c r="E903" s="2">
        <v>1170.6347543513402</v>
      </c>
      <c r="F903" s="2">
        <v>391.80359812453389</v>
      </c>
      <c r="G903" s="2">
        <v>97.872143071144819</v>
      </c>
      <c r="H903" s="2">
        <v>24.540699167642742</v>
      </c>
      <c r="I903" s="2">
        <v>0.81060391434933998</v>
      </c>
      <c r="J903" s="2">
        <v>10</v>
      </c>
      <c r="K903" s="2">
        <v>182.87346250258494</v>
      </c>
      <c r="L903" s="2">
        <v>40</v>
      </c>
      <c r="M903" s="2">
        <v>25</v>
      </c>
      <c r="N903" s="2">
        <v>1.2305122792202223</v>
      </c>
      <c r="O903" s="2">
        <v>52.26264879335352</v>
      </c>
      <c r="P903" s="2">
        <v>1482.3794453521259</v>
      </c>
      <c r="Q903" s="2">
        <v>1.2207757775803165</v>
      </c>
      <c r="R903" s="2">
        <v>53.250148633951319</v>
      </c>
      <c r="S903" s="2">
        <v>1480.9304345844505</v>
      </c>
      <c r="T903" s="2">
        <v>-9.7365016399058035E-3</v>
      </c>
      <c r="U903" s="2">
        <v>0.98749984059779905</v>
      </c>
      <c r="V903" s="2">
        <v>-1.4490107676754178</v>
      </c>
    </row>
    <row r="904" spans="1:22" ht="15">
      <c r="A904" s="2">
        <v>903</v>
      </c>
      <c r="B904" s="2" t="s">
        <v>78</v>
      </c>
      <c r="C904" s="2" t="s">
        <v>13</v>
      </c>
      <c r="D904" s="2">
        <v>1466.9640003936365</v>
      </c>
      <c r="E904" s="2">
        <v>765.38345963926986</v>
      </c>
      <c r="F904" s="2">
        <v>538.67706954479218</v>
      </c>
      <c r="G904" s="2">
        <v>201.00702145835385</v>
      </c>
      <c r="H904" s="2">
        <v>9.8840764490887523</v>
      </c>
      <c r="I904" s="2">
        <v>0.85218836545711385</v>
      </c>
      <c r="J904" s="2">
        <v>9</v>
      </c>
      <c r="K904" s="2">
        <v>191.26757258215599</v>
      </c>
      <c r="L904" s="2">
        <v>50</v>
      </c>
      <c r="M904" s="2">
        <v>25</v>
      </c>
      <c r="N904" s="2">
        <v>1.1760159019988898</v>
      </c>
      <c r="O904" s="2">
        <v>52.209677657833915</v>
      </c>
      <c r="P904" s="2">
        <v>1466.9640003936365</v>
      </c>
      <c r="Q904" s="2">
        <v>1.1904782318830534</v>
      </c>
      <c r="R904" s="2">
        <v>50.900621595320764</v>
      </c>
      <c r="S904" s="2">
        <v>1481.9736967047454</v>
      </c>
      <c r="T904" s="2">
        <v>1.4462329884163516E-2</v>
      </c>
      <c r="U904" s="2">
        <v>-1.3090560625131502</v>
      </c>
      <c r="V904" s="2">
        <v>15.009696311108883</v>
      </c>
    </row>
    <row r="905" spans="1:22" ht="15">
      <c r="A905" s="2">
        <v>904</v>
      </c>
      <c r="B905" s="2" t="s">
        <v>78</v>
      </c>
      <c r="C905" s="2" t="s">
        <v>13</v>
      </c>
      <c r="D905" s="2">
        <v>1388.2330079446547</v>
      </c>
      <c r="E905" s="2">
        <v>959.49017973616719</v>
      </c>
      <c r="F905" s="2">
        <v>531.45816987380385</v>
      </c>
      <c r="G905" s="2">
        <v>176.64773906115443</v>
      </c>
      <c r="H905" s="2">
        <v>20.045242992695421</v>
      </c>
      <c r="I905" s="2">
        <v>0.79409153738059102</v>
      </c>
      <c r="J905" s="2">
        <v>9</v>
      </c>
      <c r="K905" s="2">
        <v>194.24474979629798</v>
      </c>
      <c r="L905" s="2">
        <v>45</v>
      </c>
      <c r="M905" s="2">
        <v>25</v>
      </c>
      <c r="N905" s="2">
        <v>1.2268553873230248</v>
      </c>
      <c r="O905" s="2">
        <v>52.235019920126035</v>
      </c>
      <c r="P905" s="2">
        <v>1388.2330079446547</v>
      </c>
      <c r="Q905" s="2">
        <v>1.2301801104061862</v>
      </c>
      <c r="R905" s="2">
        <v>52.553333869667362</v>
      </c>
      <c r="S905" s="2">
        <v>1378.0251978920712</v>
      </c>
      <c r="T905" s="2">
        <v>3.3247230831614516E-3</v>
      </c>
      <c r="U905" s="2">
        <v>0.31831394954132719</v>
      </c>
      <c r="V905" s="2">
        <v>-10.207810052583454</v>
      </c>
    </row>
    <row r="906" spans="1:22" ht="15">
      <c r="A906" s="2">
        <v>905</v>
      </c>
      <c r="B906" s="2" t="s">
        <v>78</v>
      </c>
      <c r="C906" s="2" t="s">
        <v>13</v>
      </c>
      <c r="D906" s="2">
        <v>1365.1737766340375</v>
      </c>
      <c r="E906" s="2">
        <v>669.16852447902784</v>
      </c>
      <c r="F906" s="2">
        <v>560.24777609854937</v>
      </c>
      <c r="G906" s="2">
        <v>313.71101688826457</v>
      </c>
      <c r="H906" s="2">
        <v>20.267457997426391</v>
      </c>
      <c r="I906" s="2">
        <v>0.85273483225377278</v>
      </c>
      <c r="J906" s="2">
        <v>9</v>
      </c>
      <c r="K906" s="2">
        <v>177.88176282262876</v>
      </c>
      <c r="L906" s="2">
        <v>50</v>
      </c>
      <c r="M906" s="2">
        <v>25</v>
      </c>
      <c r="N906" s="2">
        <v>1.2501482787589682</v>
      </c>
      <c r="O906" s="2">
        <v>52.215612126975856</v>
      </c>
      <c r="P906" s="2">
        <v>1365.1737766340375</v>
      </c>
      <c r="Q906" s="2">
        <v>1.2430635808824355</v>
      </c>
      <c r="R906" s="2">
        <v>51.889000024631585</v>
      </c>
      <c r="S906" s="2">
        <v>1369.2081491834965</v>
      </c>
      <c r="T906" s="2">
        <v>-7.0846978765326529E-3</v>
      </c>
      <c r="U906" s="2">
        <v>-0.32661210234427074</v>
      </c>
      <c r="V906" s="2">
        <v>4.0343725494590217</v>
      </c>
    </row>
    <row r="907" spans="1:22" ht="15">
      <c r="A907" s="2">
        <v>906</v>
      </c>
      <c r="B907" s="2" t="s">
        <v>78</v>
      </c>
      <c r="C907" s="2" t="s">
        <v>13</v>
      </c>
      <c r="D907" s="2">
        <v>1391.369795857463</v>
      </c>
      <c r="E907" s="2">
        <v>1227.7259715134278</v>
      </c>
      <c r="F907" s="2">
        <v>643.03235122933984</v>
      </c>
      <c r="G907" s="2">
        <v>185.53575376980007</v>
      </c>
      <c r="H907" s="2">
        <v>26.441338930744678</v>
      </c>
      <c r="I907" s="2">
        <v>0.79915470559615642</v>
      </c>
      <c r="J907" s="2">
        <v>9</v>
      </c>
      <c r="K907" s="2">
        <v>193.45020795295946</v>
      </c>
      <c r="L907" s="2">
        <v>35</v>
      </c>
      <c r="M907" s="2">
        <v>25</v>
      </c>
      <c r="N907" s="2">
        <v>1.2446660090999242</v>
      </c>
      <c r="O907" s="2">
        <v>52.295627653880217</v>
      </c>
      <c r="P907" s="2">
        <v>1391.369795857463</v>
      </c>
      <c r="Q907" s="2">
        <v>1.244919550374499</v>
      </c>
      <c r="R907" s="2">
        <v>54.136853816269443</v>
      </c>
      <c r="S907" s="2">
        <v>1371.2213809488114</v>
      </c>
      <c r="T907" s="2">
        <v>2.535412745747756E-4</v>
      </c>
      <c r="U907" s="2">
        <v>1.8412261623892263</v>
      </c>
      <c r="V907" s="2">
        <v>-20.148414908651603</v>
      </c>
    </row>
    <row r="908" spans="1:22" ht="15">
      <c r="A908" s="2">
        <v>907</v>
      </c>
      <c r="B908" s="2" t="s">
        <v>78</v>
      </c>
      <c r="C908" s="2" t="s">
        <v>13</v>
      </c>
      <c r="D908" s="2">
        <v>1441.6739317355677</v>
      </c>
      <c r="E908" s="2">
        <v>975.40681461105123</v>
      </c>
      <c r="F908" s="2">
        <v>707.86747224628925</v>
      </c>
      <c r="G908" s="2">
        <v>235.41746484814212</v>
      </c>
      <c r="H908" s="2">
        <v>13.693014533258975</v>
      </c>
      <c r="I908" s="2">
        <v>0.79066649003652856</v>
      </c>
      <c r="J908" s="2">
        <v>10</v>
      </c>
      <c r="K908" s="2">
        <v>182.33654137396957</v>
      </c>
      <c r="L908" s="2">
        <v>35</v>
      </c>
      <c r="M908" s="2">
        <v>25</v>
      </c>
      <c r="N908" s="2">
        <v>1.200369345180986</v>
      </c>
      <c r="O908" s="2">
        <v>52.30741334598298</v>
      </c>
      <c r="P908" s="2">
        <v>1441.6739317355677</v>
      </c>
      <c r="Q908" s="2">
        <v>1.2164621884615778</v>
      </c>
      <c r="R908" s="2">
        <v>53.50431203999613</v>
      </c>
      <c r="S908" s="2">
        <v>1447.2762951895011</v>
      </c>
      <c r="T908" s="2">
        <v>1.6092843280591795E-2</v>
      </c>
      <c r="U908" s="2">
        <v>1.1968986940131501</v>
      </c>
      <c r="V908" s="2">
        <v>5.6023634539333216</v>
      </c>
    </row>
    <row r="909" spans="1:22" ht="15">
      <c r="A909" s="2">
        <v>908</v>
      </c>
      <c r="B909" s="2" t="s">
        <v>78</v>
      </c>
      <c r="C909" s="2" t="s">
        <v>13</v>
      </c>
      <c r="D909" s="2">
        <v>1441.508211416658</v>
      </c>
      <c r="E909" s="2">
        <v>994.4135372992605</v>
      </c>
      <c r="F909" s="2">
        <v>532.53368241712451</v>
      </c>
      <c r="G909" s="2">
        <v>312.59534582030028</v>
      </c>
      <c r="H909" s="2">
        <v>14.777630511205643</v>
      </c>
      <c r="I909" s="2">
        <v>0.81106414537876848</v>
      </c>
      <c r="J909" s="2">
        <v>9</v>
      </c>
      <c r="K909" s="2">
        <v>197.47831285464699</v>
      </c>
      <c r="L909" s="2">
        <v>40</v>
      </c>
      <c r="M909" s="2">
        <v>25</v>
      </c>
      <c r="N909" s="2">
        <v>1.1885377501068146</v>
      </c>
      <c r="O909" s="2">
        <v>52.261830674531303</v>
      </c>
      <c r="P909" s="2">
        <v>1441.508211416658</v>
      </c>
      <c r="Q909" s="2">
        <v>1.1868454032759559</v>
      </c>
      <c r="R909" s="2">
        <v>53.333433131368132</v>
      </c>
      <c r="S909" s="2">
        <v>1442.4757869266218</v>
      </c>
      <c r="T909" s="2">
        <v>-1.6923468308587264E-3</v>
      </c>
      <c r="U909" s="2">
        <v>1.0716024568368283</v>
      </c>
      <c r="V909" s="2">
        <v>0.96757550996380814</v>
      </c>
    </row>
    <row r="910" spans="1:22" ht="15">
      <c r="A910" s="2">
        <v>909</v>
      </c>
      <c r="B910" s="2" t="s">
        <v>78</v>
      </c>
      <c r="C910" s="2" t="s">
        <v>13</v>
      </c>
      <c r="D910" s="2">
        <v>1353.9526732172817</v>
      </c>
      <c r="E910" s="2">
        <v>854.78783090366051</v>
      </c>
      <c r="F910" s="2">
        <v>699.34098329395056</v>
      </c>
      <c r="G910" s="2">
        <v>139.15284511866048</v>
      </c>
      <c r="H910" s="2">
        <v>25.471355576068163</v>
      </c>
      <c r="I910" s="2">
        <v>0.85788011446828027</v>
      </c>
      <c r="J910" s="2">
        <v>8</v>
      </c>
      <c r="K910" s="2">
        <v>197.2817428657369</v>
      </c>
      <c r="L910" s="2">
        <v>45</v>
      </c>
      <c r="M910" s="2">
        <v>25</v>
      </c>
      <c r="N910" s="2">
        <v>1.1563045848486715</v>
      </c>
      <c r="O910" s="2">
        <v>52.209688837981233</v>
      </c>
      <c r="P910" s="2">
        <v>1353.9526732172817</v>
      </c>
      <c r="Q910" s="2">
        <v>1.1565678006145286</v>
      </c>
      <c r="R910" s="2">
        <v>52.18633088606547</v>
      </c>
      <c r="S910" s="2">
        <v>1338.4157447941564</v>
      </c>
      <c r="T910" s="2">
        <v>2.6321576585708328E-4</v>
      </c>
      <c r="U910" s="2">
        <v>-2.3357951915762953E-2</v>
      </c>
      <c r="V910" s="2">
        <v>-15.536928423125346</v>
      </c>
    </row>
    <row r="911" spans="1:22" ht="15">
      <c r="A911" s="2">
        <v>910</v>
      </c>
      <c r="B911" s="2" t="s">
        <v>78</v>
      </c>
      <c r="C911" s="2" t="s">
        <v>13</v>
      </c>
      <c r="D911" s="2">
        <v>1379.2821819079109</v>
      </c>
      <c r="E911" s="2">
        <v>1073.4186653746292</v>
      </c>
      <c r="F911" s="2">
        <v>508.41654585674405</v>
      </c>
      <c r="G911" s="2">
        <v>327.13711626827717</v>
      </c>
      <c r="H911" s="2">
        <v>27.137663359288126</v>
      </c>
      <c r="I911" s="2">
        <v>0.80367104604374617</v>
      </c>
      <c r="J911" s="2">
        <v>9</v>
      </c>
      <c r="K911" s="2">
        <v>190.69192118090018</v>
      </c>
      <c r="L911" s="2">
        <v>35</v>
      </c>
      <c r="M911" s="2">
        <v>25</v>
      </c>
      <c r="N911" s="2">
        <v>1.1703184608015242</v>
      </c>
      <c r="O911" s="2">
        <v>52.272656510165383</v>
      </c>
      <c r="P911" s="2">
        <v>1379.2821819079109</v>
      </c>
      <c r="Q911" s="2">
        <v>1.1609780933491873</v>
      </c>
      <c r="R911" s="2">
        <v>53.644897849878589</v>
      </c>
      <c r="S911" s="2">
        <v>1356.6969205568885</v>
      </c>
      <c r="T911" s="2">
        <v>-9.3403674523369062E-3</v>
      </c>
      <c r="U911" s="2">
        <v>1.3722413397132058</v>
      </c>
      <c r="V911" s="2">
        <v>-22.585261351022382</v>
      </c>
    </row>
    <row r="912" spans="1:22" ht="15">
      <c r="A912" s="2">
        <v>911</v>
      </c>
      <c r="B912" s="2" t="s">
        <v>78</v>
      </c>
      <c r="C912" s="2" t="s">
        <v>13</v>
      </c>
      <c r="D912" s="2">
        <v>1389.2664728919044</v>
      </c>
      <c r="E912" s="2">
        <v>1081.8692368571647</v>
      </c>
      <c r="F912" s="2">
        <v>623.7992949783802</v>
      </c>
      <c r="G912" s="2">
        <v>246.18817340349779</v>
      </c>
      <c r="H912" s="2">
        <v>23.694927631877363</v>
      </c>
      <c r="I912" s="2">
        <v>0.79194073749473326</v>
      </c>
      <c r="J912" s="2">
        <v>9</v>
      </c>
      <c r="K912" s="2">
        <v>194.91728878697873</v>
      </c>
      <c r="L912" s="2">
        <v>35</v>
      </c>
      <c r="M912" s="2">
        <v>25</v>
      </c>
      <c r="N912" s="2">
        <v>1.1733395115897605</v>
      </c>
      <c r="O912" s="2">
        <v>52.279343256764392</v>
      </c>
      <c r="P912" s="2">
        <v>1389.2664728919044</v>
      </c>
      <c r="Q912" s="2">
        <v>1.1872177766108494</v>
      </c>
      <c r="R912" s="2">
        <v>53.326843136377882</v>
      </c>
      <c r="S912" s="2">
        <v>1371.9836826574247</v>
      </c>
      <c r="T912" s="2">
        <v>1.3878265021088909E-2</v>
      </c>
      <c r="U912" s="2">
        <v>1.0474998796134898</v>
      </c>
      <c r="V912" s="2">
        <v>-17.282790234479762</v>
      </c>
    </row>
    <row r="913" spans="1:22" ht="15">
      <c r="A913" s="2">
        <v>912</v>
      </c>
      <c r="B913" s="2" t="s">
        <v>78</v>
      </c>
      <c r="C913" s="2" t="s">
        <v>13</v>
      </c>
      <c r="D913" s="2">
        <v>1486.7423154297285</v>
      </c>
      <c r="E913" s="2">
        <v>1198.0037471279502</v>
      </c>
      <c r="F913" s="2">
        <v>682.69682070240378</v>
      </c>
      <c r="G913" s="2">
        <v>248.69178612250835</v>
      </c>
      <c r="H913" s="2">
        <v>8.3795054047368467</v>
      </c>
      <c r="I913" s="2">
        <v>0.83908691137097779</v>
      </c>
      <c r="J913" s="2">
        <v>9</v>
      </c>
      <c r="K913" s="2">
        <v>196.87303944879153</v>
      </c>
      <c r="L913" s="2">
        <v>35</v>
      </c>
      <c r="M913" s="2">
        <v>25</v>
      </c>
      <c r="N913" s="2">
        <v>1.1743855413600437</v>
      </c>
      <c r="O913" s="2">
        <v>52.307025502790097</v>
      </c>
      <c r="P913" s="2">
        <v>1486.7423154297285</v>
      </c>
      <c r="Q913" s="2">
        <v>1.1891782792054482</v>
      </c>
      <c r="R913" s="2">
        <v>52.006848954901102</v>
      </c>
      <c r="S913" s="2">
        <v>1473.5137271601357</v>
      </c>
      <c r="T913" s="2">
        <v>1.4792737845404469E-2</v>
      </c>
      <c r="U913" s="2">
        <v>-0.30017654788899506</v>
      </c>
      <c r="V913" s="2">
        <v>-13.228588269592819</v>
      </c>
    </row>
    <row r="914" spans="1:22" ht="15">
      <c r="A914" s="2">
        <v>913</v>
      </c>
      <c r="B914" s="2" t="s">
        <v>78</v>
      </c>
      <c r="C914" s="2" t="s">
        <v>13</v>
      </c>
      <c r="D914" s="2">
        <v>1436.1300685442984</v>
      </c>
      <c r="E914" s="2">
        <v>763.60020836582407</v>
      </c>
      <c r="F914" s="2">
        <v>713.24572656303644</v>
      </c>
      <c r="G914" s="2">
        <v>134.64657960692421</v>
      </c>
      <c r="H914" s="2">
        <v>21.810474367812276</v>
      </c>
      <c r="I914" s="2">
        <v>0.85058365768985822</v>
      </c>
      <c r="J914" s="2">
        <v>9</v>
      </c>
      <c r="K914" s="2">
        <v>187.60060362482997</v>
      </c>
      <c r="L914" s="2">
        <v>45</v>
      </c>
      <c r="M914" s="2">
        <v>25</v>
      </c>
      <c r="N914" s="2">
        <v>1.1970841384715294</v>
      </c>
      <c r="O914" s="2">
        <v>52.226271970328987</v>
      </c>
      <c r="P914" s="2">
        <v>1436.1300685442984</v>
      </c>
      <c r="Q914" s="2">
        <v>1.1996592133352855</v>
      </c>
      <c r="R914" s="2">
        <v>52.122541688135207</v>
      </c>
      <c r="S914" s="2">
        <v>1429.1134678639032</v>
      </c>
      <c r="T914" s="2">
        <v>2.5750748637560772E-3</v>
      </c>
      <c r="U914" s="2">
        <v>-0.10373028219378</v>
      </c>
      <c r="V914" s="2">
        <v>-7.0166006803951859</v>
      </c>
    </row>
    <row r="915" spans="1:22" ht="15">
      <c r="A915" s="2">
        <v>914</v>
      </c>
      <c r="B915" s="2" t="s">
        <v>78</v>
      </c>
      <c r="C915" s="2" t="s">
        <v>13</v>
      </c>
      <c r="D915" s="2">
        <v>1367.5529490807094</v>
      </c>
      <c r="E915" s="2">
        <v>851.24130931217223</v>
      </c>
      <c r="F915" s="2">
        <v>715.4320158995688</v>
      </c>
      <c r="G915" s="2">
        <v>92.932761805132031</v>
      </c>
      <c r="H915" s="2">
        <v>26.863739893306047</v>
      </c>
      <c r="I915" s="2">
        <v>0.79585263843182474</v>
      </c>
      <c r="J915" s="2">
        <v>9</v>
      </c>
      <c r="K915" s="2">
        <v>190.92771744156369</v>
      </c>
      <c r="L915" s="2">
        <v>45</v>
      </c>
      <c r="M915" s="2">
        <v>25</v>
      </c>
      <c r="N915" s="2">
        <v>1.2533134384934119</v>
      </c>
      <c r="O915" s="2">
        <v>52.233774079118106</v>
      </c>
      <c r="P915" s="2">
        <v>1367.5529490807094</v>
      </c>
      <c r="Q915" s="2">
        <v>1.2541898432290117</v>
      </c>
      <c r="R915" s="2">
        <v>52.470339236658717</v>
      </c>
      <c r="S915" s="2">
        <v>1362.2948866693562</v>
      </c>
      <c r="T915" s="2">
        <v>8.7640473559980059E-4</v>
      </c>
      <c r="U915" s="2">
        <v>0.23656515754061047</v>
      </c>
      <c r="V915" s="2">
        <v>-5.258062411353194</v>
      </c>
    </row>
    <row r="916" spans="1:22" ht="15">
      <c r="A916" s="2">
        <v>915</v>
      </c>
      <c r="B916" s="2" t="s">
        <v>79</v>
      </c>
      <c r="C916" s="2" t="s">
        <v>13</v>
      </c>
      <c r="D916" s="2">
        <v>1476.9849018892273</v>
      </c>
      <c r="E916" s="2">
        <v>943.31856888020411</v>
      </c>
      <c r="F916" s="2">
        <v>377.26738713681698</v>
      </c>
      <c r="G916" s="2">
        <v>168.75068713678047</v>
      </c>
      <c r="H916" s="2">
        <v>12.094054159708321</v>
      </c>
      <c r="I916" s="2">
        <v>0.81129808512283497</v>
      </c>
      <c r="J916" s="2">
        <v>10</v>
      </c>
      <c r="K916" s="2">
        <v>182.05206310398276</v>
      </c>
      <c r="L916" s="2">
        <v>45</v>
      </c>
      <c r="M916" s="2">
        <v>25</v>
      </c>
      <c r="N916" s="2">
        <v>1.1739997037760217</v>
      </c>
      <c r="O916" s="2">
        <v>52.233027573426391</v>
      </c>
      <c r="P916" s="2">
        <v>1476.9849018892273</v>
      </c>
      <c r="Q916" s="2">
        <v>1.1861163237934989</v>
      </c>
      <c r="R916" s="2">
        <v>52.129848344342982</v>
      </c>
      <c r="S916" s="2">
        <v>1484.0460813854149</v>
      </c>
      <c r="T916" s="2">
        <v>1.2116620017477153E-2</v>
      </c>
      <c r="U916" s="2">
        <v>-0.10317922908340904</v>
      </c>
      <c r="V916" s="2">
        <v>7.0611794961876058</v>
      </c>
    </row>
    <row r="917" spans="1:22" ht="15">
      <c r="A917" s="2">
        <v>916</v>
      </c>
      <c r="B917" s="2" t="s">
        <v>79</v>
      </c>
      <c r="C917" s="2" t="s">
        <v>13</v>
      </c>
      <c r="D917" s="2">
        <v>1386.5664859651588</v>
      </c>
      <c r="E917" s="2">
        <v>883.66585806943476</v>
      </c>
      <c r="F917" s="2">
        <v>728.98289738222957</v>
      </c>
      <c r="G917" s="2">
        <v>206.05771550443023</v>
      </c>
      <c r="H917" s="2">
        <v>10.456696435343474</v>
      </c>
      <c r="I917" s="2">
        <v>0.82126943113282325</v>
      </c>
      <c r="J917" s="2">
        <v>9</v>
      </c>
      <c r="K917" s="2">
        <v>187.59123016731542</v>
      </c>
      <c r="L917" s="2">
        <v>40</v>
      </c>
      <c r="M917" s="2">
        <v>25</v>
      </c>
      <c r="N917" s="2">
        <v>1.1524466553474857</v>
      </c>
      <c r="O917" s="2">
        <v>52.258581806483832</v>
      </c>
      <c r="P917" s="2">
        <v>1386.5664859651588</v>
      </c>
      <c r="Q917" s="2">
        <v>1.171442008775178</v>
      </c>
      <c r="R917" s="2">
        <v>53.043565018958844</v>
      </c>
      <c r="S917" s="2">
        <v>1382.7038086461371</v>
      </c>
      <c r="T917" s="2">
        <v>1.8995353427692319E-2</v>
      </c>
      <c r="U917" s="2">
        <v>0.78498321247501224</v>
      </c>
      <c r="V917" s="2">
        <v>-3.8626773190217136</v>
      </c>
    </row>
    <row r="918" spans="1:22" ht="15">
      <c r="A918" s="2">
        <v>917</v>
      </c>
      <c r="B918" s="2" t="s">
        <v>79</v>
      </c>
      <c r="C918" s="2" t="s">
        <v>13</v>
      </c>
      <c r="D918" s="2">
        <v>1475.9900846052915</v>
      </c>
      <c r="E918" s="2">
        <v>734.28054786054417</v>
      </c>
      <c r="F918" s="2">
        <v>708.3826182410121</v>
      </c>
      <c r="G918" s="2">
        <v>156.28425612347201</v>
      </c>
      <c r="H918" s="2">
        <v>17.718800559639931</v>
      </c>
      <c r="I918" s="2">
        <v>0.85266600473085419</v>
      </c>
      <c r="J918" s="2">
        <v>9</v>
      </c>
      <c r="K918" s="2">
        <v>192.33662111490352</v>
      </c>
      <c r="L918" s="2">
        <v>45</v>
      </c>
      <c r="M918" s="2">
        <v>25</v>
      </c>
      <c r="N918" s="2">
        <v>1.1692150295867698</v>
      </c>
      <c r="O918" s="2">
        <v>52.224315876810429</v>
      </c>
      <c r="P918" s="2">
        <v>1475.9900846052915</v>
      </c>
      <c r="Q918" s="2">
        <v>1.1749725310614525</v>
      </c>
      <c r="R918" s="2">
        <v>50.86600231687094</v>
      </c>
      <c r="S918" s="2">
        <v>1478.755476938069</v>
      </c>
      <c r="T918" s="2">
        <v>5.7575014746826803E-3</v>
      </c>
      <c r="U918" s="2">
        <v>-1.3583135599394893</v>
      </c>
      <c r="V918" s="2">
        <v>2.7653923327775374</v>
      </c>
    </row>
    <row r="919" spans="1:22" ht="15">
      <c r="A919" s="2">
        <v>918</v>
      </c>
      <c r="B919" s="2" t="s">
        <v>80</v>
      </c>
      <c r="C919" s="2" t="s">
        <v>13</v>
      </c>
      <c r="D919" s="2">
        <v>1368.9154018764384</v>
      </c>
      <c r="E919" s="2">
        <v>793.78048980142921</v>
      </c>
      <c r="F919" s="2">
        <v>671.98825003579259</v>
      </c>
      <c r="G919" s="2">
        <v>321.4487604983151</v>
      </c>
      <c r="H919" s="2">
        <v>13.023519700858742</v>
      </c>
      <c r="I919" s="2">
        <v>0.85148407777305701</v>
      </c>
      <c r="J919" s="2">
        <v>9</v>
      </c>
      <c r="K919" s="2">
        <v>178.63130420172507</v>
      </c>
      <c r="L919" s="2">
        <v>40</v>
      </c>
      <c r="M919" s="2">
        <v>25</v>
      </c>
      <c r="N919" s="2">
        <v>1.1475112213557304</v>
      </c>
      <c r="O919" s="2">
        <v>52.25367188873981</v>
      </c>
      <c r="P919" s="2">
        <v>1368.9154018764384</v>
      </c>
      <c r="Q919" s="2">
        <v>1.1629093549832747</v>
      </c>
      <c r="R919" s="2">
        <v>52.73840005983552</v>
      </c>
      <c r="S919" s="2">
        <v>1372.95595147728</v>
      </c>
      <c r="T919" s="2">
        <v>1.5398133627544386E-2</v>
      </c>
      <c r="U919" s="2">
        <v>0.48472817109571054</v>
      </c>
      <c r="V919" s="2">
        <v>4.0405496008415867</v>
      </c>
    </row>
    <row r="920" spans="1:22" ht="15">
      <c r="A920" s="2">
        <v>919</v>
      </c>
      <c r="B920" s="2" t="s">
        <v>80</v>
      </c>
      <c r="C920" s="2" t="s">
        <v>13</v>
      </c>
      <c r="D920" s="2">
        <v>1387.7842811169103</v>
      </c>
      <c r="E920" s="2">
        <v>669.05739103676751</v>
      </c>
      <c r="F920" s="2">
        <v>723.69825094938278</v>
      </c>
      <c r="G920" s="2">
        <v>189.7429440706037</v>
      </c>
      <c r="H920" s="2">
        <v>24.103658105246723</v>
      </c>
      <c r="I920" s="2">
        <v>0.83677632655715573</v>
      </c>
      <c r="J920" s="2">
        <v>9</v>
      </c>
      <c r="K920" s="2">
        <v>184.27654865891097</v>
      </c>
      <c r="L920" s="2">
        <v>45</v>
      </c>
      <c r="M920" s="2">
        <v>25</v>
      </c>
      <c r="N920" s="2">
        <v>1.1880827783483181</v>
      </c>
      <c r="O920" s="2">
        <v>52.2217510920309</v>
      </c>
      <c r="P920" s="2">
        <v>1387.7842811169103</v>
      </c>
      <c r="Q920" s="2">
        <v>1.1746275562039792</v>
      </c>
      <c r="R920" s="2">
        <v>50.748625097447167</v>
      </c>
      <c r="S920" s="2">
        <v>1377.5981005084411</v>
      </c>
      <c r="T920" s="2">
        <v>-1.3455222144338919E-2</v>
      </c>
      <c r="U920" s="2">
        <v>-1.4731259945837323</v>
      </c>
      <c r="V920" s="2">
        <v>-10.186180608469158</v>
      </c>
    </row>
    <row r="921" spans="1:22" ht="15">
      <c r="A921" s="2">
        <v>920</v>
      </c>
      <c r="B921" s="2" t="s">
        <v>80</v>
      </c>
      <c r="C921" s="2" t="s">
        <v>13</v>
      </c>
      <c r="D921" s="2">
        <v>1450.7056618924253</v>
      </c>
      <c r="E921" s="2">
        <v>718.17730208858848</v>
      </c>
      <c r="F921" s="2">
        <v>582.125040050596</v>
      </c>
      <c r="G921" s="2">
        <v>96.698379651643336</v>
      </c>
      <c r="H921" s="2">
        <v>23.787784745451063</v>
      </c>
      <c r="I921" s="2">
        <v>0.83326291878707714</v>
      </c>
      <c r="J921" s="2">
        <v>9</v>
      </c>
      <c r="K921" s="2">
        <v>193.44376709175972</v>
      </c>
      <c r="L921" s="2">
        <v>50</v>
      </c>
      <c r="M921" s="2">
        <v>25</v>
      </c>
      <c r="N921" s="2">
        <v>1.1549352381977036</v>
      </c>
      <c r="O921" s="2">
        <v>52.192827337545232</v>
      </c>
      <c r="P921" s="2">
        <v>1450.7056618924253</v>
      </c>
      <c r="Q921" s="2">
        <v>1.1352499726912162</v>
      </c>
      <c r="R921" s="2">
        <v>52.453674604850008</v>
      </c>
      <c r="S921" s="2">
        <v>1457.8088235092291</v>
      </c>
      <c r="T921" s="2">
        <v>-1.9685265506487415E-2</v>
      </c>
      <c r="U921" s="2">
        <v>0.2608472673047757</v>
      </c>
      <c r="V921" s="2">
        <v>7.1031616168038454</v>
      </c>
    </row>
    <row r="922" spans="1:22" ht="15">
      <c r="A922" s="2">
        <v>921</v>
      </c>
      <c r="B922" s="2" t="s">
        <v>78</v>
      </c>
      <c r="C922" s="2" t="s">
        <v>13</v>
      </c>
      <c r="D922" s="2">
        <v>1481.7680686712265</v>
      </c>
      <c r="E922" s="2">
        <v>946.2990666157566</v>
      </c>
      <c r="F922" s="2">
        <v>569.87863052636385</v>
      </c>
      <c r="G922" s="2">
        <v>312.44005307788029</v>
      </c>
      <c r="H922" s="2">
        <v>15.776247767731547</v>
      </c>
      <c r="I922" s="2">
        <v>0.85366525058867415</v>
      </c>
      <c r="J922" s="2">
        <v>9</v>
      </c>
      <c r="K922" s="2">
        <v>192.86353334107412</v>
      </c>
      <c r="L922" s="2">
        <v>40</v>
      </c>
      <c r="M922" s="2">
        <v>25</v>
      </c>
      <c r="N922" s="2">
        <v>1.1873263743051179</v>
      </c>
      <c r="O922" s="2">
        <v>52.260127222703055</v>
      </c>
      <c r="P922" s="2">
        <v>1481.7680686712265</v>
      </c>
      <c r="Q922" s="2">
        <v>1.2005027706257956</v>
      </c>
      <c r="R922" s="2">
        <v>52.549069103690385</v>
      </c>
      <c r="S922" s="2">
        <v>1476.2801855452749</v>
      </c>
      <c r="T922" s="2">
        <v>1.3176396320677686E-2</v>
      </c>
      <c r="U922" s="2">
        <v>0.28894188098733053</v>
      </c>
      <c r="V922" s="2">
        <v>-5.4878831259516119</v>
      </c>
    </row>
    <row r="923" spans="1:22" ht="15">
      <c r="A923" s="2">
        <v>922</v>
      </c>
      <c r="B923" s="2" t="s">
        <v>78</v>
      </c>
      <c r="C923" s="2" t="s">
        <v>13</v>
      </c>
      <c r="D923" s="2">
        <v>1421.1980214924552</v>
      </c>
      <c r="E923" s="2">
        <v>1129.2513409862295</v>
      </c>
      <c r="F923" s="2">
        <v>406.4918682910502</v>
      </c>
      <c r="G923" s="2">
        <v>218.43396841548383</v>
      </c>
      <c r="H923" s="2">
        <v>17.705852326471359</v>
      </c>
      <c r="I923" s="2">
        <v>0.80602750272024426</v>
      </c>
      <c r="J923" s="2">
        <v>9</v>
      </c>
      <c r="K923" s="2">
        <v>195.91253492468869</v>
      </c>
      <c r="L923" s="2">
        <v>40</v>
      </c>
      <c r="M923" s="2">
        <v>25</v>
      </c>
      <c r="N923" s="2">
        <v>1.1527174659157895</v>
      </c>
      <c r="O923" s="2">
        <v>52.248520076431738</v>
      </c>
      <c r="P923" s="2">
        <v>1421.1980214924552</v>
      </c>
      <c r="Q923" s="2">
        <v>1.1472166992339003</v>
      </c>
      <c r="R923" s="2">
        <v>53.198160314835491</v>
      </c>
      <c r="S923" s="2">
        <v>1418.4239300987383</v>
      </c>
      <c r="T923" s="2">
        <v>-5.5007666818891465E-3</v>
      </c>
      <c r="U923" s="2">
        <v>0.94964023840375233</v>
      </c>
      <c r="V923" s="2">
        <v>-2.7740913937168443</v>
      </c>
    </row>
    <row r="924" spans="1:22" ht="15">
      <c r="A924" s="2">
        <v>923</v>
      </c>
      <c r="B924" s="2" t="s">
        <v>78</v>
      </c>
      <c r="C924" s="2" t="s">
        <v>13</v>
      </c>
      <c r="D924" s="2">
        <v>1408.8293821318075</v>
      </c>
      <c r="E924" s="2">
        <v>655.04695220151916</v>
      </c>
      <c r="F924" s="2">
        <v>707.88148678839207</v>
      </c>
      <c r="G924" s="2">
        <v>315.1397734018974</v>
      </c>
      <c r="H924" s="2">
        <v>15.949813210405409</v>
      </c>
      <c r="I924" s="2">
        <v>0.85372400830267003</v>
      </c>
      <c r="J924" s="2">
        <v>9</v>
      </c>
      <c r="K924" s="2">
        <v>183.35738071354376</v>
      </c>
      <c r="L924" s="2">
        <v>45</v>
      </c>
      <c r="M924" s="2">
        <v>25</v>
      </c>
      <c r="N924" s="2">
        <v>1.2143923815994093</v>
      </c>
      <c r="O924" s="2">
        <v>52.236652786017189</v>
      </c>
      <c r="P924" s="2">
        <v>1408.8293821318075</v>
      </c>
      <c r="Q924" s="2">
        <v>1.2286242969113461</v>
      </c>
      <c r="R924" s="2">
        <v>52.241631639509791</v>
      </c>
      <c r="S924" s="2">
        <v>1411.1261396033567</v>
      </c>
      <c r="T924" s="2">
        <v>1.4231915311936794E-2</v>
      </c>
      <c r="U924" s="2">
        <v>4.9788534926022976E-3</v>
      </c>
      <c r="V924" s="2">
        <v>2.2967574715491992</v>
      </c>
    </row>
    <row r="925" spans="1:22" ht="15">
      <c r="A925" s="2">
        <v>924</v>
      </c>
      <c r="B925" s="2" t="s">
        <v>78</v>
      </c>
      <c r="C925" s="2" t="s">
        <v>13</v>
      </c>
      <c r="D925" s="2">
        <v>1359.4007961801253</v>
      </c>
      <c r="E925" s="2">
        <v>797.91164915077388</v>
      </c>
      <c r="F925" s="2">
        <v>713.84423030540347</v>
      </c>
      <c r="G925" s="2">
        <v>274.92268178146333</v>
      </c>
      <c r="H925" s="2">
        <v>28.760016943793744</v>
      </c>
      <c r="I925" s="2">
        <v>0.84853547535836704</v>
      </c>
      <c r="J925" s="2">
        <v>9</v>
      </c>
      <c r="K925" s="2">
        <v>178.00614976658611</v>
      </c>
      <c r="L925" s="2">
        <v>40</v>
      </c>
      <c r="M925" s="2">
        <v>25</v>
      </c>
      <c r="N925" s="2">
        <v>1.2296621909924219</v>
      </c>
      <c r="O925" s="2">
        <v>52.253587854660985</v>
      </c>
      <c r="P925" s="2">
        <v>1359.4007961801253</v>
      </c>
      <c r="Q925" s="2">
        <v>1.2189592206774933</v>
      </c>
      <c r="R925" s="2">
        <v>51.716870885269181</v>
      </c>
      <c r="S925" s="2">
        <v>1336.8811751739026</v>
      </c>
      <c r="T925" s="2">
        <v>-1.0702970314928617E-2</v>
      </c>
      <c r="U925" s="2">
        <v>-0.53671696939180435</v>
      </c>
      <c r="V925" s="2">
        <v>-22.519621006222678</v>
      </c>
    </row>
    <row r="926" spans="1:22" ht="15">
      <c r="A926" s="2">
        <v>925</v>
      </c>
      <c r="B926" s="2" t="s">
        <v>78</v>
      </c>
      <c r="C926" s="2" t="s">
        <v>13</v>
      </c>
      <c r="D926" s="2">
        <v>1355.3545727860183</v>
      </c>
      <c r="E926" s="2">
        <v>624.5996528188698</v>
      </c>
      <c r="F926" s="2">
        <v>436.49385329335928</v>
      </c>
      <c r="G926" s="2">
        <v>127.23769874544814</v>
      </c>
      <c r="H926" s="2">
        <v>20.277870904654264</v>
      </c>
      <c r="I926" s="2">
        <v>0.84173975240672005</v>
      </c>
      <c r="J926" s="2">
        <v>9</v>
      </c>
      <c r="K926" s="2">
        <v>178.90916058222928</v>
      </c>
      <c r="L926" s="2">
        <v>65</v>
      </c>
      <c r="M926" s="2">
        <v>25</v>
      </c>
      <c r="N926" s="2">
        <v>1.2311747154995518</v>
      </c>
      <c r="O926" s="2">
        <v>52.160290543117434</v>
      </c>
      <c r="P926" s="2">
        <v>1355.3545727860183</v>
      </c>
      <c r="Q926" s="2">
        <v>1.2105676449187057</v>
      </c>
      <c r="R926" s="2">
        <v>50.715708961002449</v>
      </c>
      <c r="S926" s="2">
        <v>1359.7187661952892</v>
      </c>
      <c r="T926" s="2">
        <v>-2.0607070580846099E-2</v>
      </c>
      <c r="U926" s="2">
        <v>-1.444581582114985</v>
      </c>
      <c r="V926" s="2">
        <v>4.3641934092709107</v>
      </c>
    </row>
    <row r="927" spans="1:22" ht="15">
      <c r="A927" s="2">
        <v>926</v>
      </c>
      <c r="B927" s="2" t="s">
        <v>78</v>
      </c>
      <c r="C927" s="2" t="s">
        <v>13</v>
      </c>
      <c r="D927" s="2">
        <v>1380.6441679713316</v>
      </c>
      <c r="E927" s="2">
        <v>899.44493237417191</v>
      </c>
      <c r="F927" s="2">
        <v>398.92572360113263</v>
      </c>
      <c r="G927" s="2">
        <v>195.31522776931524</v>
      </c>
      <c r="H927" s="2">
        <v>20.189734714571387</v>
      </c>
      <c r="I927" s="2">
        <v>0.81344766880851238</v>
      </c>
      <c r="J927" s="2">
        <v>9</v>
      </c>
      <c r="K927" s="2">
        <v>188.58608049989024</v>
      </c>
      <c r="L927" s="2">
        <v>50</v>
      </c>
      <c r="M927" s="2">
        <v>25</v>
      </c>
      <c r="N927" s="2">
        <v>1.2125511684224233</v>
      </c>
      <c r="O927" s="2">
        <v>52.207902971422868</v>
      </c>
      <c r="P927" s="2">
        <v>1380.6441679713316</v>
      </c>
      <c r="Q927" s="2">
        <v>1.2129549444140824</v>
      </c>
      <c r="R927" s="2">
        <v>52.683106279863189</v>
      </c>
      <c r="S927" s="2">
        <v>1384.3465441564983</v>
      </c>
      <c r="T927" s="2">
        <v>4.0377599165908329E-4</v>
      </c>
      <c r="U927" s="2">
        <v>0.47520330844032088</v>
      </c>
      <c r="V927" s="2">
        <v>3.7023761851667132</v>
      </c>
    </row>
    <row r="928" spans="1:22" ht="15">
      <c r="A928" s="2">
        <v>927</v>
      </c>
      <c r="B928" s="2" t="s">
        <v>78</v>
      </c>
      <c r="C928" s="2" t="s">
        <v>13</v>
      </c>
      <c r="D928" s="2">
        <v>1379.7094073379412</v>
      </c>
      <c r="E928" s="2">
        <v>975.52399105625227</v>
      </c>
      <c r="F928" s="2">
        <v>734.40436348319054</v>
      </c>
      <c r="G928" s="2">
        <v>309.72127929097041</v>
      </c>
      <c r="H928" s="2">
        <v>18.685734025202692</v>
      </c>
      <c r="I928" s="2">
        <v>0.81106935063144192</v>
      </c>
      <c r="J928" s="2">
        <v>9</v>
      </c>
      <c r="K928" s="2">
        <v>189.01102000762543</v>
      </c>
      <c r="L928" s="2">
        <v>35</v>
      </c>
      <c r="M928" s="2">
        <v>25</v>
      </c>
      <c r="N928" s="2">
        <v>1.1797859653441216</v>
      </c>
      <c r="O928" s="2">
        <v>52.289913869155008</v>
      </c>
      <c r="P928" s="2">
        <v>1379.7094073379412</v>
      </c>
      <c r="Q928" s="2">
        <v>1.1976047318132659</v>
      </c>
      <c r="R928" s="2">
        <v>52.642224033900128</v>
      </c>
      <c r="S928" s="2">
        <v>1373.1741653581787</v>
      </c>
      <c r="T928" s="2">
        <v>1.7818766469144265E-2</v>
      </c>
      <c r="U928" s="2">
        <v>0.35231016474511989</v>
      </c>
      <c r="V928" s="2">
        <v>-6.5352419797625316</v>
      </c>
    </row>
    <row r="929" spans="1:22" ht="15">
      <c r="A929" s="2">
        <v>928</v>
      </c>
      <c r="B929" s="2" t="s">
        <v>78</v>
      </c>
      <c r="C929" s="2" t="s">
        <v>13</v>
      </c>
      <c r="D929" s="2">
        <v>1380.336956481915</v>
      </c>
      <c r="E929" s="2">
        <v>850.89244022965431</v>
      </c>
      <c r="F929" s="2">
        <v>560.77996781095862</v>
      </c>
      <c r="G929" s="2">
        <v>217.71732815075666</v>
      </c>
      <c r="H929" s="2">
        <v>29.529827566351742</v>
      </c>
      <c r="I929" s="2">
        <v>0.85180165420286358</v>
      </c>
      <c r="J929" s="2">
        <v>9</v>
      </c>
      <c r="K929" s="2">
        <v>180.05456104210438</v>
      </c>
      <c r="L929" s="2">
        <v>45</v>
      </c>
      <c r="M929" s="2">
        <v>25</v>
      </c>
      <c r="N929" s="2">
        <v>1.2449743675962259</v>
      </c>
      <c r="O929" s="2">
        <v>52.229062594615641</v>
      </c>
      <c r="P929" s="2">
        <v>1380.336956481915</v>
      </c>
      <c r="Q929" s="2">
        <v>1.2362843865540987</v>
      </c>
      <c r="R929" s="2">
        <v>51.174955618734032</v>
      </c>
      <c r="S929" s="2">
        <v>1366.1915910433006</v>
      </c>
      <c r="T929" s="2">
        <v>-8.6899810421272594E-3</v>
      </c>
      <c r="U929" s="2">
        <v>-1.0541069758816093</v>
      </c>
      <c r="V929" s="2">
        <v>-14.145365438614363</v>
      </c>
    </row>
    <row r="930" spans="1:22" ht="15">
      <c r="A930" s="2">
        <v>929</v>
      </c>
      <c r="B930" s="2" t="s">
        <v>78</v>
      </c>
      <c r="C930" s="2" t="s">
        <v>13</v>
      </c>
      <c r="D930" s="2">
        <v>1381.0130051337183</v>
      </c>
      <c r="E930" s="2">
        <v>850.38172596832737</v>
      </c>
      <c r="F930" s="2">
        <v>624.37637690454721</v>
      </c>
      <c r="G930" s="2">
        <v>100.74639411875978</v>
      </c>
      <c r="H930" s="2">
        <v>25.660501921549439</v>
      </c>
      <c r="I930" s="2">
        <v>0.84776419881032783</v>
      </c>
      <c r="J930" s="2">
        <v>9</v>
      </c>
      <c r="K930" s="2">
        <v>181.00067173706259</v>
      </c>
      <c r="L930" s="2">
        <v>45</v>
      </c>
      <c r="M930" s="2">
        <v>25</v>
      </c>
      <c r="N930" s="2">
        <v>1.1905305852437738</v>
      </c>
      <c r="O930" s="2">
        <v>52.220660538693423</v>
      </c>
      <c r="P930" s="2">
        <v>1381.0130051337183</v>
      </c>
      <c r="Q930" s="2">
        <v>1.1968004674675756</v>
      </c>
      <c r="R930" s="2">
        <v>51.598197309091816</v>
      </c>
      <c r="S930" s="2">
        <v>1374.4166196469378</v>
      </c>
      <c r="T930" s="2">
        <v>6.2698822238018703E-3</v>
      </c>
      <c r="U930" s="2">
        <v>-0.62246322960160683</v>
      </c>
      <c r="V930" s="2">
        <v>-6.5963854867804912</v>
      </c>
    </row>
    <row r="931" spans="1:22" ht="15">
      <c r="A931" s="2">
        <v>930</v>
      </c>
      <c r="B931" s="2" t="s">
        <v>78</v>
      </c>
      <c r="C931" s="2" t="s">
        <v>13</v>
      </c>
      <c r="D931" s="2">
        <v>1477.0970167242922</v>
      </c>
      <c r="E931" s="2">
        <v>1021.0838596569374</v>
      </c>
      <c r="F931" s="2">
        <v>359.19362837448716</v>
      </c>
      <c r="G931" s="2">
        <v>279.18577023781836</v>
      </c>
      <c r="H931" s="2">
        <v>8.2835446079261601</v>
      </c>
      <c r="I931" s="2">
        <v>0.80998819357249885</v>
      </c>
      <c r="J931" s="2">
        <v>10</v>
      </c>
      <c r="K931" s="2">
        <v>182.36031443982807</v>
      </c>
      <c r="L931" s="2">
        <v>40</v>
      </c>
      <c r="M931" s="2">
        <v>25</v>
      </c>
      <c r="N931" s="2">
        <v>1.1509396278462918</v>
      </c>
      <c r="O931" s="2">
        <v>52.262502009495137</v>
      </c>
      <c r="P931" s="2">
        <v>1477.0970167242922</v>
      </c>
      <c r="Q931" s="2">
        <v>1.1474393158442167</v>
      </c>
      <c r="R931" s="2">
        <v>51.904291259307449</v>
      </c>
      <c r="S931" s="2">
        <v>1486.5189212115861</v>
      </c>
      <c r="T931" s="2">
        <v>-3.5003120020751233E-3</v>
      </c>
      <c r="U931" s="2">
        <v>-0.35821075018768767</v>
      </c>
      <c r="V931" s="2">
        <v>9.4219044872938866</v>
      </c>
    </row>
    <row r="932" spans="1:22" ht="15">
      <c r="A932" s="2">
        <v>931</v>
      </c>
      <c r="B932" s="2" t="s">
        <v>78</v>
      </c>
      <c r="C932" s="2" t="s">
        <v>13</v>
      </c>
      <c r="D932" s="2">
        <v>1355.8382585411891</v>
      </c>
      <c r="E932" s="2">
        <v>871.73669800395146</v>
      </c>
      <c r="F932" s="2">
        <v>615.03951363265514</v>
      </c>
      <c r="G932" s="2">
        <v>199.28536527557299</v>
      </c>
      <c r="H932" s="2">
        <v>10.785403837449849</v>
      </c>
      <c r="I932" s="2">
        <v>0.82664190285606309</v>
      </c>
      <c r="J932" s="2">
        <v>9</v>
      </c>
      <c r="K932" s="2">
        <v>182.24178434818199</v>
      </c>
      <c r="L932" s="2">
        <v>45</v>
      </c>
      <c r="M932" s="2">
        <v>25</v>
      </c>
      <c r="N932" s="2">
        <v>1.1946664617901406</v>
      </c>
      <c r="O932" s="2">
        <v>52.237899151380034</v>
      </c>
      <c r="P932" s="2">
        <v>1355.8382585411891</v>
      </c>
      <c r="Q932" s="2">
        <v>1.2008848633300766</v>
      </c>
      <c r="R932" s="2">
        <v>51.868912550177598</v>
      </c>
      <c r="S932" s="2">
        <v>1358.888437466404</v>
      </c>
      <c r="T932" s="2">
        <v>6.2184015399360248E-3</v>
      </c>
      <c r="U932" s="2">
        <v>-0.36898660120243676</v>
      </c>
      <c r="V932" s="2">
        <v>3.0501789252148228</v>
      </c>
    </row>
    <row r="933" spans="1:22" ht="15">
      <c r="A933" s="2">
        <v>932</v>
      </c>
      <c r="B933" s="2" t="s">
        <v>78</v>
      </c>
      <c r="C933" s="2" t="s">
        <v>13</v>
      </c>
      <c r="D933" s="2">
        <v>1475.1710350974463</v>
      </c>
      <c r="E933" s="2">
        <v>827.95834844000638</v>
      </c>
      <c r="F933" s="2">
        <v>641.31155936047435</v>
      </c>
      <c r="G933" s="2">
        <v>247.35730168875307</v>
      </c>
      <c r="H933" s="2">
        <v>27.501720912288874</v>
      </c>
      <c r="I933" s="2">
        <v>0.85107507331296806</v>
      </c>
      <c r="J933" s="2">
        <v>9</v>
      </c>
      <c r="K933" s="2">
        <v>192.58922970280776</v>
      </c>
      <c r="L933" s="2">
        <v>40</v>
      </c>
      <c r="M933" s="2">
        <v>25</v>
      </c>
      <c r="N933" s="2">
        <v>1.1807879630498572</v>
      </c>
      <c r="O933" s="2">
        <v>52.242665097639609</v>
      </c>
      <c r="P933" s="2">
        <v>1475.1710350974463</v>
      </c>
      <c r="Q933" s="2">
        <v>1.1663559741319043</v>
      </c>
      <c r="R933" s="2">
        <v>52.918750193179072</v>
      </c>
      <c r="S933" s="2">
        <v>1452.430565784317</v>
      </c>
      <c r="T933" s="2">
        <v>-1.4431988917952943E-2</v>
      </c>
      <c r="U933" s="2">
        <v>0.67608509553946305</v>
      </c>
      <c r="V933" s="2">
        <v>-22.740469313129324</v>
      </c>
    </row>
    <row r="934" spans="1:22" ht="15">
      <c r="A934" s="2">
        <v>933</v>
      </c>
      <c r="B934" s="2" t="s">
        <v>78</v>
      </c>
      <c r="C934" s="2" t="s">
        <v>13</v>
      </c>
      <c r="D934" s="2">
        <v>1477.3297032807022</v>
      </c>
      <c r="E934" s="2">
        <v>1075.6418628501706</v>
      </c>
      <c r="F934" s="2">
        <v>580.89530002325773</v>
      </c>
      <c r="G934" s="2">
        <v>263.56150138424709</v>
      </c>
      <c r="H934" s="2">
        <v>9.5055574253201485</v>
      </c>
      <c r="I934" s="2">
        <v>0.79371278861770411</v>
      </c>
      <c r="J934" s="2">
        <v>10</v>
      </c>
      <c r="K934" s="2">
        <v>186.12900339599614</v>
      </c>
      <c r="L934" s="2">
        <v>35</v>
      </c>
      <c r="M934" s="2">
        <v>25</v>
      </c>
      <c r="N934" s="2">
        <v>1.1776276292214709</v>
      </c>
      <c r="O934" s="2">
        <v>52.307657093582641</v>
      </c>
      <c r="P934" s="2">
        <v>1477.3297032807022</v>
      </c>
      <c r="Q934" s="2">
        <v>1.1881139361089768</v>
      </c>
      <c r="R934" s="2">
        <v>51.869565024766302</v>
      </c>
      <c r="S934" s="2">
        <v>1473.9385904623364</v>
      </c>
      <c r="T934" s="2">
        <v>1.0486306887505847E-2</v>
      </c>
      <c r="U934" s="2">
        <v>-0.43809206881633855</v>
      </c>
      <c r="V934" s="2">
        <v>-3.3911128183658548</v>
      </c>
    </row>
    <row r="935" spans="1:22" ht="15">
      <c r="A935" s="2">
        <v>934</v>
      </c>
      <c r="B935" s="2" t="s">
        <v>78</v>
      </c>
      <c r="C935" s="2" t="s">
        <v>13</v>
      </c>
      <c r="D935" s="2">
        <v>1420.8934794296511</v>
      </c>
      <c r="E935" s="2">
        <v>835.11728865560144</v>
      </c>
      <c r="F935" s="2">
        <v>508.9807060547173</v>
      </c>
      <c r="G935" s="2">
        <v>238.85807340964675</v>
      </c>
      <c r="H935" s="2">
        <v>11.842008321080357</v>
      </c>
      <c r="I935" s="2">
        <v>0.82211772353854029</v>
      </c>
      <c r="J935" s="2">
        <v>9</v>
      </c>
      <c r="K935" s="2">
        <v>192.03703891752926</v>
      </c>
      <c r="L935" s="2">
        <v>50</v>
      </c>
      <c r="M935" s="2">
        <v>25</v>
      </c>
      <c r="N935" s="2">
        <v>1.2433122575967874</v>
      </c>
      <c r="O935" s="2">
        <v>52.221822424921605</v>
      </c>
      <c r="P935" s="2">
        <v>1420.8934794296511</v>
      </c>
      <c r="Q935" s="2">
        <v>1.243142900340102</v>
      </c>
      <c r="R935" s="2">
        <v>52.942547292855586</v>
      </c>
      <c r="S935" s="2">
        <v>1430.9411854929826</v>
      </c>
      <c r="T935" s="2">
        <v>-1.6935725668543178E-4</v>
      </c>
      <c r="U935" s="2">
        <v>0.72072486793398127</v>
      </c>
      <c r="V935" s="2">
        <v>10.047706063331589</v>
      </c>
    </row>
    <row r="936" spans="1:22" ht="15">
      <c r="A936" s="2">
        <v>935</v>
      </c>
      <c r="B936" s="2" t="s">
        <v>79</v>
      </c>
      <c r="C936" s="2" t="s">
        <v>13</v>
      </c>
      <c r="D936" s="2">
        <v>1430.0091023789719</v>
      </c>
      <c r="E936" s="2">
        <v>1191.7060677078553</v>
      </c>
      <c r="F936" s="2">
        <v>624.33575391769409</v>
      </c>
      <c r="G936" s="2">
        <v>89.510649309959263</v>
      </c>
      <c r="H936" s="2">
        <v>9.9852494774386287</v>
      </c>
      <c r="I936" s="2">
        <v>0.83639068297808994</v>
      </c>
      <c r="J936" s="2">
        <v>9</v>
      </c>
      <c r="K936" s="2">
        <v>189.97091131931282</v>
      </c>
      <c r="L936" s="2">
        <v>40</v>
      </c>
      <c r="M936" s="2">
        <v>25</v>
      </c>
      <c r="N936" s="2">
        <v>1.2021251358512099</v>
      </c>
      <c r="O936" s="2">
        <v>52.272123269030615</v>
      </c>
      <c r="P936" s="2">
        <v>1430.0091023789719</v>
      </c>
      <c r="Q936" s="2">
        <v>1.2273169282046574</v>
      </c>
      <c r="R936" s="2">
        <v>51.970890853008825</v>
      </c>
      <c r="S936" s="2">
        <v>1430.4023284998432</v>
      </c>
      <c r="T936" s="2">
        <v>2.5191792353447484E-2</v>
      </c>
      <c r="U936" s="2">
        <v>-0.30123241602179007</v>
      </c>
      <c r="V936" s="2">
        <v>0.39322612087130437</v>
      </c>
    </row>
    <row r="937" spans="1:22" ht="15">
      <c r="A937" s="2">
        <v>936</v>
      </c>
      <c r="B937" s="2" t="s">
        <v>79</v>
      </c>
      <c r="C937" s="2" t="s">
        <v>13</v>
      </c>
      <c r="D937" s="2">
        <v>1429.252818308305</v>
      </c>
      <c r="E937" s="2">
        <v>958.82091829553246</v>
      </c>
      <c r="F937" s="2">
        <v>591.52003293856978</v>
      </c>
      <c r="G937" s="2">
        <v>222.03391375485808</v>
      </c>
      <c r="H937" s="2">
        <v>13.219262254890054</v>
      </c>
      <c r="I937" s="2">
        <v>0.84631282449699941</v>
      </c>
      <c r="J937" s="2">
        <v>9</v>
      </c>
      <c r="K937" s="2">
        <v>187.64440772276851</v>
      </c>
      <c r="L937" s="2">
        <v>40</v>
      </c>
      <c r="M937" s="2">
        <v>25</v>
      </c>
      <c r="N937" s="2">
        <v>1.1396301245769245</v>
      </c>
      <c r="O937" s="2">
        <v>52.2513575508234</v>
      </c>
      <c r="P937" s="2">
        <v>1429.252818308305</v>
      </c>
      <c r="Q937" s="2">
        <v>1.158000703638266</v>
      </c>
      <c r="R937" s="2">
        <v>52.777122153418958</v>
      </c>
      <c r="S937" s="2">
        <v>1436.9684687629972</v>
      </c>
      <c r="T937" s="2">
        <v>1.8370579061341541E-2</v>
      </c>
      <c r="U937" s="2">
        <v>0.52576460259555802</v>
      </c>
      <c r="V937" s="2">
        <v>7.7156504546921951</v>
      </c>
    </row>
    <row r="938" spans="1:22" ht="15">
      <c r="A938" s="2">
        <v>937</v>
      </c>
      <c r="B938" s="2" t="s">
        <v>79</v>
      </c>
      <c r="C938" s="2" t="s">
        <v>13</v>
      </c>
      <c r="D938" s="2">
        <v>1474.1151792928576</v>
      </c>
      <c r="E938" s="2">
        <v>1051.6314391396008</v>
      </c>
      <c r="F938" s="2">
        <v>549.80186242610216</v>
      </c>
      <c r="G938" s="2">
        <v>135.92624802375212</v>
      </c>
      <c r="H938" s="2">
        <v>25.336768170818686</v>
      </c>
      <c r="I938" s="2">
        <v>0.79392326892586429</v>
      </c>
      <c r="J938" s="2">
        <v>10</v>
      </c>
      <c r="K938" s="2">
        <v>185.67476694407216</v>
      </c>
      <c r="L938" s="2">
        <v>35</v>
      </c>
      <c r="M938" s="2">
        <v>25</v>
      </c>
      <c r="N938" s="2">
        <v>1.1567735965197483</v>
      </c>
      <c r="O938" s="2">
        <v>52.275997541966369</v>
      </c>
      <c r="P938" s="2">
        <v>1474.1151792928576</v>
      </c>
      <c r="Q938" s="2">
        <v>1.1516564745042963</v>
      </c>
      <c r="R938" s="2">
        <v>52.140660580358279</v>
      </c>
      <c r="S938" s="2">
        <v>1464.9337185083257</v>
      </c>
      <c r="T938" s="2">
        <v>-5.1171220154520025E-3</v>
      </c>
      <c r="U938" s="2">
        <v>-0.13533696160808972</v>
      </c>
      <c r="V938" s="2">
        <v>-9.1814607845319642</v>
      </c>
    </row>
    <row r="939" spans="1:22" ht="15">
      <c r="A939" s="2">
        <v>938</v>
      </c>
      <c r="B939" s="2" t="s">
        <v>80</v>
      </c>
      <c r="C939" s="2" t="s">
        <v>13</v>
      </c>
      <c r="D939" s="2">
        <v>1438.8108593062498</v>
      </c>
      <c r="E939" s="2">
        <v>950.98670239094645</v>
      </c>
      <c r="F939" s="2">
        <v>623.37936768308282</v>
      </c>
      <c r="G939" s="2">
        <v>134.01242035441101</v>
      </c>
      <c r="H939" s="2">
        <v>15.304652888793498</v>
      </c>
      <c r="I939" s="2">
        <v>0.8553647730918601</v>
      </c>
      <c r="J939" s="2">
        <v>9</v>
      </c>
      <c r="K939" s="2">
        <v>186.90023050444384</v>
      </c>
      <c r="L939" s="2">
        <v>45</v>
      </c>
      <c r="M939" s="2">
        <v>25</v>
      </c>
      <c r="N939" s="2">
        <v>1.2318235977550533</v>
      </c>
      <c r="O939" s="2">
        <v>52.241378916120055</v>
      </c>
      <c r="P939" s="2">
        <v>1438.8108593062498</v>
      </c>
      <c r="Q939" s="2">
        <v>1.2380933293457901</v>
      </c>
      <c r="R939" s="2">
        <v>52.864115271533123</v>
      </c>
      <c r="S939" s="2">
        <v>1444.9401611662138</v>
      </c>
      <c r="T939" s="2">
        <v>6.2697315907367379E-3</v>
      </c>
      <c r="U939" s="2">
        <v>0.6227363554130676</v>
      </c>
      <c r="V939" s="2">
        <v>6.1293018599640163</v>
      </c>
    </row>
    <row r="940" spans="1:22" ht="15">
      <c r="A940" s="2">
        <v>939</v>
      </c>
      <c r="B940" s="2" t="s">
        <v>80</v>
      </c>
      <c r="C940" s="2" t="s">
        <v>13</v>
      </c>
      <c r="D940" s="2">
        <v>1492.5719826249406</v>
      </c>
      <c r="E940" s="2">
        <v>1097.4188922555186</v>
      </c>
      <c r="F940" s="2">
        <v>494.66203041374683</v>
      </c>
      <c r="G940" s="2">
        <v>117.8760194289498</v>
      </c>
      <c r="H940" s="2">
        <v>20.342612997628748</v>
      </c>
      <c r="I940" s="2">
        <v>0.79984255171148111</v>
      </c>
      <c r="J940" s="2">
        <v>10</v>
      </c>
      <c r="K940" s="2">
        <v>186.60822426003421</v>
      </c>
      <c r="L940" s="2">
        <v>40</v>
      </c>
      <c r="M940" s="2">
        <v>25</v>
      </c>
      <c r="N940" s="2">
        <v>1.243892098148377</v>
      </c>
      <c r="O940" s="2">
        <v>52.271250040218519</v>
      </c>
      <c r="P940" s="2">
        <v>1492.5719826249406</v>
      </c>
      <c r="Q940" s="2">
        <v>1.2469732353128848</v>
      </c>
      <c r="R940" s="2">
        <v>52.205767493856015</v>
      </c>
      <c r="S940" s="2">
        <v>1496.8174748928618</v>
      </c>
      <c r="T940" s="2">
        <v>3.0811371645078633E-3</v>
      </c>
      <c r="U940" s="2">
        <v>-6.5482546362503058E-2</v>
      </c>
      <c r="V940" s="2">
        <v>4.2454922679212359</v>
      </c>
    </row>
    <row r="941" spans="1:22" ht="15">
      <c r="A941" s="2">
        <v>940</v>
      </c>
      <c r="B941" s="2" t="s">
        <v>80</v>
      </c>
      <c r="C941" s="2" t="s">
        <v>13</v>
      </c>
      <c r="D941" s="2">
        <v>1425.6331650889479</v>
      </c>
      <c r="E941" s="2">
        <v>1161.2961330916733</v>
      </c>
      <c r="F941" s="2">
        <v>626.54067678377032</v>
      </c>
      <c r="G941" s="2">
        <v>182.78168402146548</v>
      </c>
      <c r="H941" s="2">
        <v>29.261928427498788</v>
      </c>
      <c r="I941" s="2">
        <v>0.83012042943388231</v>
      </c>
      <c r="J941" s="2">
        <v>9</v>
      </c>
      <c r="K941" s="2">
        <v>190.82012608448844</v>
      </c>
      <c r="L941" s="2">
        <v>35</v>
      </c>
      <c r="M941" s="2">
        <v>25</v>
      </c>
      <c r="N941" s="2">
        <v>1.215186813783723</v>
      </c>
      <c r="O941" s="2">
        <v>52.282268688660871</v>
      </c>
      <c r="P941" s="2">
        <v>1425.6331650889479</v>
      </c>
      <c r="Q941" s="2">
        <v>1.2070430502127245</v>
      </c>
      <c r="R941" s="2">
        <v>54.007662063748654</v>
      </c>
      <c r="S941" s="2">
        <v>1396.8165087148898</v>
      </c>
      <c r="T941" s="2">
        <v>-8.1437635709984413E-3</v>
      </c>
      <c r="U941" s="2">
        <v>1.7253933750877835</v>
      </c>
      <c r="V941" s="2">
        <v>-28.816656374058084</v>
      </c>
    </row>
    <row r="942" spans="1:22" ht="15">
      <c r="A942" s="2">
        <v>941</v>
      </c>
      <c r="B942" s="2" t="s">
        <v>78</v>
      </c>
      <c r="C942" s="2" t="s">
        <v>13</v>
      </c>
      <c r="D942" s="2">
        <v>1413.4752867277712</v>
      </c>
      <c r="E942" s="2">
        <v>1193.8865366275422</v>
      </c>
      <c r="F942" s="2">
        <v>528.96870281547308</v>
      </c>
      <c r="G942" s="2">
        <v>314.05069654108956</v>
      </c>
      <c r="H942" s="2">
        <v>11.931580428034067</v>
      </c>
      <c r="I942" s="2">
        <v>0.82533558257156991</v>
      </c>
      <c r="J942" s="2">
        <v>9</v>
      </c>
      <c r="K942" s="2">
        <v>190.28963848508255</v>
      </c>
      <c r="L942" s="2">
        <v>35</v>
      </c>
      <c r="M942" s="2">
        <v>25</v>
      </c>
      <c r="N942" s="2">
        <v>1.1478646116607583</v>
      </c>
      <c r="O942" s="2">
        <v>52.292604558068319</v>
      </c>
      <c r="P942" s="2">
        <v>1413.4752867277712</v>
      </c>
      <c r="Q942" s="2">
        <v>1.1640724048573063</v>
      </c>
      <c r="R942" s="2">
        <v>52.495076684933721</v>
      </c>
      <c r="S942" s="2">
        <v>1415.1163289520839</v>
      </c>
      <c r="T942" s="2">
        <v>1.6207793196548081E-2</v>
      </c>
      <c r="U942" s="2">
        <v>0.20247212686540195</v>
      </c>
      <c r="V942" s="2">
        <v>1.6410422243127414</v>
      </c>
    </row>
    <row r="943" spans="1:22" ht="15">
      <c r="A943" s="2">
        <v>942</v>
      </c>
      <c r="B943" s="2" t="s">
        <v>78</v>
      </c>
      <c r="C943" s="2" t="s">
        <v>13</v>
      </c>
      <c r="D943" s="2">
        <v>1453.9099907618947</v>
      </c>
      <c r="E943" s="2">
        <v>655.39360127877444</v>
      </c>
      <c r="F943" s="2">
        <v>588.53091346099973</v>
      </c>
      <c r="G943" s="2">
        <v>306.97241231799126</v>
      </c>
      <c r="H943" s="2">
        <v>13.59949258947745</v>
      </c>
      <c r="I943" s="2">
        <v>0.79825998521875596</v>
      </c>
      <c r="J943" s="2">
        <v>10</v>
      </c>
      <c r="K943" s="2">
        <v>182.13489560841055</v>
      </c>
      <c r="L943" s="2">
        <v>45</v>
      </c>
      <c r="M943" s="2">
        <v>25</v>
      </c>
      <c r="N943" s="2">
        <v>1.2269647941316109</v>
      </c>
      <c r="O943" s="2">
        <v>52.243692892612756</v>
      </c>
      <c r="P943" s="2">
        <v>1453.9099907618947</v>
      </c>
      <c r="Q943" s="2">
        <v>1.2386741578700384</v>
      </c>
      <c r="R943" s="2">
        <v>50.963586578019104</v>
      </c>
      <c r="S943" s="2">
        <v>1454.4368450034774</v>
      </c>
      <c r="T943" s="2">
        <v>1.170936373842757E-2</v>
      </c>
      <c r="U943" s="2">
        <v>-1.2801063145936524</v>
      </c>
      <c r="V943" s="2">
        <v>0.52685424158266869</v>
      </c>
    </row>
    <row r="944" spans="1:22" ht="15">
      <c r="A944" s="2">
        <v>943</v>
      </c>
      <c r="B944" s="2" t="s">
        <v>78</v>
      </c>
      <c r="C944" s="2" t="s">
        <v>13</v>
      </c>
      <c r="D944" s="2">
        <v>1448.2032293686643</v>
      </c>
      <c r="E944" s="2">
        <v>668.35864494787529</v>
      </c>
      <c r="F944" s="2">
        <v>581.95448890328407</v>
      </c>
      <c r="G944" s="2">
        <v>167.54308003699407</v>
      </c>
      <c r="H944" s="2">
        <v>25.979770227335393</v>
      </c>
      <c r="I944" s="2">
        <v>0.84164457088103517</v>
      </c>
      <c r="J944" s="2">
        <v>9</v>
      </c>
      <c r="K944" s="2">
        <v>191.18696359130453</v>
      </c>
      <c r="L944" s="2">
        <v>50</v>
      </c>
      <c r="M944" s="2">
        <v>25</v>
      </c>
      <c r="N944" s="2">
        <v>1.179897234868883</v>
      </c>
      <c r="O944" s="2">
        <v>52.196079230150502</v>
      </c>
      <c r="P944" s="2">
        <v>1448.2032293686643</v>
      </c>
      <c r="Q944" s="2">
        <v>1.177203642459588</v>
      </c>
      <c r="R944" s="2">
        <v>50.882328448724444</v>
      </c>
      <c r="S944" s="2">
        <v>1447.683101758131</v>
      </c>
      <c r="T944" s="2">
        <v>-2.6935924092950092E-3</v>
      </c>
      <c r="U944" s="2">
        <v>-1.3137507814260587</v>
      </c>
      <c r="V944" s="2">
        <v>-0.52012761053333634</v>
      </c>
    </row>
    <row r="945" spans="1:22" ht="15">
      <c r="A945" s="2">
        <v>944</v>
      </c>
      <c r="B945" s="2" t="s">
        <v>78</v>
      </c>
      <c r="C945" s="2" t="s">
        <v>13</v>
      </c>
      <c r="D945" s="2">
        <v>1471.9530451926403</v>
      </c>
      <c r="E945" s="2">
        <v>1154.4910604134202</v>
      </c>
      <c r="F945" s="2">
        <v>433.5562034510076</v>
      </c>
      <c r="G945" s="2">
        <v>257.48529848176986</v>
      </c>
      <c r="H945" s="2">
        <v>10.241567784454674</v>
      </c>
      <c r="I945" s="2">
        <v>0.84348609260283414</v>
      </c>
      <c r="J945" s="2">
        <v>9</v>
      </c>
      <c r="K945" s="2">
        <v>193.89808532592784</v>
      </c>
      <c r="L945" s="2">
        <v>40</v>
      </c>
      <c r="M945" s="2">
        <v>25</v>
      </c>
      <c r="N945" s="2">
        <v>1.167411499775419</v>
      </c>
      <c r="O945" s="2">
        <v>52.26276466478383</v>
      </c>
      <c r="P945" s="2">
        <v>1471.9530451926403</v>
      </c>
      <c r="Q945" s="2">
        <v>1.1722137812305788</v>
      </c>
      <c r="R945" s="2">
        <v>53.906071184891751</v>
      </c>
      <c r="S945" s="2">
        <v>1471.1959846920013</v>
      </c>
      <c r="T945" s="2">
        <v>4.8022814551598181E-3</v>
      </c>
      <c r="U945" s="2">
        <v>1.6433065201079202</v>
      </c>
      <c r="V945" s="2">
        <v>-0.75706050063899966</v>
      </c>
    </row>
    <row r="946" spans="1:22" ht="15">
      <c r="A946" s="2">
        <v>945</v>
      </c>
      <c r="B946" s="2" t="s">
        <v>78</v>
      </c>
      <c r="C946" s="2" t="s">
        <v>13</v>
      </c>
      <c r="D946" s="2">
        <v>1361.7710595019162</v>
      </c>
      <c r="E946" s="2">
        <v>1068.986366072204</v>
      </c>
      <c r="F946" s="2">
        <v>401.95724163204432</v>
      </c>
      <c r="G946" s="2">
        <v>218.78422981360927</v>
      </c>
      <c r="H946" s="2">
        <v>19.364979224279523</v>
      </c>
      <c r="I946" s="2">
        <v>0.80029887496726593</v>
      </c>
      <c r="J946" s="2">
        <v>9</v>
      </c>
      <c r="K946" s="2">
        <v>189.06423616602203</v>
      </c>
      <c r="L946" s="2">
        <v>45</v>
      </c>
      <c r="M946" s="2">
        <v>25</v>
      </c>
      <c r="N946" s="2">
        <v>1.2386456395836587</v>
      </c>
      <c r="O946" s="2">
        <v>52.238470813064971</v>
      </c>
      <c r="P946" s="2">
        <v>1361.7710595019162</v>
      </c>
      <c r="Q946" s="2">
        <v>1.239132599426527</v>
      </c>
      <c r="R946" s="2">
        <v>52.924754204757384</v>
      </c>
      <c r="S946" s="2">
        <v>1359.4986965040321</v>
      </c>
      <c r="T946" s="2">
        <v>4.869598428682842E-4</v>
      </c>
      <c r="U946" s="2">
        <v>0.68628339169241315</v>
      </c>
      <c r="V946" s="2">
        <v>-2.2723629978841018</v>
      </c>
    </row>
    <row r="947" spans="1:22" ht="15">
      <c r="A947" s="2">
        <v>946</v>
      </c>
      <c r="B947" s="2" t="s">
        <v>78</v>
      </c>
      <c r="C947" s="2" t="s">
        <v>13</v>
      </c>
      <c r="D947" s="2">
        <v>1411.6186134167947</v>
      </c>
      <c r="E947" s="2">
        <v>1067.6004064502195</v>
      </c>
      <c r="F947" s="2">
        <v>731.53275931254029</v>
      </c>
      <c r="G947" s="2">
        <v>149.13868454284966</v>
      </c>
      <c r="H947" s="2">
        <v>19.25569984363392</v>
      </c>
      <c r="I947" s="2">
        <v>0.79310456412378705</v>
      </c>
      <c r="J947" s="2">
        <v>9</v>
      </c>
      <c r="K947" s="2">
        <v>197.76271591016291</v>
      </c>
      <c r="L947" s="2">
        <v>35</v>
      </c>
      <c r="M947" s="2">
        <v>25</v>
      </c>
      <c r="N947" s="2">
        <v>1.1454093423823408</v>
      </c>
      <c r="O947" s="2">
        <v>52.278784288258905</v>
      </c>
      <c r="P947" s="2">
        <v>1411.6186134167947</v>
      </c>
      <c r="Q947" s="2">
        <v>1.151901952346625</v>
      </c>
      <c r="R947" s="2">
        <v>52.868178051915315</v>
      </c>
      <c r="S947" s="2">
        <v>1405.5821223601483</v>
      </c>
      <c r="T947" s="2">
        <v>6.4926099642841351E-3</v>
      </c>
      <c r="U947" s="2">
        <v>0.58939376365641039</v>
      </c>
      <c r="V947" s="2">
        <v>-6.036491056646355</v>
      </c>
    </row>
    <row r="948" spans="1:22" ht="15">
      <c r="A948" s="2">
        <v>947</v>
      </c>
      <c r="B948" s="2" t="s">
        <v>78</v>
      </c>
      <c r="C948" s="2" t="s">
        <v>13</v>
      </c>
      <c r="D948" s="2">
        <v>1394.7354150703177</v>
      </c>
      <c r="E948" s="2">
        <v>1042.7805047133006</v>
      </c>
      <c r="F948" s="2">
        <v>733.41667018830776</v>
      </c>
      <c r="G948" s="2">
        <v>284.60773882223293</v>
      </c>
      <c r="H948" s="2">
        <v>8.482246202416718</v>
      </c>
      <c r="I948" s="2">
        <v>0.79653409619582816</v>
      </c>
      <c r="J948" s="2">
        <v>9</v>
      </c>
      <c r="K948" s="2">
        <v>194.55614318910483</v>
      </c>
      <c r="L948" s="2">
        <v>35</v>
      </c>
      <c r="M948" s="2">
        <v>25</v>
      </c>
      <c r="N948" s="2">
        <v>1.1389117973233018</v>
      </c>
      <c r="O948" s="2">
        <v>52.296331006172387</v>
      </c>
      <c r="P948" s="2">
        <v>1394.7354150703177</v>
      </c>
      <c r="Q948" s="2">
        <v>1.1437976743064941</v>
      </c>
      <c r="R948" s="2">
        <v>53.689738259080833</v>
      </c>
      <c r="S948" s="2">
        <v>1390.7537546786555</v>
      </c>
      <c r="T948" s="2">
        <v>4.8858769831923166E-3</v>
      </c>
      <c r="U948" s="2">
        <v>1.393407252908446</v>
      </c>
      <c r="V948" s="2">
        <v>-3.9816603916622171</v>
      </c>
    </row>
    <row r="949" spans="1:22" ht="15">
      <c r="A949" s="2">
        <v>948</v>
      </c>
      <c r="B949" s="2" t="s">
        <v>78</v>
      </c>
      <c r="C949" s="2" t="s">
        <v>13</v>
      </c>
      <c r="D949" s="2">
        <v>1426.3071866123937</v>
      </c>
      <c r="E949" s="2">
        <v>839.22682576812804</v>
      </c>
      <c r="F949" s="2">
        <v>402.68053887411952</v>
      </c>
      <c r="G949" s="2">
        <v>185.24789558257908</v>
      </c>
      <c r="H949" s="2">
        <v>13.492219537030905</v>
      </c>
      <c r="I949" s="2">
        <v>0.847013001088053</v>
      </c>
      <c r="J949" s="2">
        <v>9</v>
      </c>
      <c r="K949" s="2">
        <v>187.10288518203157</v>
      </c>
      <c r="L949" s="2">
        <v>55</v>
      </c>
      <c r="M949" s="2">
        <v>25</v>
      </c>
      <c r="N949" s="2">
        <v>1.2353472376383883</v>
      </c>
      <c r="O949" s="2">
        <v>52.197529183950557</v>
      </c>
      <c r="P949" s="2">
        <v>1426.3071866123937</v>
      </c>
      <c r="Q949" s="2">
        <v>1.2310787492502024</v>
      </c>
      <c r="R949" s="2">
        <v>52.013651114182473</v>
      </c>
      <c r="S949" s="2">
        <v>1431.1138878942813</v>
      </c>
      <c r="T949" s="2">
        <v>-4.2684883881858315E-3</v>
      </c>
      <c r="U949" s="2">
        <v>-0.18387806976808463</v>
      </c>
      <c r="V949" s="2">
        <v>4.8067012818876265</v>
      </c>
    </row>
    <row r="950" spans="1:22" ht="15">
      <c r="A950" s="2">
        <v>949</v>
      </c>
      <c r="B950" s="2" t="s">
        <v>78</v>
      </c>
      <c r="C950" s="2" t="s">
        <v>13</v>
      </c>
      <c r="D950" s="2">
        <v>1456.6859726328403</v>
      </c>
      <c r="E950" s="2">
        <v>1050.6964556756429</v>
      </c>
      <c r="F950" s="2">
        <v>424.66318886727095</v>
      </c>
      <c r="G950" s="2">
        <v>104.29780206875876</v>
      </c>
      <c r="H950" s="2">
        <v>17.504483461380005</v>
      </c>
      <c r="I950" s="2">
        <v>0.83304061031201859</v>
      </c>
      <c r="J950" s="2">
        <v>9</v>
      </c>
      <c r="K950" s="2">
        <v>194.29304520770174</v>
      </c>
      <c r="L950" s="2">
        <v>45</v>
      </c>
      <c r="M950" s="2">
        <v>25</v>
      </c>
      <c r="N950" s="2">
        <v>1.1551067758655305</v>
      </c>
      <c r="O950" s="2">
        <v>52.221308087362928</v>
      </c>
      <c r="P950" s="2">
        <v>1456.6859726328403</v>
      </c>
      <c r="Q950" s="2">
        <v>1.1642763670718099</v>
      </c>
      <c r="R950" s="2">
        <v>52.843786066083524</v>
      </c>
      <c r="S950" s="2">
        <v>1459.6061894040149</v>
      </c>
      <c r="T950" s="2">
        <v>9.1695912062794704E-3</v>
      </c>
      <c r="U950" s="2">
        <v>0.62247797872059607</v>
      </c>
      <c r="V950" s="2">
        <v>2.920216771174637</v>
      </c>
    </row>
    <row r="951" spans="1:22" ht="15">
      <c r="A951" s="2">
        <v>950</v>
      </c>
      <c r="B951" s="2" t="s">
        <v>78</v>
      </c>
      <c r="C951" s="2" t="s">
        <v>13</v>
      </c>
      <c r="D951" s="2">
        <v>1441.8987305019982</v>
      </c>
      <c r="E951" s="2">
        <v>685.79581619706005</v>
      </c>
      <c r="F951" s="2">
        <v>678.86128844693303</v>
      </c>
      <c r="G951" s="2">
        <v>286.61207521334291</v>
      </c>
      <c r="H951" s="2">
        <v>10.069010487291962</v>
      </c>
      <c r="I951" s="2">
        <v>0.79278362972196192</v>
      </c>
      <c r="J951" s="2">
        <v>10</v>
      </c>
      <c r="K951" s="2">
        <v>181.87796473644244</v>
      </c>
      <c r="L951" s="2">
        <v>40</v>
      </c>
      <c r="M951" s="2">
        <v>25</v>
      </c>
      <c r="N951" s="2">
        <v>1.1544001096919818</v>
      </c>
      <c r="O951" s="2">
        <v>52.261082385410283</v>
      </c>
      <c r="P951" s="2">
        <v>1441.8987305019982</v>
      </c>
      <c r="Q951" s="2">
        <v>1.1733914499065288</v>
      </c>
      <c r="R951" s="2">
        <v>51.196209705703879</v>
      </c>
      <c r="S951" s="2">
        <v>1450.5236798984306</v>
      </c>
      <c r="T951" s="2">
        <v>1.8991340214546959E-2</v>
      </c>
      <c r="U951" s="2">
        <v>-1.0648726797064043</v>
      </c>
      <c r="V951" s="2">
        <v>8.6249493964323847</v>
      </c>
    </row>
    <row r="952" spans="1:22" ht="15">
      <c r="A952" s="2">
        <v>951</v>
      </c>
      <c r="B952" s="2" t="s">
        <v>78</v>
      </c>
      <c r="C952" s="2" t="s">
        <v>13</v>
      </c>
      <c r="D952" s="2">
        <v>1457.0166074903682</v>
      </c>
      <c r="E952" s="2">
        <v>1050.6367711466737</v>
      </c>
      <c r="F952" s="2">
        <v>488.4228304028511</v>
      </c>
      <c r="G952" s="2">
        <v>302.62718429556116</v>
      </c>
      <c r="H952" s="2">
        <v>14.420177469961345</v>
      </c>
      <c r="I952" s="2">
        <v>0.81258035439765086</v>
      </c>
      <c r="J952" s="2">
        <v>9</v>
      </c>
      <c r="K952" s="2">
        <v>199.23043092224736</v>
      </c>
      <c r="L952" s="2">
        <v>40</v>
      </c>
      <c r="M952" s="2">
        <v>25</v>
      </c>
      <c r="N952" s="2">
        <v>1.1878998071898959</v>
      </c>
      <c r="O952" s="2">
        <v>52.262165012082889</v>
      </c>
      <c r="P952" s="2">
        <v>1457.0166074903682</v>
      </c>
      <c r="Q952" s="2">
        <v>1.2071769488527928</v>
      </c>
      <c r="R952" s="2">
        <v>53.488398222881443</v>
      </c>
      <c r="S952" s="2">
        <v>1458.8144720833568</v>
      </c>
      <c r="T952" s="2">
        <v>1.9277141662896957E-2</v>
      </c>
      <c r="U952" s="2">
        <v>1.2262332107985543</v>
      </c>
      <c r="V952" s="2">
        <v>1.797864592988617</v>
      </c>
    </row>
    <row r="953" spans="1:22" ht="15">
      <c r="A953" s="2">
        <v>952</v>
      </c>
      <c r="B953" s="2" t="s">
        <v>78</v>
      </c>
      <c r="C953" s="2" t="s">
        <v>13</v>
      </c>
      <c r="D953" s="2">
        <v>1455.6760824169032</v>
      </c>
      <c r="E953" s="2">
        <v>671.47916434332728</v>
      </c>
      <c r="F953" s="2">
        <v>601.98323642835021</v>
      </c>
      <c r="G953" s="2">
        <v>136.90193048212677</v>
      </c>
      <c r="H953" s="2">
        <v>29.547042464371771</v>
      </c>
      <c r="I953" s="2">
        <v>0.81561842125840489</v>
      </c>
      <c r="J953" s="2">
        <v>9</v>
      </c>
      <c r="K953" s="2">
        <v>198.30570609925977</v>
      </c>
      <c r="L953" s="2">
        <v>50</v>
      </c>
      <c r="M953" s="2">
        <v>25</v>
      </c>
      <c r="N953" s="2">
        <v>1.1890805357517784</v>
      </c>
      <c r="O953" s="2">
        <v>52.194911058350748</v>
      </c>
      <c r="P953" s="2">
        <v>1455.6760824169032</v>
      </c>
      <c r="Q953" s="2">
        <v>1.1870866682180941</v>
      </c>
      <c r="R953" s="2">
        <v>50.863956139295688</v>
      </c>
      <c r="S953" s="2">
        <v>1453.2225628302108</v>
      </c>
      <c r="T953" s="2">
        <v>-1.993867533684357E-3</v>
      </c>
      <c r="U953" s="2">
        <v>-1.3309549190550598</v>
      </c>
      <c r="V953" s="2">
        <v>-2.4535195866924369</v>
      </c>
    </row>
    <row r="954" spans="1:22" ht="15">
      <c r="A954" s="2">
        <v>953</v>
      </c>
      <c r="B954" s="2" t="s">
        <v>78</v>
      </c>
      <c r="C954" s="2" t="s">
        <v>13</v>
      </c>
      <c r="D954" s="2">
        <v>1451.1193748563528</v>
      </c>
      <c r="E954" s="2">
        <v>655.65285518532619</v>
      </c>
      <c r="F954" s="2">
        <v>548.2901768758893</v>
      </c>
      <c r="G954" s="2">
        <v>236.93220548564568</v>
      </c>
      <c r="H954" s="2">
        <v>20.175062907859683</v>
      </c>
      <c r="I954" s="2">
        <v>0.80839154717745265</v>
      </c>
      <c r="J954" s="2">
        <v>9</v>
      </c>
      <c r="K954" s="2">
        <v>199.45221676069428</v>
      </c>
      <c r="L954" s="2">
        <v>50</v>
      </c>
      <c r="M954" s="2">
        <v>25</v>
      </c>
      <c r="N954" s="2">
        <v>1.1726789051810651</v>
      </c>
      <c r="O954" s="2">
        <v>52.199668471414491</v>
      </c>
      <c r="P954" s="2">
        <v>1451.1193748563528</v>
      </c>
      <c r="Q954" s="2">
        <v>1.167909394805372</v>
      </c>
      <c r="R954" s="2">
        <v>51.65678348615802</v>
      </c>
      <c r="S954" s="2">
        <v>1447.4889790268271</v>
      </c>
      <c r="T954" s="2">
        <v>-4.7695103756930646E-3</v>
      </c>
      <c r="U954" s="2">
        <v>-0.542884985256471</v>
      </c>
      <c r="V954" s="2">
        <v>-3.6303958295256962</v>
      </c>
    </row>
    <row r="955" spans="1:22" ht="15">
      <c r="A955" s="2">
        <v>954</v>
      </c>
      <c r="B955" s="2" t="s">
        <v>78</v>
      </c>
      <c r="C955" s="2" t="s">
        <v>13</v>
      </c>
      <c r="D955" s="2">
        <v>1484.8417016328312</v>
      </c>
      <c r="E955" s="2">
        <v>681.55586554203182</v>
      </c>
      <c r="F955" s="2">
        <v>399.56032792106271</v>
      </c>
      <c r="G955" s="2">
        <v>142.03749752603471</v>
      </c>
      <c r="H955" s="2">
        <v>10.163613420445472</v>
      </c>
      <c r="I955" s="2">
        <v>0.84034324400592597</v>
      </c>
      <c r="J955" s="2">
        <v>9</v>
      </c>
      <c r="K955" s="2">
        <v>196.32740843618109</v>
      </c>
      <c r="L955" s="2">
        <v>65</v>
      </c>
      <c r="M955" s="2">
        <v>25</v>
      </c>
      <c r="N955" s="2">
        <v>1.2306933200790589</v>
      </c>
      <c r="O955" s="2">
        <v>52.165720239267472</v>
      </c>
      <c r="P955" s="2">
        <v>1484.8417016328312</v>
      </c>
      <c r="Q955" s="2">
        <v>1.2312800510109496</v>
      </c>
      <c r="R955" s="2">
        <v>52.238645210492557</v>
      </c>
      <c r="S955" s="2">
        <v>1503.0890011779368</v>
      </c>
      <c r="T955" s="2">
        <v>5.8673093189076653E-4</v>
      </c>
      <c r="U955" s="2">
        <v>7.2924971225084789E-2</v>
      </c>
      <c r="V955" s="2">
        <v>18.247299545105534</v>
      </c>
    </row>
    <row r="956" spans="1:22" ht="15">
      <c r="A956" s="2">
        <v>955</v>
      </c>
      <c r="B956" s="2" t="s">
        <v>79</v>
      </c>
      <c r="C956" s="2" t="s">
        <v>13</v>
      </c>
      <c r="D956" s="2">
        <v>1456.2676694942638</v>
      </c>
      <c r="E956" s="2">
        <v>1154.5589201734401</v>
      </c>
      <c r="F956" s="2">
        <v>743.87438632547855</v>
      </c>
      <c r="G956" s="2">
        <v>240.82850395468995</v>
      </c>
      <c r="H956" s="2">
        <v>18.961471267975867</v>
      </c>
      <c r="I956" s="2">
        <v>0.83504125478444624</v>
      </c>
      <c r="J956" s="2">
        <v>9</v>
      </c>
      <c r="K956" s="2">
        <v>193.77188600635574</v>
      </c>
      <c r="L956" s="2">
        <v>35</v>
      </c>
      <c r="M956" s="2">
        <v>25</v>
      </c>
      <c r="N956" s="2">
        <v>1.2446892661217308</v>
      </c>
      <c r="O956" s="2">
        <v>52.308564397794981</v>
      </c>
      <c r="P956" s="2">
        <v>1456.2676694942638</v>
      </c>
      <c r="Q956" s="2">
        <v>1.2441348719871126</v>
      </c>
      <c r="R956" s="2">
        <v>52.453435158366155</v>
      </c>
      <c r="S956" s="2">
        <v>1441.8867586273618</v>
      </c>
      <c r="T956" s="2">
        <v>-5.5439413461821907E-4</v>
      </c>
      <c r="U956" s="2">
        <v>0.14487076057117321</v>
      </c>
      <c r="V956" s="2">
        <v>-14.380910866902013</v>
      </c>
    </row>
    <row r="957" spans="1:22" ht="15">
      <c r="A957" s="2">
        <v>956</v>
      </c>
      <c r="B957" s="2" t="s">
        <v>79</v>
      </c>
      <c r="C957" s="2" t="s">
        <v>13</v>
      </c>
      <c r="D957" s="2">
        <v>1448.020106961485</v>
      </c>
      <c r="E957" s="2">
        <v>617.11780088953674</v>
      </c>
      <c r="F957" s="2">
        <v>602.90451599285007</v>
      </c>
      <c r="G957" s="2">
        <v>319.94386743288487</v>
      </c>
      <c r="H957" s="2">
        <v>18.99610299943015</v>
      </c>
      <c r="I957" s="2">
        <v>0.85216834232211114</v>
      </c>
      <c r="J957" s="2">
        <v>9</v>
      </c>
      <c r="K957" s="2">
        <v>188.80204180936977</v>
      </c>
      <c r="L957" s="2">
        <v>50</v>
      </c>
      <c r="M957" s="2">
        <v>25</v>
      </c>
      <c r="N957" s="2">
        <v>1.2422839166749253</v>
      </c>
      <c r="O957" s="2">
        <v>52.21511922728935</v>
      </c>
      <c r="P957" s="2">
        <v>1448.020106961485</v>
      </c>
      <c r="Q957" s="2">
        <v>1.2482861705249213</v>
      </c>
      <c r="R957" s="2">
        <v>51.91483448763497</v>
      </c>
      <c r="S957" s="2">
        <v>1448.0810763693785</v>
      </c>
      <c r="T957" s="2">
        <v>6.0022538499959754E-3</v>
      </c>
      <c r="U957" s="2">
        <v>-0.30028473965437996</v>
      </c>
      <c r="V957" s="2">
        <v>6.096940789348082E-2</v>
      </c>
    </row>
    <row r="958" spans="1:22" ht="15">
      <c r="A958" s="2">
        <v>957</v>
      </c>
      <c r="B958" s="2" t="s">
        <v>79</v>
      </c>
      <c r="C958" s="2" t="s">
        <v>13</v>
      </c>
      <c r="D958" s="2">
        <v>1453.1248431187123</v>
      </c>
      <c r="E958" s="2">
        <v>881.24360562069342</v>
      </c>
      <c r="F958" s="2">
        <v>359.90151818841696</v>
      </c>
      <c r="G958" s="2">
        <v>216.86860242160037</v>
      </c>
      <c r="H958" s="2">
        <v>9.712727066129446</v>
      </c>
      <c r="I958" s="2">
        <v>0.82886032346868888</v>
      </c>
      <c r="J958" s="2">
        <v>9</v>
      </c>
      <c r="K958" s="2">
        <v>194.79556606883284</v>
      </c>
      <c r="L958" s="2">
        <v>55</v>
      </c>
      <c r="M958" s="2">
        <v>25</v>
      </c>
      <c r="N958" s="2">
        <v>1.2455539747297428</v>
      </c>
      <c r="O958" s="2">
        <v>52.202340790262518</v>
      </c>
      <c r="P958" s="2">
        <v>1453.1248431187123</v>
      </c>
      <c r="Q958" s="2">
        <v>1.2377475658587416</v>
      </c>
      <c r="R958" s="2">
        <v>52.288176766521836</v>
      </c>
      <c r="S958" s="2">
        <v>1474.09493562631</v>
      </c>
      <c r="T958" s="2">
        <v>-7.806408871001258E-3</v>
      </c>
      <c r="U958" s="2">
        <v>8.5835976259318159E-2</v>
      </c>
      <c r="V958" s="2">
        <v>20.970092507597656</v>
      </c>
    </row>
    <row r="959" spans="1:22" ht="15">
      <c r="A959" s="2">
        <v>958</v>
      </c>
      <c r="B959" s="2" t="s">
        <v>80</v>
      </c>
      <c r="C959" s="2" t="s">
        <v>13</v>
      </c>
      <c r="D959" s="2">
        <v>1394.5348199573345</v>
      </c>
      <c r="E959" s="2">
        <v>1061.9319389341399</v>
      </c>
      <c r="F959" s="2">
        <v>389.44525020197034</v>
      </c>
      <c r="G959" s="2">
        <v>142.19976488500834</v>
      </c>
      <c r="H959" s="2">
        <v>18.79427463049069</v>
      </c>
      <c r="I959" s="2">
        <v>0.82554985928814861</v>
      </c>
      <c r="J959" s="2">
        <v>9</v>
      </c>
      <c r="K959" s="2">
        <v>187.69104201919538</v>
      </c>
      <c r="L959" s="2">
        <v>45</v>
      </c>
      <c r="M959" s="2">
        <v>25</v>
      </c>
      <c r="N959" s="2">
        <v>1.1706863733420716</v>
      </c>
      <c r="O959" s="2">
        <v>52.223478486555742</v>
      </c>
      <c r="P959" s="2">
        <v>1394.5348199573345</v>
      </c>
      <c r="Q959" s="2">
        <v>1.1780966243101076</v>
      </c>
      <c r="R959" s="2">
        <v>52.66718098326993</v>
      </c>
      <c r="S959" s="2">
        <v>1399.4855407074883</v>
      </c>
      <c r="T959" s="2">
        <v>7.4102509680360473E-3</v>
      </c>
      <c r="U959" s="2">
        <v>0.44370249671418804</v>
      </c>
      <c r="V959" s="2">
        <v>4.9507207501537778</v>
      </c>
    </row>
    <row r="960" spans="1:22" ht="15">
      <c r="A960" s="2">
        <v>959</v>
      </c>
      <c r="B960" s="2" t="s">
        <v>80</v>
      </c>
      <c r="C960" s="2" t="s">
        <v>13</v>
      </c>
      <c r="D960" s="2">
        <v>1382.9063557321206</v>
      </c>
      <c r="E960" s="2">
        <v>977.80255033867434</v>
      </c>
      <c r="F960" s="2">
        <v>715.25948569178581</v>
      </c>
      <c r="G960" s="2">
        <v>104.90519307320938</v>
      </c>
      <c r="H960" s="2">
        <v>19.045511580072343</v>
      </c>
      <c r="I960" s="2">
        <v>0.80067918510874736</v>
      </c>
      <c r="J960" s="2">
        <v>9</v>
      </c>
      <c r="K960" s="2">
        <v>191.90740137342769</v>
      </c>
      <c r="L960" s="2">
        <v>40</v>
      </c>
      <c r="M960" s="2">
        <v>25</v>
      </c>
      <c r="N960" s="2">
        <v>1.1862457293701043</v>
      </c>
      <c r="O960" s="2">
        <v>52.255348040197987</v>
      </c>
      <c r="P960" s="2">
        <v>1382.9063557321206</v>
      </c>
      <c r="Q960" s="2">
        <v>1.1989081308722687</v>
      </c>
      <c r="R960" s="2">
        <v>52.690032451794458</v>
      </c>
      <c r="S960" s="2">
        <v>1384.1618004272639</v>
      </c>
      <c r="T960" s="2">
        <v>1.2662401502164355E-2</v>
      </c>
      <c r="U960" s="2">
        <v>0.43468441159647142</v>
      </c>
      <c r="V960" s="2">
        <v>1.2554446951432965</v>
      </c>
    </row>
    <row r="961" spans="1:22" ht="15">
      <c r="A961" s="2">
        <v>960</v>
      </c>
      <c r="B961" s="2" t="s">
        <v>80</v>
      </c>
      <c r="C961" s="2" t="s">
        <v>13</v>
      </c>
      <c r="D961" s="2">
        <v>1386.6294914740138</v>
      </c>
      <c r="E961" s="2">
        <v>988.72590772807598</v>
      </c>
      <c r="F961" s="2">
        <v>562.31092801317573</v>
      </c>
      <c r="G961" s="2">
        <v>168.67395028937608</v>
      </c>
      <c r="H961" s="2">
        <v>13.818772689905018</v>
      </c>
      <c r="I961" s="2">
        <v>0.85301641675643625</v>
      </c>
      <c r="J961" s="2">
        <v>9</v>
      </c>
      <c r="K961" s="2">
        <v>180.61779406656436</v>
      </c>
      <c r="L961" s="2">
        <v>45</v>
      </c>
      <c r="M961" s="2">
        <v>25</v>
      </c>
      <c r="N961" s="2">
        <v>1.232296063215929</v>
      </c>
      <c r="O961" s="2">
        <v>52.243145904311824</v>
      </c>
      <c r="P961" s="2">
        <v>1386.6294914740138</v>
      </c>
      <c r="Q961" s="2">
        <v>1.2300300458642275</v>
      </c>
      <c r="R961" s="2">
        <v>52.817796443045069</v>
      </c>
      <c r="S961" s="2">
        <v>1388.8936316313113</v>
      </c>
      <c r="T961" s="2">
        <v>-2.2660173517015103E-3</v>
      </c>
      <c r="U961" s="2">
        <v>0.57465053873324479</v>
      </c>
      <c r="V961" s="2">
        <v>2.264140157297561</v>
      </c>
    </row>
    <row r="962" spans="1:22" ht="15">
      <c r="A962" s="2">
        <v>961</v>
      </c>
      <c r="B962" s="2" t="s">
        <v>78</v>
      </c>
      <c r="C962" s="2" t="s">
        <v>13</v>
      </c>
      <c r="D962" s="2">
        <v>1398.612208943814</v>
      </c>
      <c r="E962" s="2">
        <v>1130.8437246247195</v>
      </c>
      <c r="F962" s="2">
        <v>721.80008832365274</v>
      </c>
      <c r="G962" s="2">
        <v>227.7775732637383</v>
      </c>
      <c r="H962" s="2">
        <v>10.125535914674401</v>
      </c>
      <c r="I962" s="2">
        <v>0.84365140076028189</v>
      </c>
      <c r="J962" s="2">
        <v>9</v>
      </c>
      <c r="K962" s="2">
        <v>184.20091095595652</v>
      </c>
      <c r="L962" s="2">
        <v>35</v>
      </c>
      <c r="M962" s="2">
        <v>25</v>
      </c>
      <c r="N962" s="2">
        <v>1.1595675387460069</v>
      </c>
      <c r="O962" s="2">
        <v>52.299389704645122</v>
      </c>
      <c r="P962" s="2">
        <v>1398.612208943814</v>
      </c>
      <c r="Q962" s="2">
        <v>1.1653102437562362</v>
      </c>
      <c r="R962" s="2">
        <v>52.636900145757899</v>
      </c>
      <c r="S962" s="2">
        <v>1392.3588919936765</v>
      </c>
      <c r="T962" s="2">
        <v>5.742705010229221E-3</v>
      </c>
      <c r="U962" s="2">
        <v>0.3375104411127765</v>
      </c>
      <c r="V962" s="2">
        <v>-6.2533169501375596</v>
      </c>
    </row>
    <row r="963" spans="1:22" ht="15">
      <c r="A963" s="2">
        <v>962</v>
      </c>
      <c r="B963" s="2" t="s">
        <v>78</v>
      </c>
      <c r="C963" s="2" t="s">
        <v>13</v>
      </c>
      <c r="D963" s="2">
        <v>1373.5431236797012</v>
      </c>
      <c r="E963" s="2">
        <v>831.19698606897146</v>
      </c>
      <c r="F963" s="2">
        <v>452.57269972935319</v>
      </c>
      <c r="G963" s="2">
        <v>153.40261922217906</v>
      </c>
      <c r="H963" s="2">
        <v>12.732445590663701</v>
      </c>
      <c r="I963" s="2">
        <v>0.80015093831811102</v>
      </c>
      <c r="J963" s="2">
        <v>9</v>
      </c>
      <c r="K963" s="2">
        <v>190.73389197277098</v>
      </c>
      <c r="L963" s="2">
        <v>55</v>
      </c>
      <c r="M963" s="2">
        <v>25</v>
      </c>
      <c r="N963" s="2">
        <v>1.2405719172640075</v>
      </c>
      <c r="O963" s="2">
        <v>52.199091091660314</v>
      </c>
      <c r="P963" s="2">
        <v>1373.5431236797012</v>
      </c>
      <c r="Q963" s="2">
        <v>1.2459016544981707</v>
      </c>
      <c r="R963" s="2">
        <v>52.02523008035881</v>
      </c>
      <c r="S963" s="2">
        <v>1382.242196265956</v>
      </c>
      <c r="T963" s="2">
        <v>5.3297372341631899E-3</v>
      </c>
      <c r="U963" s="2">
        <v>-0.17386101130150422</v>
      </c>
      <c r="V963" s="2">
        <v>8.6990725862547151</v>
      </c>
    </row>
    <row r="964" spans="1:22" ht="15">
      <c r="A964" s="2">
        <v>963</v>
      </c>
      <c r="B964" s="2" t="s">
        <v>78</v>
      </c>
      <c r="C964" s="2" t="s">
        <v>13</v>
      </c>
      <c r="D964" s="2">
        <v>1428.3069561934099</v>
      </c>
      <c r="E964" s="2">
        <v>910.5614697211422</v>
      </c>
      <c r="F964" s="2">
        <v>524.66570250689983</v>
      </c>
      <c r="G964" s="2">
        <v>281.80780411465093</v>
      </c>
      <c r="H964" s="2">
        <v>25.086162065155804</v>
      </c>
      <c r="I964" s="2">
        <v>0.79987954185111454</v>
      </c>
      <c r="J964" s="2">
        <v>9</v>
      </c>
      <c r="K964" s="2">
        <v>198.40584063833779</v>
      </c>
      <c r="L964" s="2">
        <v>40</v>
      </c>
      <c r="M964" s="2">
        <v>25</v>
      </c>
      <c r="N964" s="2">
        <v>1.1687285277212422</v>
      </c>
      <c r="O964" s="2">
        <v>52.242728678686227</v>
      </c>
      <c r="P964" s="2">
        <v>1428.3069561934099</v>
      </c>
      <c r="Q964" s="2">
        <v>1.1579391619766088</v>
      </c>
      <c r="R964" s="2">
        <v>52.868606589866658</v>
      </c>
      <c r="S964" s="2">
        <v>1414.6139378636601</v>
      </c>
      <c r="T964" s="2">
        <v>-1.0789365744633406E-2</v>
      </c>
      <c r="U964" s="2">
        <v>0.62587791118043157</v>
      </c>
      <c r="V964" s="2">
        <v>-13.693018329749748</v>
      </c>
    </row>
    <row r="965" spans="1:22" ht="15">
      <c r="A965" s="2">
        <v>964</v>
      </c>
      <c r="B965" s="2" t="s">
        <v>78</v>
      </c>
      <c r="C965" s="2" t="s">
        <v>13</v>
      </c>
      <c r="D965" s="2">
        <v>1432.8239090158604</v>
      </c>
      <c r="E965" s="2">
        <v>827.78089088387787</v>
      </c>
      <c r="F965" s="2">
        <v>467.44164256379008</v>
      </c>
      <c r="G965" s="2">
        <v>232.82230114098638</v>
      </c>
      <c r="H965" s="2">
        <v>16.784485034178942</v>
      </c>
      <c r="I965" s="2">
        <v>0.81591594761237507</v>
      </c>
      <c r="J965" s="2">
        <v>9</v>
      </c>
      <c r="K965" s="2">
        <v>195.12139335331602</v>
      </c>
      <c r="L965" s="2">
        <v>50</v>
      </c>
      <c r="M965" s="2">
        <v>25</v>
      </c>
      <c r="N965" s="2">
        <v>1.223712507345984</v>
      </c>
      <c r="O965" s="2">
        <v>52.213260390833234</v>
      </c>
      <c r="P965" s="2">
        <v>1432.8239090158604</v>
      </c>
      <c r="Q965" s="2">
        <v>1.2289733499618869</v>
      </c>
      <c r="R965" s="2">
        <v>51.089952392872597</v>
      </c>
      <c r="S965" s="2">
        <v>1438.0482157210472</v>
      </c>
      <c r="T965" s="2">
        <v>5.2608426159028721E-3</v>
      </c>
      <c r="U965" s="2">
        <v>-1.1233079979606373</v>
      </c>
      <c r="V965" s="2">
        <v>5.2243067051867911</v>
      </c>
    </row>
    <row r="966" spans="1:22" ht="15">
      <c r="A966" s="2">
        <v>965</v>
      </c>
      <c r="B966" s="2" t="s">
        <v>78</v>
      </c>
      <c r="C966" s="2" t="s">
        <v>13</v>
      </c>
      <c r="D966" s="2">
        <v>1481.0320066753775</v>
      </c>
      <c r="E966" s="2">
        <v>974.05995744047686</v>
      </c>
      <c r="F966" s="2">
        <v>690.98633360117674</v>
      </c>
      <c r="G966" s="2">
        <v>312.10292990552261</v>
      </c>
      <c r="H966" s="2">
        <v>24.580782525241375</v>
      </c>
      <c r="I966" s="2">
        <v>0.79072011800715702</v>
      </c>
      <c r="J966" s="2">
        <v>10</v>
      </c>
      <c r="K966" s="2">
        <v>187.30167260800263</v>
      </c>
      <c r="L966" s="2">
        <v>30</v>
      </c>
      <c r="M966" s="2">
        <v>25</v>
      </c>
      <c r="N966" s="2">
        <v>1.1489313588036947</v>
      </c>
      <c r="O966" s="2">
        <v>52.317541102529098</v>
      </c>
      <c r="P966" s="2">
        <v>1481.0320066753775</v>
      </c>
      <c r="Q966" s="2">
        <v>1.1621580602013313</v>
      </c>
      <c r="R966" s="2">
        <v>52.966957815039301</v>
      </c>
      <c r="S966" s="2">
        <v>1459.0489047186982</v>
      </c>
      <c r="T966" s="2">
        <v>1.3226701397636598E-2</v>
      </c>
      <c r="U966" s="2">
        <v>0.64941671251020239</v>
      </c>
      <c r="V966" s="2">
        <v>-21.98310195667932</v>
      </c>
    </row>
    <row r="967" spans="1:22" ht="15">
      <c r="A967" s="2">
        <v>966</v>
      </c>
      <c r="B967" s="2" t="s">
        <v>78</v>
      </c>
      <c r="C967" s="2" t="s">
        <v>13</v>
      </c>
      <c r="D967" s="2">
        <v>1427.8501919587143</v>
      </c>
      <c r="E967" s="2">
        <v>1146.7811908340082</v>
      </c>
      <c r="F967" s="2">
        <v>636.22594447806478</v>
      </c>
      <c r="G967" s="2">
        <v>289.16221244260669</v>
      </c>
      <c r="H967" s="2">
        <v>11.580106033477932</v>
      </c>
      <c r="I967" s="2">
        <v>0.85105549627449373</v>
      </c>
      <c r="J967" s="2">
        <v>9</v>
      </c>
      <c r="K967" s="2">
        <v>186.41560041999438</v>
      </c>
      <c r="L967" s="2">
        <v>35</v>
      </c>
      <c r="M967" s="2">
        <v>25</v>
      </c>
      <c r="N967" s="2">
        <v>1.1642794837728736</v>
      </c>
      <c r="O967" s="2">
        <v>52.29810300554864</v>
      </c>
      <c r="P967" s="2">
        <v>1427.8501919587143</v>
      </c>
      <c r="Q967" s="2">
        <v>1.1810014206782375</v>
      </c>
      <c r="R967" s="2">
        <v>52.208273546886183</v>
      </c>
      <c r="S967" s="2">
        <v>1429.1460337680635</v>
      </c>
      <c r="T967" s="2">
        <v>1.6721936905363943E-2</v>
      </c>
      <c r="U967" s="2">
        <v>-8.9829458662457284E-2</v>
      </c>
      <c r="V967" s="2">
        <v>1.2958418093492128</v>
      </c>
    </row>
    <row r="968" spans="1:22" ht="15">
      <c r="A968" s="2">
        <v>967</v>
      </c>
      <c r="B968" s="2" t="s">
        <v>78</v>
      </c>
      <c r="C968" s="2" t="s">
        <v>13</v>
      </c>
      <c r="D968" s="2">
        <v>1418.4642366366461</v>
      </c>
      <c r="E968" s="2">
        <v>898.5571734723635</v>
      </c>
      <c r="F968" s="2">
        <v>646.99585735797882</v>
      </c>
      <c r="G968" s="2">
        <v>282.43498677155003</v>
      </c>
      <c r="H968" s="2">
        <v>21.672815862111747</v>
      </c>
      <c r="I968" s="2">
        <v>0.83141574486857284</v>
      </c>
      <c r="J968" s="2">
        <v>9</v>
      </c>
      <c r="K968" s="2">
        <v>189.56477355259341</v>
      </c>
      <c r="L968" s="2">
        <v>40</v>
      </c>
      <c r="M968" s="2">
        <v>25</v>
      </c>
      <c r="N968" s="2">
        <v>1.2181934342276344</v>
      </c>
      <c r="O968" s="2">
        <v>52.260029031644571</v>
      </c>
      <c r="P968" s="2">
        <v>1418.4642366366461</v>
      </c>
      <c r="Q968" s="2">
        <v>1.2155126530829552</v>
      </c>
      <c r="R968" s="2">
        <v>51.165570241488794</v>
      </c>
      <c r="S968" s="2">
        <v>1406.1318801669986</v>
      </c>
      <c r="T968" s="2">
        <v>-2.6807811446791785E-3</v>
      </c>
      <c r="U968" s="2">
        <v>-1.0944587901557767</v>
      </c>
      <c r="V968" s="2">
        <v>-12.332356469647493</v>
      </c>
    </row>
    <row r="969" spans="1:22" ht="15">
      <c r="A969" s="2">
        <v>968</v>
      </c>
      <c r="B969" s="2" t="s">
        <v>78</v>
      </c>
      <c r="C969" s="2" t="s">
        <v>13</v>
      </c>
      <c r="D969" s="2">
        <v>1400.5954188178293</v>
      </c>
      <c r="E969" s="2">
        <v>707.97775434330106</v>
      </c>
      <c r="F969" s="2">
        <v>549.99536341056228</v>
      </c>
      <c r="G969" s="2">
        <v>190.44259706977755</v>
      </c>
      <c r="H969" s="2">
        <v>10.015601692255586</v>
      </c>
      <c r="I969" s="2">
        <v>0.79827367269434035</v>
      </c>
      <c r="J969" s="2">
        <v>9</v>
      </c>
      <c r="K969" s="2">
        <v>194.9478211860918</v>
      </c>
      <c r="L969" s="2">
        <v>55</v>
      </c>
      <c r="M969" s="2">
        <v>25</v>
      </c>
      <c r="N969" s="2">
        <v>1.2388505466804356</v>
      </c>
      <c r="O969" s="2">
        <v>52.20084422033387</v>
      </c>
      <c r="P969" s="2">
        <v>1400.5954188178293</v>
      </c>
      <c r="Q969" s="2">
        <v>1.2361856577593746</v>
      </c>
      <c r="R969" s="2">
        <v>52.483299306975482</v>
      </c>
      <c r="S969" s="2">
        <v>1410.5624031032198</v>
      </c>
      <c r="T969" s="2">
        <v>-2.6648889210609816E-3</v>
      </c>
      <c r="U969" s="2">
        <v>0.28245508664161179</v>
      </c>
      <c r="V969" s="2">
        <v>9.9669842853904811</v>
      </c>
    </row>
    <row r="970" spans="1:22" ht="15">
      <c r="A970" s="2">
        <v>969</v>
      </c>
      <c r="B970" s="2" t="s">
        <v>78</v>
      </c>
      <c r="C970" s="2" t="s">
        <v>13</v>
      </c>
      <c r="D970" s="2">
        <v>1449.7610935941339</v>
      </c>
      <c r="E970" s="2">
        <v>902.14154351269826</v>
      </c>
      <c r="F970" s="2">
        <v>599.94440395385027</v>
      </c>
      <c r="G970" s="2">
        <v>82.136544848326594</v>
      </c>
      <c r="H970" s="2">
        <v>20.437097555026412</v>
      </c>
      <c r="I970" s="2">
        <v>0.85045860463054856</v>
      </c>
      <c r="J970" s="2">
        <v>9</v>
      </c>
      <c r="K970" s="2">
        <v>189.40906127333642</v>
      </c>
      <c r="L970" s="2">
        <v>45</v>
      </c>
      <c r="M970" s="2">
        <v>25</v>
      </c>
      <c r="N970" s="2">
        <v>1.1721042333465186</v>
      </c>
      <c r="O970" s="2">
        <v>52.222019892114197</v>
      </c>
      <c r="P970" s="2">
        <v>1449.7610935941339</v>
      </c>
      <c r="Q970" s="2">
        <v>1.1595571624302536</v>
      </c>
      <c r="R970" s="2">
        <v>51.4465164456956</v>
      </c>
      <c r="S970" s="2">
        <v>1445.4547646137548</v>
      </c>
      <c r="T970" s="2">
        <v>-1.2547070916264946E-2</v>
      </c>
      <c r="U970" s="2">
        <v>-0.77550344641859681</v>
      </c>
      <c r="V970" s="2">
        <v>-4.3063289803790212</v>
      </c>
    </row>
    <row r="971" spans="1:22" ht="15">
      <c r="A971" s="2">
        <v>970</v>
      </c>
      <c r="B971" s="2" t="s">
        <v>78</v>
      </c>
      <c r="C971" s="2" t="s">
        <v>13</v>
      </c>
      <c r="D971" s="2">
        <v>1419.601675181184</v>
      </c>
      <c r="E971" s="2">
        <v>876.42834337893873</v>
      </c>
      <c r="F971" s="2">
        <v>375.66585252061486</v>
      </c>
      <c r="G971" s="2">
        <v>297.24629099480808</v>
      </c>
      <c r="H971" s="2">
        <v>24.855091099161655</v>
      </c>
      <c r="I971" s="2">
        <v>0.80815331463236362</v>
      </c>
      <c r="J971" s="2">
        <v>9</v>
      </c>
      <c r="K971" s="2">
        <v>195.17771765414392</v>
      </c>
      <c r="L971" s="2">
        <v>45</v>
      </c>
      <c r="M971" s="2">
        <v>25</v>
      </c>
      <c r="N971" s="2">
        <v>1.1690086883003907</v>
      </c>
      <c r="O971" s="2">
        <v>52.216580915418994</v>
      </c>
      <c r="P971" s="2">
        <v>1419.601675181184</v>
      </c>
      <c r="Q971" s="2">
        <v>1.1653576105932715</v>
      </c>
      <c r="R971" s="2">
        <v>51.855255918437081</v>
      </c>
      <c r="S971" s="2">
        <v>1416.8119418298072</v>
      </c>
      <c r="T971" s="2">
        <v>-3.6510777071192546E-3</v>
      </c>
      <c r="U971" s="2">
        <v>-0.36132499698191367</v>
      </c>
      <c r="V971" s="2">
        <v>-2.7897333513767535</v>
      </c>
    </row>
    <row r="972" spans="1:22" ht="15">
      <c r="A972" s="2">
        <v>971</v>
      </c>
      <c r="B972" s="2" t="s">
        <v>78</v>
      </c>
      <c r="C972" s="2" t="s">
        <v>13</v>
      </c>
      <c r="D972" s="2">
        <v>1480.0304258940741</v>
      </c>
      <c r="E972" s="2">
        <v>730.30996198067442</v>
      </c>
      <c r="F972" s="2">
        <v>745.63696272671223</v>
      </c>
      <c r="G972" s="2">
        <v>148.63116862950847</v>
      </c>
      <c r="H972" s="2">
        <v>17.238242269493639</v>
      </c>
      <c r="I972" s="2">
        <v>0.84220448641804979</v>
      </c>
      <c r="J972" s="2">
        <v>9</v>
      </c>
      <c r="K972" s="2">
        <v>195.25878542721711</v>
      </c>
      <c r="L972" s="2">
        <v>45</v>
      </c>
      <c r="M972" s="2">
        <v>25</v>
      </c>
      <c r="N972" s="2">
        <v>1.1843065083925997</v>
      </c>
      <c r="O972" s="2">
        <v>52.228312339203555</v>
      </c>
      <c r="P972" s="2">
        <v>1480.0304258940741</v>
      </c>
      <c r="Q972" s="2">
        <v>1.1987730445042515</v>
      </c>
      <c r="R972" s="2">
        <v>52.338088347471178</v>
      </c>
      <c r="S972" s="2">
        <v>1480.899796674081</v>
      </c>
      <c r="T972" s="2">
        <v>1.4466536111651829E-2</v>
      </c>
      <c r="U972" s="2">
        <v>0.10977600826762313</v>
      </c>
      <c r="V972" s="2">
        <v>0.86937078000687507</v>
      </c>
    </row>
    <row r="973" spans="1:22" ht="15">
      <c r="A973" s="2">
        <v>972</v>
      </c>
      <c r="B973" s="2" t="s">
        <v>78</v>
      </c>
      <c r="C973" s="2" t="s">
        <v>13</v>
      </c>
      <c r="D973" s="2">
        <v>1444.2885199910961</v>
      </c>
      <c r="E973" s="2">
        <v>747.97629243694246</v>
      </c>
      <c r="F973" s="2">
        <v>375.6078670732677</v>
      </c>
      <c r="G973" s="2">
        <v>223.35457503329962</v>
      </c>
      <c r="H973" s="2">
        <v>15.306138071697205</v>
      </c>
      <c r="I973" s="2">
        <v>0.81121409561485058</v>
      </c>
      <c r="J973" s="2">
        <v>9</v>
      </c>
      <c r="K973" s="2">
        <v>197.82262548039373</v>
      </c>
      <c r="L973" s="2">
        <v>55</v>
      </c>
      <c r="M973" s="2">
        <v>25</v>
      </c>
      <c r="N973" s="2">
        <v>1.1762257078598959</v>
      </c>
      <c r="O973" s="2">
        <v>52.185021422183688</v>
      </c>
      <c r="P973" s="2">
        <v>1444.2885199910961</v>
      </c>
      <c r="Q973" s="2">
        <v>1.1783388599536762</v>
      </c>
      <c r="R973" s="2">
        <v>50.986880790423598</v>
      </c>
      <c r="S973" s="2">
        <v>1457.5954801354358</v>
      </c>
      <c r="T973" s="2">
        <v>2.1131520937802684E-3</v>
      </c>
      <c r="U973" s="2">
        <v>-1.19814063176009</v>
      </c>
      <c r="V973" s="2">
        <v>13.306960144339655</v>
      </c>
    </row>
    <row r="974" spans="1:22" ht="15">
      <c r="A974" s="2">
        <v>973</v>
      </c>
      <c r="B974" s="2" t="s">
        <v>78</v>
      </c>
      <c r="C974" s="2" t="s">
        <v>13</v>
      </c>
      <c r="D974" s="2">
        <v>1376.4081919100136</v>
      </c>
      <c r="E974" s="2">
        <v>951.21324871433899</v>
      </c>
      <c r="F974" s="2">
        <v>680.00641074031591</v>
      </c>
      <c r="G974" s="2">
        <v>89.540445927996188</v>
      </c>
      <c r="H974" s="2">
        <v>18.540225613862276</v>
      </c>
      <c r="I974" s="2">
        <v>0.79710630297893659</v>
      </c>
      <c r="J974" s="2">
        <v>9</v>
      </c>
      <c r="K974" s="2">
        <v>191.86179180118506</v>
      </c>
      <c r="L974" s="2">
        <v>45</v>
      </c>
      <c r="M974" s="2">
        <v>25</v>
      </c>
      <c r="N974" s="2">
        <v>1.2557675379437727</v>
      </c>
      <c r="O974" s="2">
        <v>52.24330951943179</v>
      </c>
      <c r="P974" s="2">
        <v>1376.4081919100136</v>
      </c>
      <c r="Q974" s="2">
        <v>1.259326823897694</v>
      </c>
      <c r="R974" s="2">
        <v>53.003609880248604</v>
      </c>
      <c r="S974" s="2">
        <v>1382.7932866160957</v>
      </c>
      <c r="T974" s="2">
        <v>3.5592859539212984E-3</v>
      </c>
      <c r="U974" s="2">
        <v>0.76030036081681374</v>
      </c>
      <c r="V974" s="2">
        <v>6.3850947060820999</v>
      </c>
    </row>
    <row r="975" spans="1:22" ht="15">
      <c r="A975" s="2">
        <v>974</v>
      </c>
      <c r="B975" s="2" t="s">
        <v>78</v>
      </c>
      <c r="C975" s="2" t="s">
        <v>13</v>
      </c>
      <c r="D975" s="2">
        <v>1382.4953096103854</v>
      </c>
      <c r="E975" s="2">
        <v>776.10416531097144</v>
      </c>
      <c r="F975" s="2">
        <v>404.89749358966947</v>
      </c>
      <c r="G975" s="2">
        <v>295.5903335660696</v>
      </c>
      <c r="H975" s="2">
        <v>13.191652859095484</v>
      </c>
      <c r="I975" s="2">
        <v>0.85099157690536231</v>
      </c>
      <c r="J975" s="2">
        <v>9</v>
      </c>
      <c r="K975" s="2">
        <v>180.50776779168089</v>
      </c>
      <c r="L975" s="2">
        <v>50</v>
      </c>
      <c r="M975" s="2">
        <v>25</v>
      </c>
      <c r="N975" s="2">
        <v>1.169253233644475</v>
      </c>
      <c r="O975" s="2">
        <v>52.205237606425371</v>
      </c>
      <c r="P975" s="2">
        <v>1382.4953096103854</v>
      </c>
      <c r="Q975" s="2">
        <v>1.1731372282652075</v>
      </c>
      <c r="R975" s="2">
        <v>52.714034682900802</v>
      </c>
      <c r="S975" s="2">
        <v>1387.9877031343556</v>
      </c>
      <c r="T975" s="2">
        <v>3.8839946207325227E-3</v>
      </c>
      <c r="U975" s="2">
        <v>0.50879707647543171</v>
      </c>
      <c r="V975" s="2">
        <v>5.4923935239701223</v>
      </c>
    </row>
    <row r="976" spans="1:22" ht="15">
      <c r="A976" s="2">
        <v>975</v>
      </c>
      <c r="B976" s="2" t="s">
        <v>79</v>
      </c>
      <c r="C976" s="2" t="s">
        <v>13</v>
      </c>
      <c r="D976" s="2">
        <v>1456.6940000513569</v>
      </c>
      <c r="E976" s="2">
        <v>1101.99794966029</v>
      </c>
      <c r="F976" s="2">
        <v>528.83229330182076</v>
      </c>
      <c r="G976" s="2">
        <v>153.39712645625696</v>
      </c>
      <c r="H976" s="2">
        <v>22.161980300210416</v>
      </c>
      <c r="I976" s="2">
        <v>0.85189496455481284</v>
      </c>
      <c r="J976" s="2">
        <v>9</v>
      </c>
      <c r="K976" s="2">
        <v>189.99394952308242</v>
      </c>
      <c r="L976" s="2">
        <v>40</v>
      </c>
      <c r="M976" s="2">
        <v>25</v>
      </c>
      <c r="N976" s="2">
        <v>1.1942921749102493</v>
      </c>
      <c r="O976" s="2">
        <v>52.253205652576554</v>
      </c>
      <c r="P976" s="2">
        <v>1456.6940000513569</v>
      </c>
      <c r="Q976" s="2">
        <v>1.1877050129335371</v>
      </c>
      <c r="R976" s="2">
        <v>52.698882187852327</v>
      </c>
      <c r="S976" s="2">
        <v>1441.7955688479092</v>
      </c>
      <c r="T976" s="2">
        <v>-6.5871619767121636E-3</v>
      </c>
      <c r="U976" s="2">
        <v>0.44567653527577278</v>
      </c>
      <c r="V976" s="2">
        <v>-14.898431203447672</v>
      </c>
    </row>
    <row r="977" spans="1:22" ht="15">
      <c r="A977" s="2">
        <v>976</v>
      </c>
      <c r="B977" s="2" t="s">
        <v>79</v>
      </c>
      <c r="C977" s="2" t="s">
        <v>13</v>
      </c>
      <c r="D977" s="2">
        <v>1467.9110646131448</v>
      </c>
      <c r="E977" s="2">
        <v>1034.3533603474498</v>
      </c>
      <c r="F977" s="2">
        <v>614.97016688808799</v>
      </c>
      <c r="G977" s="2">
        <v>305.91661487240344</v>
      </c>
      <c r="H977" s="2">
        <v>22.290098288562149</v>
      </c>
      <c r="I977" s="2">
        <v>0.81242311372421683</v>
      </c>
      <c r="J977" s="2">
        <v>10</v>
      </c>
      <c r="K977" s="2">
        <v>180.68307508929865</v>
      </c>
      <c r="L977" s="2">
        <v>35</v>
      </c>
      <c r="M977" s="2">
        <v>25</v>
      </c>
      <c r="N977" s="2">
        <v>1.2688366449747945</v>
      </c>
      <c r="O977" s="2">
        <v>52.313745354620195</v>
      </c>
      <c r="P977" s="2">
        <v>1467.9110646131448</v>
      </c>
      <c r="Q977" s="2">
        <v>1.282896918284572</v>
      </c>
      <c r="R977" s="2">
        <v>52.153897911134493</v>
      </c>
      <c r="S977" s="2">
        <v>1447.005175365975</v>
      </c>
      <c r="T977" s="2">
        <v>1.4060273309777438E-2</v>
      </c>
      <c r="U977" s="2">
        <v>-0.15984744348570246</v>
      </c>
      <c r="V977" s="2">
        <v>-20.905889247169853</v>
      </c>
    </row>
    <row r="978" spans="1:22" ht="15">
      <c r="A978" s="2">
        <v>977</v>
      </c>
      <c r="B978" s="2" t="s">
        <v>79</v>
      </c>
      <c r="C978" s="2" t="s">
        <v>13</v>
      </c>
      <c r="D978" s="2">
        <v>1425.7581026293337</v>
      </c>
      <c r="E978" s="2">
        <v>778.48691319813952</v>
      </c>
      <c r="F978" s="2">
        <v>708.5448095574975</v>
      </c>
      <c r="G978" s="2">
        <v>138.4724266664125</v>
      </c>
      <c r="H978" s="2">
        <v>19.00122350640595</v>
      </c>
      <c r="I978" s="2">
        <v>0.81147885016398513</v>
      </c>
      <c r="J978" s="2">
        <v>9</v>
      </c>
      <c r="K978" s="2">
        <v>195.22082051405474</v>
      </c>
      <c r="L978" s="2">
        <v>45</v>
      </c>
      <c r="M978" s="2">
        <v>25</v>
      </c>
      <c r="N978" s="2">
        <v>1.1933359246064759</v>
      </c>
      <c r="O978" s="2">
        <v>52.228456734498636</v>
      </c>
      <c r="P978" s="2">
        <v>1425.7581026293337</v>
      </c>
      <c r="Q978" s="2">
        <v>1.1883376488688078</v>
      </c>
      <c r="R978" s="2">
        <v>52.417186506440324</v>
      </c>
      <c r="S978" s="2">
        <v>1433.2825886042717</v>
      </c>
      <c r="T978" s="2">
        <v>-4.9982757376680897E-3</v>
      </c>
      <c r="U978" s="2">
        <v>0.18872977194168783</v>
      </c>
      <c r="V978" s="2">
        <v>7.5244859749379884</v>
      </c>
    </row>
    <row r="979" spans="1:22" ht="15">
      <c r="A979" s="2">
        <v>978</v>
      </c>
      <c r="B979" s="2" t="s">
        <v>80</v>
      </c>
      <c r="C979" s="2" t="s">
        <v>13</v>
      </c>
      <c r="D979" s="2">
        <v>1352.1611664094962</v>
      </c>
      <c r="E979" s="2">
        <v>820.68783801514655</v>
      </c>
      <c r="F979" s="2">
        <v>489.70236564055085</v>
      </c>
      <c r="G979" s="2">
        <v>189.12189190275967</v>
      </c>
      <c r="H979" s="2">
        <v>23.500006214249879</v>
      </c>
      <c r="I979" s="2">
        <v>0.80602767626289284</v>
      </c>
      <c r="J979" s="2">
        <v>9</v>
      </c>
      <c r="K979" s="2">
        <v>186.39574548809043</v>
      </c>
      <c r="L979" s="2">
        <v>50</v>
      </c>
      <c r="M979" s="2">
        <v>25</v>
      </c>
      <c r="N979" s="2">
        <v>1.2310800123916072</v>
      </c>
      <c r="O979" s="2">
        <v>52.208811423499952</v>
      </c>
      <c r="P979" s="2">
        <v>1352.1611664094962</v>
      </c>
      <c r="Q979" s="2">
        <v>1.2169422565065331</v>
      </c>
      <c r="R979" s="2">
        <v>51.927934544547114</v>
      </c>
      <c r="S979" s="2">
        <v>1344.8174652063167</v>
      </c>
      <c r="T979" s="2">
        <v>-1.4137755885074155E-2</v>
      </c>
      <c r="U979" s="2">
        <v>-0.28087687895283864</v>
      </c>
      <c r="V979" s="2">
        <v>-7.3437012031795348</v>
      </c>
    </row>
    <row r="980" spans="1:22" ht="15">
      <c r="A980" s="2">
        <v>979</v>
      </c>
      <c r="B980" s="2" t="s">
        <v>80</v>
      </c>
      <c r="C980" s="2" t="s">
        <v>13</v>
      </c>
      <c r="D980" s="2">
        <v>1431.3690135022625</v>
      </c>
      <c r="E980" s="2">
        <v>1001.3102143653668</v>
      </c>
      <c r="F980" s="2">
        <v>558.00658129155636</v>
      </c>
      <c r="G980" s="2">
        <v>235.71969811571762</v>
      </c>
      <c r="H980" s="2">
        <v>20.278029111213982</v>
      </c>
      <c r="I980" s="2">
        <v>0.83963585090590642</v>
      </c>
      <c r="J980" s="2">
        <v>9</v>
      </c>
      <c r="K980" s="2">
        <v>189.41663975955487</v>
      </c>
      <c r="L980" s="2">
        <v>40</v>
      </c>
      <c r="M980" s="2">
        <v>25</v>
      </c>
      <c r="N980" s="2">
        <v>1.1909698699033966</v>
      </c>
      <c r="O980" s="2">
        <v>52.254891065291496</v>
      </c>
      <c r="P980" s="2">
        <v>1431.3690135022625</v>
      </c>
      <c r="Q980" s="2">
        <v>1.1966777453965247</v>
      </c>
      <c r="R980" s="2">
        <v>51.571065757837964</v>
      </c>
      <c r="S980" s="2">
        <v>1422.2634736248588</v>
      </c>
      <c r="T980" s="2">
        <v>5.7078754931281228E-3</v>
      </c>
      <c r="U980" s="2">
        <v>-0.68382530745353165</v>
      </c>
      <c r="V980" s="2">
        <v>-9.1055398774037712</v>
      </c>
    </row>
    <row r="981" spans="1:22" ht="15">
      <c r="A981" s="2">
        <v>980</v>
      </c>
      <c r="B981" s="2" t="s">
        <v>80</v>
      </c>
      <c r="C981" s="2" t="s">
        <v>13</v>
      </c>
      <c r="D981" s="2">
        <v>1452.1697801887058</v>
      </c>
      <c r="E981" s="2">
        <v>768.04147274233401</v>
      </c>
      <c r="F981" s="2">
        <v>402.83730207011104</v>
      </c>
      <c r="G981" s="2">
        <v>270.40965044405311</v>
      </c>
      <c r="H981" s="2">
        <v>24.05316950334236</v>
      </c>
      <c r="I981" s="2">
        <v>0.83823969291523104</v>
      </c>
      <c r="J981" s="2">
        <v>9</v>
      </c>
      <c r="K981" s="2">
        <v>192.48933110957108</v>
      </c>
      <c r="L981" s="2">
        <v>50</v>
      </c>
      <c r="M981" s="2">
        <v>25</v>
      </c>
      <c r="N981" s="2">
        <v>1.189486304375557</v>
      </c>
      <c r="O981" s="2">
        <v>52.199732897708117</v>
      </c>
      <c r="P981" s="2">
        <v>1452.1697801887058</v>
      </c>
      <c r="Q981" s="2">
        <v>1.1796034563662539</v>
      </c>
      <c r="R981" s="2">
        <v>52.554437632833398</v>
      </c>
      <c r="S981" s="2">
        <v>1457.3013404490564</v>
      </c>
      <c r="T981" s="2">
        <v>-9.882848009303169E-3</v>
      </c>
      <c r="U981" s="2">
        <v>0.35470473512528145</v>
      </c>
      <c r="V981" s="2">
        <v>5.131560260350625</v>
      </c>
    </row>
    <row r="982" spans="1:22" ht="15">
      <c r="A982" s="2">
        <v>981</v>
      </c>
      <c r="B982" s="2" t="s">
        <v>78</v>
      </c>
      <c r="C982" s="2" t="s">
        <v>13</v>
      </c>
      <c r="D982" s="2">
        <v>1355.5733412969857</v>
      </c>
      <c r="E982" s="2">
        <v>1039.107764873188</v>
      </c>
      <c r="F982" s="2">
        <v>661.24290805310011</v>
      </c>
      <c r="G982" s="2">
        <v>139.9714222480543</v>
      </c>
      <c r="H982" s="2">
        <v>29.175830349326134</v>
      </c>
      <c r="I982" s="2">
        <v>0.81610906927147886</v>
      </c>
      <c r="J982" s="2">
        <v>9</v>
      </c>
      <c r="K982" s="2">
        <v>184.5577580439876</v>
      </c>
      <c r="L982" s="2">
        <v>35</v>
      </c>
      <c r="M982" s="2">
        <v>25</v>
      </c>
      <c r="N982" s="2">
        <v>1.1452427221175039</v>
      </c>
      <c r="O982" s="2">
        <v>52.261952222690056</v>
      </c>
      <c r="P982" s="2">
        <v>1355.5733412969857</v>
      </c>
      <c r="Q982" s="2">
        <v>1.1559916857481769</v>
      </c>
      <c r="R982" s="2">
        <v>52.591868014371492</v>
      </c>
      <c r="S982" s="2">
        <v>1331.467075772016</v>
      </c>
      <c r="T982" s="2">
        <v>1.0748963630673014E-2</v>
      </c>
      <c r="U982" s="2">
        <v>0.32991579168143659</v>
      </c>
      <c r="V982" s="2">
        <v>-24.106265524969785</v>
      </c>
    </row>
    <row r="983" spans="1:22" ht="15">
      <c r="A983" s="2">
        <v>982</v>
      </c>
      <c r="B983" s="2" t="s">
        <v>78</v>
      </c>
      <c r="C983" s="2" t="s">
        <v>13</v>
      </c>
      <c r="D983" s="2">
        <v>1351.3758850400336</v>
      </c>
      <c r="E983" s="2">
        <v>731.97798409964889</v>
      </c>
      <c r="F983" s="2">
        <v>539.18624641373754</v>
      </c>
      <c r="G983" s="2">
        <v>162.02438475564122</v>
      </c>
      <c r="H983" s="2">
        <v>25.428609168622643</v>
      </c>
      <c r="I983" s="2">
        <v>0.84367694502230739</v>
      </c>
      <c r="J983" s="2">
        <v>9</v>
      </c>
      <c r="K983" s="2">
        <v>177.97437396086383</v>
      </c>
      <c r="L983" s="2">
        <v>50</v>
      </c>
      <c r="M983" s="2">
        <v>25</v>
      </c>
      <c r="N983" s="2">
        <v>1.1891654524968569</v>
      </c>
      <c r="O983" s="2">
        <v>52.198469934835821</v>
      </c>
      <c r="P983" s="2">
        <v>1351.3758850400336</v>
      </c>
      <c r="Q983" s="2">
        <v>1.1790598475783731</v>
      </c>
      <c r="R983" s="2">
        <v>51.49796061668436</v>
      </c>
      <c r="S983" s="2">
        <v>1343.4946574291255</v>
      </c>
      <c r="T983" s="2">
        <v>-1.0105604918483779E-2</v>
      </c>
      <c r="U983" s="2">
        <v>-0.700509318151461</v>
      </c>
      <c r="V983" s="2">
        <v>-7.8812276109081267</v>
      </c>
    </row>
    <row r="984" spans="1:22" ht="15">
      <c r="A984" s="2">
        <v>983</v>
      </c>
      <c r="B984" s="2" t="s">
        <v>78</v>
      </c>
      <c r="C984" s="2" t="s">
        <v>13</v>
      </c>
      <c r="D984" s="2">
        <v>1397.1637268783525</v>
      </c>
      <c r="E984" s="2">
        <v>764.20033742906526</v>
      </c>
      <c r="F984" s="2">
        <v>639.29433673620224</v>
      </c>
      <c r="G984" s="2">
        <v>173.92688510706648</v>
      </c>
      <c r="H984" s="2">
        <v>26.25558530818671</v>
      </c>
      <c r="I984" s="2">
        <v>0.85786374281859024</v>
      </c>
      <c r="J984" s="2">
        <v>9</v>
      </c>
      <c r="K984" s="2">
        <v>180.96162169942986</v>
      </c>
      <c r="L984" s="2">
        <v>45</v>
      </c>
      <c r="M984" s="2">
        <v>25</v>
      </c>
      <c r="N984" s="2">
        <v>1.194577698535721</v>
      </c>
      <c r="O984" s="2">
        <v>52.220959456629544</v>
      </c>
      <c r="P984" s="2">
        <v>1397.1637268783525</v>
      </c>
      <c r="Q984" s="2">
        <v>1.1840622574753654</v>
      </c>
      <c r="R984" s="2">
        <v>52.306577348069894</v>
      </c>
      <c r="S984" s="2">
        <v>1395.2249961199102</v>
      </c>
      <c r="T984" s="2">
        <v>-1.0515441060355624E-2</v>
      </c>
      <c r="U984" s="2">
        <v>8.5617891440350036E-2</v>
      </c>
      <c r="V984" s="2">
        <v>-1.9387307584422615</v>
      </c>
    </row>
    <row r="985" spans="1:22" ht="15">
      <c r="A985" s="2">
        <v>984</v>
      </c>
      <c r="B985" s="2" t="s">
        <v>78</v>
      </c>
      <c r="C985" s="2" t="s">
        <v>13</v>
      </c>
      <c r="D985" s="2">
        <v>1482.8241514856927</v>
      </c>
      <c r="E985" s="2">
        <v>1060.0349805317819</v>
      </c>
      <c r="F985" s="2">
        <v>491.17775177583098</v>
      </c>
      <c r="G985" s="2">
        <v>324.81365887913853</v>
      </c>
      <c r="H985" s="2">
        <v>9.2815256319008768</v>
      </c>
      <c r="I985" s="2">
        <v>0.84296433930285275</v>
      </c>
      <c r="J985" s="2">
        <v>9</v>
      </c>
      <c r="K985" s="2">
        <v>195.4510189484694</v>
      </c>
      <c r="L985" s="2">
        <v>40</v>
      </c>
      <c r="M985" s="2">
        <v>25</v>
      </c>
      <c r="N985" s="2">
        <v>1.1804607723000218</v>
      </c>
      <c r="O985" s="2">
        <v>52.26751941504579</v>
      </c>
      <c r="P985" s="2">
        <v>1482.8241514856927</v>
      </c>
      <c r="Q985" s="2">
        <v>1.1926401130541446</v>
      </c>
      <c r="R985" s="2">
        <v>53.71392133730712</v>
      </c>
      <c r="S985" s="2">
        <v>1484.7058424509189</v>
      </c>
      <c r="T985" s="2">
        <v>1.2179340754122858E-2</v>
      </c>
      <c r="U985" s="2">
        <v>1.4464019222613302</v>
      </c>
      <c r="V985" s="2">
        <v>1.8816909652261984</v>
      </c>
    </row>
    <row r="986" spans="1:22" ht="15">
      <c r="A986" s="2">
        <v>985</v>
      </c>
      <c r="B986" s="2" t="s">
        <v>78</v>
      </c>
      <c r="C986" s="2" t="s">
        <v>13</v>
      </c>
      <c r="D986" s="2">
        <v>1406.9719456136227</v>
      </c>
      <c r="E986" s="2">
        <v>873.79174850648269</v>
      </c>
      <c r="F986" s="2">
        <v>450.69349873811007</v>
      </c>
      <c r="G986" s="2">
        <v>167.75890112156048</v>
      </c>
      <c r="H986" s="2">
        <v>25.063759563490748</v>
      </c>
      <c r="I986" s="2">
        <v>0.80139381994726144</v>
      </c>
      <c r="J986" s="2">
        <v>9</v>
      </c>
      <c r="K986" s="2">
        <v>195.07289960082207</v>
      </c>
      <c r="L986" s="2">
        <v>50</v>
      </c>
      <c r="M986" s="2">
        <v>25</v>
      </c>
      <c r="N986" s="2">
        <v>1.2322162900065619</v>
      </c>
      <c r="O986" s="2">
        <v>52.207678168833993</v>
      </c>
      <c r="P986" s="2">
        <v>1406.9719456136227</v>
      </c>
      <c r="Q986" s="2">
        <v>1.2134745279676931</v>
      </c>
      <c r="R986" s="2">
        <v>52.454223605594123</v>
      </c>
      <c r="S986" s="2">
        <v>1404.1987477686514</v>
      </c>
      <c r="T986" s="2">
        <v>-1.8741762038868792E-2</v>
      </c>
      <c r="U986" s="2">
        <v>0.24654543676012963</v>
      </c>
      <c r="V986" s="2">
        <v>-2.7731978449712642</v>
      </c>
    </row>
    <row r="987" spans="1:22" ht="15">
      <c r="A987" s="2">
        <v>986</v>
      </c>
      <c r="B987" s="2" t="s">
        <v>78</v>
      </c>
      <c r="C987" s="2" t="s">
        <v>13</v>
      </c>
      <c r="D987" s="2">
        <v>1457.4546410352923</v>
      </c>
      <c r="E987" s="2">
        <v>911.0443519661203</v>
      </c>
      <c r="F987" s="2">
        <v>352.09266999736428</v>
      </c>
      <c r="G987" s="2">
        <v>202.47159495018423</v>
      </c>
      <c r="H987" s="2">
        <v>15.972927477676421</v>
      </c>
      <c r="I987" s="2">
        <v>0.841874056016095</v>
      </c>
      <c r="J987" s="2">
        <v>9</v>
      </c>
      <c r="K987" s="2">
        <v>192.35585584594966</v>
      </c>
      <c r="L987" s="2">
        <v>50</v>
      </c>
      <c r="M987" s="2">
        <v>25</v>
      </c>
      <c r="N987" s="2">
        <v>1.1731638810882574</v>
      </c>
      <c r="O987" s="2">
        <v>52.203525023592256</v>
      </c>
      <c r="P987" s="2">
        <v>1457.4546410352923</v>
      </c>
      <c r="Q987" s="2">
        <v>1.1777372535856954</v>
      </c>
      <c r="R987" s="2">
        <v>52.355233019377998</v>
      </c>
      <c r="S987" s="2">
        <v>1473.4666105787542</v>
      </c>
      <c r="T987" s="2">
        <v>4.5733724974379442E-3</v>
      </c>
      <c r="U987" s="2">
        <v>0.1517079957857419</v>
      </c>
      <c r="V987" s="2">
        <v>16.011969543461873</v>
      </c>
    </row>
    <row r="988" spans="1:22" ht="15">
      <c r="A988" s="2">
        <v>987</v>
      </c>
      <c r="B988" s="2" t="s">
        <v>78</v>
      </c>
      <c r="C988" s="2" t="s">
        <v>13</v>
      </c>
      <c r="D988" s="2">
        <v>1457.5972818536684</v>
      </c>
      <c r="E988" s="2">
        <v>820.94658432761207</v>
      </c>
      <c r="F988" s="2">
        <v>729.52129282057285</v>
      </c>
      <c r="G988" s="2">
        <v>313.97459572879598</v>
      </c>
      <c r="H988" s="2">
        <v>18.821577125228941</v>
      </c>
      <c r="I988" s="2">
        <v>0.80545684988377619</v>
      </c>
      <c r="J988" s="2">
        <v>10</v>
      </c>
      <c r="K988" s="2">
        <v>180.96528474045419</v>
      </c>
      <c r="L988" s="2">
        <v>35</v>
      </c>
      <c r="M988" s="2">
        <v>25</v>
      </c>
      <c r="N988" s="2">
        <v>1.1967705445984678</v>
      </c>
      <c r="O988" s="2">
        <v>52.298014658425927</v>
      </c>
      <c r="P988" s="2">
        <v>1457.5972818536684</v>
      </c>
      <c r="Q988" s="2">
        <v>1.2049272874179122</v>
      </c>
      <c r="R988" s="2">
        <v>53.145542976890376</v>
      </c>
      <c r="S988" s="2">
        <v>1451.4448941266555</v>
      </c>
      <c r="T988" s="2">
        <v>8.1567428194444513E-3</v>
      </c>
      <c r="U988" s="2">
        <v>0.8475283184644482</v>
      </c>
      <c r="V988" s="2">
        <v>-6.1523877270128651</v>
      </c>
    </row>
    <row r="989" spans="1:22" ht="15">
      <c r="A989" s="2">
        <v>988</v>
      </c>
      <c r="B989" s="2" t="s">
        <v>78</v>
      </c>
      <c r="C989" s="2" t="s">
        <v>13</v>
      </c>
      <c r="D989" s="2">
        <v>1351.4524117461406</v>
      </c>
      <c r="E989" s="2">
        <v>864.64507575146854</v>
      </c>
      <c r="F989" s="2">
        <v>502.71347416564822</v>
      </c>
      <c r="G989" s="2">
        <v>261.25797796528786</v>
      </c>
      <c r="H989" s="2">
        <v>29.541490431409329</v>
      </c>
      <c r="I989" s="2">
        <v>0.81085311777889735</v>
      </c>
      <c r="J989" s="2">
        <v>9</v>
      </c>
      <c r="K989" s="2">
        <v>185.18937128123662</v>
      </c>
      <c r="L989" s="2">
        <v>45</v>
      </c>
      <c r="M989" s="2">
        <v>25</v>
      </c>
      <c r="N989" s="2">
        <v>1.2445007212829144</v>
      </c>
      <c r="O989" s="2">
        <v>52.228942032110062</v>
      </c>
      <c r="P989" s="2">
        <v>1351.4524117461406</v>
      </c>
      <c r="Q989" s="2">
        <v>1.2277250747070294</v>
      </c>
      <c r="R989" s="2">
        <v>52.945840036510234</v>
      </c>
      <c r="S989" s="2">
        <v>1341.954126926965</v>
      </c>
      <c r="T989" s="2">
        <v>-1.6775646575885039E-2</v>
      </c>
      <c r="U989" s="2">
        <v>0.71689800440017137</v>
      </c>
      <c r="V989" s="2">
        <v>-9.4982848191755238</v>
      </c>
    </row>
    <row r="990" spans="1:22" ht="15">
      <c r="A990" s="2">
        <v>989</v>
      </c>
      <c r="B990" s="2" t="s">
        <v>78</v>
      </c>
      <c r="C990" s="2" t="s">
        <v>13</v>
      </c>
      <c r="D990" s="2">
        <v>1484.6002049278468</v>
      </c>
      <c r="E990" s="2">
        <v>779.91012044949457</v>
      </c>
      <c r="F990" s="2">
        <v>532.57561679929495</v>
      </c>
      <c r="G990" s="2">
        <v>188.11252222629264</v>
      </c>
      <c r="H990" s="2">
        <v>12.846662741154432</v>
      </c>
      <c r="I990" s="2">
        <v>0.84884045835817235</v>
      </c>
      <c r="J990" s="2">
        <v>9</v>
      </c>
      <c r="K990" s="2">
        <v>194.3304854299399</v>
      </c>
      <c r="L990" s="2">
        <v>50</v>
      </c>
      <c r="M990" s="2">
        <v>25</v>
      </c>
      <c r="N990" s="2">
        <v>1.1857972729011916</v>
      </c>
      <c r="O990" s="2">
        <v>52.208980783608652</v>
      </c>
      <c r="P990" s="2">
        <v>1484.6002049278468</v>
      </c>
      <c r="Q990" s="2">
        <v>1.1831205865813237</v>
      </c>
      <c r="R990" s="2">
        <v>52.166861256190103</v>
      </c>
      <c r="S990" s="2">
        <v>1489.1711049995672</v>
      </c>
      <c r="T990" s="2">
        <v>-2.6766863198679491E-3</v>
      </c>
      <c r="U990" s="2">
        <v>-4.2119527418549296E-2</v>
      </c>
      <c r="V990" s="2">
        <v>4.5709000717204162</v>
      </c>
    </row>
    <row r="991" spans="1:22" ht="15">
      <c r="A991" s="2">
        <v>990</v>
      </c>
      <c r="B991" s="2" t="s">
        <v>78</v>
      </c>
      <c r="C991" s="2" t="s">
        <v>13</v>
      </c>
      <c r="D991" s="2">
        <v>1466.6645981487818</v>
      </c>
      <c r="E991" s="2">
        <v>1144.4564535049722</v>
      </c>
      <c r="F991" s="2">
        <v>554.13202838972211</v>
      </c>
      <c r="G991" s="2">
        <v>179.36411958187819</v>
      </c>
      <c r="H991" s="2">
        <v>18.574433671776205</v>
      </c>
      <c r="I991" s="2">
        <v>0.81036684583406904</v>
      </c>
      <c r="J991" s="2">
        <v>10</v>
      </c>
      <c r="K991" s="2">
        <v>180.9877348374512</v>
      </c>
      <c r="L991" s="2">
        <v>35</v>
      </c>
      <c r="M991" s="2">
        <v>25</v>
      </c>
      <c r="N991" s="2">
        <v>1.2033578353000183</v>
      </c>
      <c r="O991" s="2">
        <v>52.300355288205807</v>
      </c>
      <c r="P991" s="2">
        <v>1466.6645981487818</v>
      </c>
      <c r="Q991" s="2">
        <v>1.198136385234879</v>
      </c>
      <c r="R991" s="2">
        <v>53.182028202271056</v>
      </c>
      <c r="S991" s="2">
        <v>1455.02319171761</v>
      </c>
      <c r="T991" s="2">
        <v>-5.2214500651392992E-3</v>
      </c>
      <c r="U991" s="2">
        <v>0.88167291406524839</v>
      </c>
      <c r="V991" s="2">
        <v>-11.641406431171845</v>
      </c>
    </row>
    <row r="992" spans="1:22" ht="15">
      <c r="A992" s="2">
        <v>991</v>
      </c>
      <c r="B992" s="2" t="s">
        <v>78</v>
      </c>
      <c r="C992" s="2" t="s">
        <v>13</v>
      </c>
      <c r="D992" s="2">
        <v>1424.03317282442</v>
      </c>
      <c r="E992" s="2">
        <v>610.424975969363</v>
      </c>
      <c r="F992" s="2">
        <v>587.8889761865139</v>
      </c>
      <c r="G992" s="2">
        <v>231.57127886777744</v>
      </c>
      <c r="H992" s="2">
        <v>29.293745479546487</v>
      </c>
      <c r="I992" s="2">
        <v>0.85009766483446592</v>
      </c>
      <c r="J992" s="2">
        <v>9</v>
      </c>
      <c r="K992" s="2">
        <v>186.12674124026978</v>
      </c>
      <c r="L992" s="2">
        <v>50</v>
      </c>
      <c r="M992" s="2">
        <v>25</v>
      </c>
      <c r="N992" s="2">
        <v>1.2027971616175077</v>
      </c>
      <c r="O992" s="2">
        <v>52.197954854647364</v>
      </c>
      <c r="P992" s="2">
        <v>1424.03317282442</v>
      </c>
      <c r="Q992" s="2">
        <v>1.1879802124753198</v>
      </c>
      <c r="R992" s="2">
        <v>51.632132863955789</v>
      </c>
      <c r="S992" s="2">
        <v>1419.3874812749864</v>
      </c>
      <c r="T992" s="2">
        <v>-1.4816949142187896E-2</v>
      </c>
      <c r="U992" s="2">
        <v>-0.56582199069157468</v>
      </c>
      <c r="V992" s="2">
        <v>-4.6456915494336499</v>
      </c>
    </row>
    <row r="993" spans="1:22" ht="15">
      <c r="A993" s="2">
        <v>992</v>
      </c>
      <c r="B993" s="2" t="s">
        <v>78</v>
      </c>
      <c r="C993" s="2" t="s">
        <v>13</v>
      </c>
      <c r="D993" s="2">
        <v>1437.2233932721429</v>
      </c>
      <c r="E993" s="2">
        <v>1051.0848745703697</v>
      </c>
      <c r="F993" s="2">
        <v>691.10057046636939</v>
      </c>
      <c r="G993" s="2">
        <v>155.92670165468007</v>
      </c>
      <c r="H993" s="2">
        <v>25.783809961285442</v>
      </c>
      <c r="I993" s="2">
        <v>0.8137659674417228</v>
      </c>
      <c r="J993" s="2">
        <v>9</v>
      </c>
      <c r="K993" s="2">
        <v>196.23760949770289</v>
      </c>
      <c r="L993" s="2">
        <v>35</v>
      </c>
      <c r="M993" s="2">
        <v>25</v>
      </c>
      <c r="N993" s="2">
        <v>1.1568197237953843</v>
      </c>
      <c r="O993" s="2">
        <v>52.270963136472858</v>
      </c>
      <c r="P993" s="2">
        <v>1437.2233932721429</v>
      </c>
      <c r="Q993" s="2">
        <v>1.1580202475704391</v>
      </c>
      <c r="R993" s="2">
        <v>52.047074392366781</v>
      </c>
      <c r="S993" s="2">
        <v>1413.9519178191927</v>
      </c>
      <c r="T993" s="2">
        <v>1.2005237750547515E-3</v>
      </c>
      <c r="U993" s="2">
        <v>-0.22388874410607684</v>
      </c>
      <c r="V993" s="2">
        <v>-23.271475452950199</v>
      </c>
    </row>
    <row r="994" spans="1:22" ht="15">
      <c r="A994" s="2">
        <v>993</v>
      </c>
      <c r="B994" s="2" t="s">
        <v>78</v>
      </c>
      <c r="C994" s="2" t="s">
        <v>13</v>
      </c>
      <c r="D994" s="2">
        <v>1413.3190616033971</v>
      </c>
      <c r="E994" s="2">
        <v>801.17755898972973</v>
      </c>
      <c r="F994" s="2">
        <v>460.65942291170359</v>
      </c>
      <c r="G994" s="2">
        <v>248.96830784389749</v>
      </c>
      <c r="H994" s="2">
        <v>10.783515388146043</v>
      </c>
      <c r="I994" s="2">
        <v>0.83500665652798489</v>
      </c>
      <c r="J994" s="2">
        <v>9</v>
      </c>
      <c r="K994" s="2">
        <v>188.06490949692611</v>
      </c>
      <c r="L994" s="2">
        <v>50</v>
      </c>
      <c r="M994" s="2">
        <v>25</v>
      </c>
      <c r="N994" s="2">
        <v>1.1843377399354618</v>
      </c>
      <c r="O994" s="2">
        <v>52.210572314803535</v>
      </c>
      <c r="P994" s="2">
        <v>1413.3190616033971</v>
      </c>
      <c r="Q994" s="2">
        <v>1.1830754472051339</v>
      </c>
      <c r="R994" s="2">
        <v>51.344771007547955</v>
      </c>
      <c r="S994" s="2">
        <v>1422.4473615528707</v>
      </c>
      <c r="T994" s="2">
        <v>-1.2622927303278519E-3</v>
      </c>
      <c r="U994" s="2">
        <v>-0.86580130725558035</v>
      </c>
      <c r="V994" s="2">
        <v>9.1282999494735577</v>
      </c>
    </row>
    <row r="995" spans="1:22" ht="15">
      <c r="A995" s="2">
        <v>994</v>
      </c>
      <c r="B995" s="2" t="s">
        <v>78</v>
      </c>
      <c r="C995" s="2" t="s">
        <v>13</v>
      </c>
      <c r="D995" s="2">
        <v>1358.003594877664</v>
      </c>
      <c r="E995" s="2">
        <v>1116.4204049156979</v>
      </c>
      <c r="F995" s="2">
        <v>582.57629806175828</v>
      </c>
      <c r="G995" s="2">
        <v>303.09902333654463</v>
      </c>
      <c r="H995" s="2">
        <v>26.553590454626828</v>
      </c>
      <c r="I995" s="2">
        <v>0.7974613099405542</v>
      </c>
      <c r="J995" s="2">
        <v>9</v>
      </c>
      <c r="K995" s="2">
        <v>189.21204883405355</v>
      </c>
      <c r="L995" s="2">
        <v>35</v>
      </c>
      <c r="M995" s="2">
        <v>25</v>
      </c>
      <c r="N995" s="2">
        <v>1.2165113876607758</v>
      </c>
      <c r="O995" s="2">
        <v>52.287176776125506</v>
      </c>
      <c r="P995" s="2">
        <v>1358.003594877664</v>
      </c>
      <c r="Q995" s="2">
        <v>1.2123960856293654</v>
      </c>
      <c r="R995" s="2">
        <v>52.762244999837755</v>
      </c>
      <c r="S995" s="2">
        <v>1341.7919367554464</v>
      </c>
      <c r="T995" s="2">
        <v>-4.1153020314104172E-3</v>
      </c>
      <c r="U995" s="2">
        <v>0.47506822371224899</v>
      </c>
      <c r="V995" s="2">
        <v>-16.211658122217614</v>
      </c>
    </row>
    <row r="996" spans="1:22" ht="15">
      <c r="A996" s="2">
        <v>995</v>
      </c>
      <c r="B996" s="2" t="s">
        <v>79</v>
      </c>
      <c r="C996" s="2" t="s">
        <v>13</v>
      </c>
      <c r="D996" s="2">
        <v>1415.7982654636726</v>
      </c>
      <c r="E996" s="2">
        <v>1004.0015006088652</v>
      </c>
      <c r="F996" s="2">
        <v>504.61240224540234</v>
      </c>
      <c r="G996" s="2">
        <v>269.54669841332361</v>
      </c>
      <c r="H996" s="2">
        <v>10.393021901138127</v>
      </c>
      <c r="I996" s="2">
        <v>0.84718836881918835</v>
      </c>
      <c r="J996" s="2">
        <v>9</v>
      </c>
      <c r="K996" s="2">
        <v>185.6858807022015</v>
      </c>
      <c r="L996" s="2">
        <v>45</v>
      </c>
      <c r="M996" s="2">
        <v>25</v>
      </c>
      <c r="N996" s="2">
        <v>1.2550852106362509</v>
      </c>
      <c r="O996" s="2">
        <v>52.252259691752649</v>
      </c>
      <c r="P996" s="2">
        <v>1415.7982654636726</v>
      </c>
      <c r="Q996" s="2">
        <v>1.2623255029299185</v>
      </c>
      <c r="R996" s="2">
        <v>52.062315253217392</v>
      </c>
      <c r="S996" s="2">
        <v>1410.421605797914</v>
      </c>
      <c r="T996" s="2">
        <v>7.2402922936676273E-3</v>
      </c>
      <c r="U996" s="2">
        <v>-0.18994443853525667</v>
      </c>
      <c r="V996" s="2">
        <v>-5.3766596657585524</v>
      </c>
    </row>
    <row r="997" spans="1:22" ht="15">
      <c r="A997" s="2">
        <v>996</v>
      </c>
      <c r="B997" s="2" t="s">
        <v>79</v>
      </c>
      <c r="C997" s="2" t="s">
        <v>13</v>
      </c>
      <c r="D997" s="2">
        <v>1365.7679873867892</v>
      </c>
      <c r="E997" s="2">
        <v>1226.6658284235746</v>
      </c>
      <c r="F997" s="2">
        <v>714.00057403370738</v>
      </c>
      <c r="G997" s="2">
        <v>173.70040369685739</v>
      </c>
      <c r="H997" s="2">
        <v>27.666284419130534</v>
      </c>
      <c r="I997" s="2">
        <v>0.84493806390091786</v>
      </c>
      <c r="J997" s="2">
        <v>9</v>
      </c>
      <c r="K997" s="2">
        <v>179.60132828898975</v>
      </c>
      <c r="L997" s="2">
        <v>30</v>
      </c>
      <c r="M997" s="2">
        <v>25</v>
      </c>
      <c r="N997" s="2">
        <v>1.1475033599806583</v>
      </c>
      <c r="O997" s="2">
        <v>52.304682644249588</v>
      </c>
      <c r="P997" s="2">
        <v>1365.7679873867892</v>
      </c>
      <c r="Q997" s="2">
        <v>1.1536376391667726</v>
      </c>
      <c r="R997" s="2">
        <v>54.102911882188138</v>
      </c>
      <c r="S997" s="2">
        <v>1339.5552373302876</v>
      </c>
      <c r="T997" s="2">
        <v>6.1342791861143109E-3</v>
      </c>
      <c r="U997" s="2">
        <v>1.7982292379385498</v>
      </c>
      <c r="V997" s="2">
        <v>-26.212750056501591</v>
      </c>
    </row>
    <row r="998" spans="1:22" ht="15">
      <c r="A998" s="2">
        <v>997</v>
      </c>
      <c r="B998" s="2" t="s">
        <v>79</v>
      </c>
      <c r="C998" s="2" t="s">
        <v>13</v>
      </c>
      <c r="D998" s="2">
        <v>1495.6229342613369</v>
      </c>
      <c r="E998" s="2">
        <v>1033.6000403272919</v>
      </c>
      <c r="F998" s="2">
        <v>571.88921105116606</v>
      </c>
      <c r="G998" s="2">
        <v>225.90758207486942</v>
      </c>
      <c r="H998" s="2">
        <v>19.182174541056156</v>
      </c>
      <c r="I998" s="2">
        <v>0.79722733104834331</v>
      </c>
      <c r="J998" s="2">
        <v>10</v>
      </c>
      <c r="K998" s="2">
        <v>187.6030682860073</v>
      </c>
      <c r="L998" s="2">
        <v>35</v>
      </c>
      <c r="M998" s="2">
        <v>25</v>
      </c>
      <c r="N998" s="2">
        <v>1.1793229662254932</v>
      </c>
      <c r="O998" s="2">
        <v>52.292289501395786</v>
      </c>
      <c r="P998" s="2">
        <v>1495.6229342613369</v>
      </c>
      <c r="Q998" s="2">
        <v>1.1828537742045802</v>
      </c>
      <c r="R998" s="2">
        <v>51.681546958410273</v>
      </c>
      <c r="S998" s="2">
        <v>1488.6681967892068</v>
      </c>
      <c r="T998" s="2">
        <v>3.5308079790870028E-3</v>
      </c>
      <c r="U998" s="2">
        <v>-0.61074254298551267</v>
      </c>
      <c r="V998" s="2">
        <v>-6.9547374721300912</v>
      </c>
    </row>
    <row r="999" spans="1:22" ht="15">
      <c r="A999" s="2">
        <v>998</v>
      </c>
      <c r="B999" s="2" t="s">
        <v>80</v>
      </c>
      <c r="C999" s="2" t="s">
        <v>13</v>
      </c>
      <c r="D999" s="2">
        <v>1396.1878153611906</v>
      </c>
      <c r="E999" s="2">
        <v>1071.3552206521854</v>
      </c>
      <c r="F999" s="2">
        <v>474.36939151957631</v>
      </c>
      <c r="G999" s="2">
        <v>114.90394493564963</v>
      </c>
      <c r="H999" s="2">
        <v>12.220568476710469</v>
      </c>
      <c r="I999" s="2">
        <v>0.81843651966657494</v>
      </c>
      <c r="J999" s="2">
        <v>9</v>
      </c>
      <c r="K999" s="2">
        <v>189.54674645722844</v>
      </c>
      <c r="L999" s="2">
        <v>45</v>
      </c>
      <c r="M999" s="2">
        <v>25</v>
      </c>
      <c r="N999" s="2">
        <v>1.1844812217929037</v>
      </c>
      <c r="O999" s="2">
        <v>52.23393350776697</v>
      </c>
      <c r="P999" s="2">
        <v>1396.1878153611906</v>
      </c>
      <c r="Q999" s="2">
        <v>1.184047672398084</v>
      </c>
      <c r="R999" s="2">
        <v>51.823139678303676</v>
      </c>
      <c r="S999" s="2">
        <v>1396.3133305498418</v>
      </c>
      <c r="T999" s="2">
        <v>-4.3354939481976551E-4</v>
      </c>
      <c r="U999" s="2">
        <v>-0.41079382946329446</v>
      </c>
      <c r="V999" s="2">
        <v>0.1255151886512067</v>
      </c>
    </row>
    <row r="1000" spans="1:22" ht="15">
      <c r="A1000" s="2">
        <v>999</v>
      </c>
      <c r="B1000" s="2" t="s">
        <v>80</v>
      </c>
      <c r="C1000" s="2" t="s">
        <v>13</v>
      </c>
      <c r="D1000" s="2">
        <v>1355.9561121510342</v>
      </c>
      <c r="E1000" s="2">
        <v>742.9497163859196</v>
      </c>
      <c r="F1000" s="2">
        <v>737.76089549064636</v>
      </c>
      <c r="G1000" s="2">
        <v>204.37109829625115</v>
      </c>
      <c r="H1000" s="2">
        <v>17.803953337483108</v>
      </c>
      <c r="I1000" s="2">
        <v>0.83016272105043754</v>
      </c>
      <c r="J1000" s="2">
        <v>9</v>
      </c>
      <c r="K1000" s="2">
        <v>181.48464923643584</v>
      </c>
      <c r="L1000" s="2">
        <v>45</v>
      </c>
      <c r="M1000" s="2">
        <v>25</v>
      </c>
      <c r="N1000" s="2">
        <v>1.2280483713876003</v>
      </c>
      <c r="O1000" s="2">
        <v>52.237746365658694</v>
      </c>
      <c r="P1000" s="2">
        <v>1355.9561121510342</v>
      </c>
      <c r="Q1000" s="2">
        <v>1.2365448080947405</v>
      </c>
      <c r="R1000" s="2">
        <v>52.318418803781086</v>
      </c>
      <c r="S1000" s="2">
        <v>1351.5019509672818</v>
      </c>
      <c r="T1000" s="2">
        <v>8.4964367071402869E-3</v>
      </c>
      <c r="U1000" s="2">
        <v>8.0672438122391554E-2</v>
      </c>
      <c r="V1000" s="2">
        <v>-4.454161183752376</v>
      </c>
    </row>
    <row r="1001" spans="1:22" ht="15">
      <c r="A1001" s="2">
        <v>1000</v>
      </c>
      <c r="B1001" s="2" t="s">
        <v>80</v>
      </c>
      <c r="C1001" s="2" t="s">
        <v>13</v>
      </c>
      <c r="D1001" s="2">
        <v>1378.7439637701027</v>
      </c>
      <c r="E1001" s="2">
        <v>737.38671327009797</v>
      </c>
      <c r="F1001" s="2">
        <v>425.29236441478133</v>
      </c>
      <c r="G1001" s="2">
        <v>153.31543939653784</v>
      </c>
      <c r="H1001" s="2">
        <v>24.788509351667017</v>
      </c>
      <c r="I1001" s="2">
        <v>0.83684297845698896</v>
      </c>
      <c r="J1001" s="2">
        <v>9</v>
      </c>
      <c r="K1001" s="2">
        <v>183.06155120605735</v>
      </c>
      <c r="L1001" s="2">
        <v>55</v>
      </c>
      <c r="M1001" s="2">
        <v>25</v>
      </c>
      <c r="N1001" s="2">
        <v>1.1878130620831835</v>
      </c>
      <c r="O1001" s="2">
        <v>52.180196445075914</v>
      </c>
      <c r="P1001" s="2">
        <v>1378.7439637701027</v>
      </c>
      <c r="Q1001" s="2">
        <v>1.1652422041572577</v>
      </c>
      <c r="R1001" s="2">
        <v>52.15860233685035</v>
      </c>
      <c r="S1001" s="2">
        <v>1378.804528084089</v>
      </c>
      <c r="T1001" s="2">
        <v>-2.2570857925925836E-2</v>
      </c>
      <c r="U1001" s="2">
        <v>-2.1594108225563957E-2</v>
      </c>
      <c r="V1001" s="2">
        <v>6.0564313986333218E-2</v>
      </c>
    </row>
    <row r="1002" spans="1:22" ht="15">
      <c r="A1002" s="2">
        <v>1001</v>
      </c>
      <c r="B1002" s="2" t="s">
        <v>78</v>
      </c>
      <c r="C1002" s="2" t="s">
        <v>81</v>
      </c>
      <c r="D1002" s="2">
        <v>1031.5097128972411</v>
      </c>
      <c r="E1002" s="2">
        <v>1207.8387301764451</v>
      </c>
      <c r="F1002" s="2">
        <v>482.79454130679369</v>
      </c>
      <c r="G1002" s="2">
        <v>285.18492494011298</v>
      </c>
      <c r="H1002" s="2">
        <v>29.665858259424567</v>
      </c>
      <c r="I1002" s="2">
        <v>0.8597224311647006</v>
      </c>
      <c r="J1002" s="2">
        <v>6</v>
      </c>
      <c r="K1002" s="2">
        <v>199.96952417534214</v>
      </c>
      <c r="L1002" s="2">
        <v>12630</v>
      </c>
      <c r="M1002" s="2">
        <v>1200</v>
      </c>
      <c r="N1002" s="2">
        <v>250.04574708418338</v>
      </c>
      <c r="O1002" s="2">
        <v>2504.6585424728733</v>
      </c>
      <c r="P1002" s="2">
        <v>1031.5097128972411</v>
      </c>
      <c r="Q1002" s="2">
        <v>253.12964038289073</v>
      </c>
      <c r="R1002" s="2">
        <v>2541.5095055491597</v>
      </c>
      <c r="S1002" s="2">
        <v>1019.974141710366</v>
      </c>
      <c r="T1002" s="2">
        <v>3.083893298707352</v>
      </c>
      <c r="U1002" s="2">
        <v>36.850963076286462</v>
      </c>
      <c r="V1002" s="2">
        <v>-11.535571186875131</v>
      </c>
    </row>
    <row r="1003" spans="1:22" ht="15">
      <c r="A1003" s="2">
        <v>1002</v>
      </c>
      <c r="B1003" s="2" t="s">
        <v>78</v>
      </c>
      <c r="C1003" s="2" t="s">
        <v>81</v>
      </c>
      <c r="D1003" s="2">
        <v>951.19219465414062</v>
      </c>
      <c r="E1003" s="2">
        <v>1133.9398104930297</v>
      </c>
      <c r="F1003" s="2">
        <v>514.00313386693597</v>
      </c>
      <c r="G1003" s="2">
        <v>211.76690670661628</v>
      </c>
      <c r="H1003" s="2">
        <v>18.507448483724147</v>
      </c>
      <c r="I1003" s="2">
        <v>0.80234821107704191</v>
      </c>
      <c r="J1003" s="2">
        <v>6</v>
      </c>
      <c r="K1003" s="2">
        <v>197.58507622214222</v>
      </c>
      <c r="L1003" s="2">
        <v>13415</v>
      </c>
      <c r="M1003" s="2">
        <v>1200</v>
      </c>
      <c r="N1003" s="2">
        <v>249.97951666196474</v>
      </c>
      <c r="O1003" s="2">
        <v>2504.0792082728817</v>
      </c>
      <c r="P1003" s="2">
        <v>951.19219465414062</v>
      </c>
      <c r="Q1003" s="2">
        <v>251.20505833621127</v>
      </c>
      <c r="R1003" s="2">
        <v>2568.0209618903559</v>
      </c>
      <c r="S1003" s="2">
        <v>946.84518863110486</v>
      </c>
      <c r="T1003" s="2">
        <v>1.2255416742465286</v>
      </c>
      <c r="U1003" s="2">
        <v>63.941753617474205</v>
      </c>
      <c r="V1003" s="2">
        <v>-4.3470060230357603</v>
      </c>
    </row>
    <row r="1004" spans="1:22" ht="15">
      <c r="A1004" s="2">
        <v>1003</v>
      </c>
      <c r="B1004" s="2" t="s">
        <v>78</v>
      </c>
      <c r="C1004" s="2" t="s">
        <v>81</v>
      </c>
      <c r="D1004" s="2">
        <v>1093.2033142773435</v>
      </c>
      <c r="E1004" s="2">
        <v>955.79999448964372</v>
      </c>
      <c r="F1004" s="2">
        <v>589.55203481018543</v>
      </c>
      <c r="G1004" s="2">
        <v>108.2310081529431</v>
      </c>
      <c r="H1004" s="2">
        <v>10.451923833228648</v>
      </c>
      <c r="I1004" s="2">
        <v>0.81453818282810975</v>
      </c>
      <c r="J1004" s="2">
        <v>7</v>
      </c>
      <c r="K1004" s="2">
        <v>191.73060923600326</v>
      </c>
      <c r="L1004" s="2">
        <v>12935</v>
      </c>
      <c r="M1004" s="2">
        <v>1200</v>
      </c>
      <c r="N1004" s="2">
        <v>250.03878009794855</v>
      </c>
      <c r="O1004" s="2">
        <v>2504.4258375776199</v>
      </c>
      <c r="P1004" s="2">
        <v>1093.2033142773435</v>
      </c>
      <c r="Q1004" s="2">
        <v>254.40402799522209</v>
      </c>
      <c r="R1004" s="2">
        <v>2484.9302021481226</v>
      </c>
      <c r="S1004" s="2">
        <v>1101.1726363024266</v>
      </c>
      <c r="T1004" s="2">
        <v>4.365247897273548</v>
      </c>
      <c r="U1004" s="2">
        <v>-19.49563542949727</v>
      </c>
      <c r="V1004" s="2">
        <v>7.9693220250831018</v>
      </c>
    </row>
    <row r="1005" spans="1:22" ht="15">
      <c r="A1005" s="2">
        <v>1004</v>
      </c>
      <c r="B1005" s="2" t="s">
        <v>78</v>
      </c>
      <c r="C1005" s="2" t="s">
        <v>81</v>
      </c>
      <c r="D1005" s="2">
        <v>1085.1878991699778</v>
      </c>
      <c r="E1005" s="2">
        <v>1134.1964469756931</v>
      </c>
      <c r="F1005" s="2">
        <v>592.67470641061664</v>
      </c>
      <c r="G1005" s="2">
        <v>211.32207549642771</v>
      </c>
      <c r="H1005" s="2">
        <v>24.432476240675896</v>
      </c>
      <c r="I1005" s="2">
        <v>0.7986163841560483</v>
      </c>
      <c r="J1005" s="2">
        <v>7</v>
      </c>
      <c r="K1005" s="2">
        <v>194.11928657386056</v>
      </c>
      <c r="L1005" s="2">
        <v>11035</v>
      </c>
      <c r="M1005" s="2">
        <v>1195</v>
      </c>
      <c r="N1005" s="2">
        <v>250.0259393338379</v>
      </c>
      <c r="O1005" s="2">
        <v>2495.6405995472055</v>
      </c>
      <c r="P1005" s="2">
        <v>1085.1878991699778</v>
      </c>
      <c r="Q1005" s="2">
        <v>251.24507247619624</v>
      </c>
      <c r="R1005" s="2">
        <v>2530.3904986968937</v>
      </c>
      <c r="S1005" s="2">
        <v>1074.4729057502204</v>
      </c>
      <c r="T1005" s="2">
        <v>1.2191331423583449</v>
      </c>
      <c r="U1005" s="2">
        <v>34.74989914968819</v>
      </c>
      <c r="V1005" s="2">
        <v>-10.71499341975732</v>
      </c>
    </row>
    <row r="1006" spans="1:22" ht="15">
      <c r="A1006" s="2">
        <v>1005</v>
      </c>
      <c r="B1006" s="2" t="s">
        <v>78</v>
      </c>
      <c r="C1006" s="2" t="s">
        <v>81</v>
      </c>
      <c r="D1006" s="2">
        <v>1000.0206758733839</v>
      </c>
      <c r="E1006" s="2">
        <v>820.64614099217579</v>
      </c>
      <c r="F1006" s="2">
        <v>578.47949769347906</v>
      </c>
      <c r="G1006" s="2">
        <v>286.45339210750535</v>
      </c>
      <c r="H1006" s="2">
        <v>20.45329699292779</v>
      </c>
      <c r="I1006" s="2">
        <v>0.82617933623725548</v>
      </c>
      <c r="J1006" s="2">
        <v>7</v>
      </c>
      <c r="K1006" s="2">
        <v>172.91656942665915</v>
      </c>
      <c r="L1006" s="2">
        <v>12685</v>
      </c>
      <c r="M1006" s="2">
        <v>1200</v>
      </c>
      <c r="N1006" s="2">
        <v>249.95103420591749</v>
      </c>
      <c r="O1006" s="2">
        <v>2504.612092654053</v>
      </c>
      <c r="P1006" s="2">
        <v>1000.0206758733839</v>
      </c>
      <c r="Q1006" s="2">
        <v>247.54641926176191</v>
      </c>
      <c r="R1006" s="2">
        <v>2533.9397274039443</v>
      </c>
      <c r="S1006" s="2">
        <v>995.22567815231196</v>
      </c>
      <c r="T1006" s="2">
        <v>-2.4046149441555826</v>
      </c>
      <c r="U1006" s="2">
        <v>29.327634749891331</v>
      </c>
      <c r="V1006" s="2">
        <v>-4.7949977210719226</v>
      </c>
    </row>
    <row r="1007" spans="1:22" ht="15">
      <c r="A1007" s="2">
        <v>1006</v>
      </c>
      <c r="B1007" s="2" t="s">
        <v>78</v>
      </c>
      <c r="C1007" s="2" t="s">
        <v>81</v>
      </c>
      <c r="D1007" s="2">
        <v>1099.187308375258</v>
      </c>
      <c r="E1007" s="2">
        <v>1206.1619297368452</v>
      </c>
      <c r="F1007" s="2">
        <v>497.40886436775327</v>
      </c>
      <c r="G1007" s="2">
        <v>226.49307727813721</v>
      </c>
      <c r="H1007" s="2">
        <v>25.465657840017229</v>
      </c>
      <c r="I1007" s="2">
        <v>0.85143979571294048</v>
      </c>
      <c r="J1007" s="2">
        <v>7</v>
      </c>
      <c r="K1007" s="2">
        <v>184.42496948106418</v>
      </c>
      <c r="L1007" s="2">
        <v>11080</v>
      </c>
      <c r="M1007" s="2">
        <v>1195</v>
      </c>
      <c r="N1007" s="2">
        <v>249.99259435186789</v>
      </c>
      <c r="O1007" s="2">
        <v>2495.5934741088927</v>
      </c>
      <c r="P1007" s="2">
        <v>1099.187308375258</v>
      </c>
      <c r="Q1007" s="2">
        <v>251.82239768435463</v>
      </c>
      <c r="R1007" s="2">
        <v>2545.7319269950012</v>
      </c>
      <c r="S1007" s="2">
        <v>1081.9536041188292</v>
      </c>
      <c r="T1007" s="2">
        <v>1.8298033324867333</v>
      </c>
      <c r="U1007" s="2">
        <v>50.138452886108553</v>
      </c>
      <c r="V1007" s="2">
        <v>-17.233704256428837</v>
      </c>
    </row>
    <row r="1008" spans="1:22" ht="15">
      <c r="A1008" s="2">
        <v>1007</v>
      </c>
      <c r="B1008" s="2" t="s">
        <v>78</v>
      </c>
      <c r="C1008" s="2" t="s">
        <v>81</v>
      </c>
      <c r="D1008" s="2">
        <v>1067.857681424357</v>
      </c>
      <c r="E1008" s="2">
        <v>784.52665294753388</v>
      </c>
      <c r="F1008" s="2">
        <v>553.34872379899025</v>
      </c>
      <c r="G1008" s="2">
        <v>285.56793961441144</v>
      </c>
      <c r="H1008" s="2">
        <v>10.965923084877431</v>
      </c>
      <c r="I1008" s="2">
        <v>0.83555202593794098</v>
      </c>
      <c r="J1008" s="2">
        <v>7</v>
      </c>
      <c r="K1008" s="2">
        <v>182.57522285951248</v>
      </c>
      <c r="L1008" s="2">
        <v>13175</v>
      </c>
      <c r="M1008" s="2">
        <v>1200</v>
      </c>
      <c r="N1008" s="2">
        <v>250.03608816383169</v>
      </c>
      <c r="O1008" s="2">
        <v>2504.2503882331998</v>
      </c>
      <c r="P1008" s="2">
        <v>1067.857681424357</v>
      </c>
      <c r="Q1008" s="2">
        <v>252.25687472579489</v>
      </c>
      <c r="R1008" s="2">
        <v>2493.4353033382622</v>
      </c>
      <c r="S1008" s="2">
        <v>1074.4241474054018</v>
      </c>
      <c r="T1008" s="2">
        <v>2.2207865619631946</v>
      </c>
      <c r="U1008" s="2">
        <v>-10.815084894937627</v>
      </c>
      <c r="V1008" s="2">
        <v>6.5664659810447574</v>
      </c>
    </row>
    <row r="1009" spans="1:22" ht="15">
      <c r="A1009" s="2">
        <v>1008</v>
      </c>
      <c r="B1009" s="2" t="s">
        <v>78</v>
      </c>
      <c r="C1009" s="2" t="s">
        <v>81</v>
      </c>
      <c r="D1009" s="2">
        <v>1053.2479654881172</v>
      </c>
      <c r="E1009" s="2">
        <v>1055.7119848206639</v>
      </c>
      <c r="F1009" s="2">
        <v>746.90941413864493</v>
      </c>
      <c r="G1009" s="2">
        <v>165.6226981850341</v>
      </c>
      <c r="H1009" s="2">
        <v>23.902782463934273</v>
      </c>
      <c r="I1009" s="2">
        <v>0.81600905871950091</v>
      </c>
      <c r="J1009" s="2">
        <v>7</v>
      </c>
      <c r="K1009" s="2">
        <v>184.39010383762451</v>
      </c>
      <c r="L1009" s="2">
        <v>10865</v>
      </c>
      <c r="M1009" s="2">
        <v>1195</v>
      </c>
      <c r="N1009" s="2">
        <v>249.99098009447965</v>
      </c>
      <c r="O1009" s="2">
        <v>2495.8148027777206</v>
      </c>
      <c r="P1009" s="2">
        <v>1053.2479654881172</v>
      </c>
      <c r="Q1009" s="2">
        <v>252.41821586705831</v>
      </c>
      <c r="R1009" s="2">
        <v>2521.6457674776598</v>
      </c>
      <c r="S1009" s="2">
        <v>1041.6051706873475</v>
      </c>
      <c r="T1009" s="2">
        <v>2.4272357725786549</v>
      </c>
      <c r="U1009" s="2">
        <v>25.830964699939159</v>
      </c>
      <c r="V1009" s="2">
        <v>-11.642794800769707</v>
      </c>
    </row>
    <row r="1010" spans="1:22" ht="15">
      <c r="A1010" s="2">
        <v>1009</v>
      </c>
      <c r="B1010" s="2" t="s">
        <v>78</v>
      </c>
      <c r="C1010" s="2" t="s">
        <v>81</v>
      </c>
      <c r="D1010" s="2">
        <v>1089.1690787859261</v>
      </c>
      <c r="E1010" s="2">
        <v>800.53080482175574</v>
      </c>
      <c r="F1010" s="2">
        <v>375.440070964396</v>
      </c>
      <c r="G1010" s="2">
        <v>160.3432502434589</v>
      </c>
      <c r="H1010" s="2">
        <v>21.871306823566556</v>
      </c>
      <c r="I1010" s="2">
        <v>0.82240361257689076</v>
      </c>
      <c r="J1010" s="2">
        <v>7</v>
      </c>
      <c r="K1010" s="2">
        <v>189.19613229344407</v>
      </c>
      <c r="L1010" s="2">
        <v>16005</v>
      </c>
      <c r="M1010" s="2">
        <v>1200</v>
      </c>
      <c r="N1010" s="2">
        <v>250.02270921157199</v>
      </c>
      <c r="O1010" s="2">
        <v>2502.5789517904436</v>
      </c>
      <c r="P1010" s="2">
        <v>1089.1690787859261</v>
      </c>
      <c r="Q1010" s="2">
        <v>247.48137861078698</v>
      </c>
      <c r="R1010" s="2">
        <v>2526.5108176371195</v>
      </c>
      <c r="S1010" s="2">
        <v>1086.9217975117476</v>
      </c>
      <c r="T1010" s="2">
        <v>-2.5413306007850167</v>
      </c>
      <c r="U1010" s="2">
        <v>23.931865846675919</v>
      </c>
      <c r="V1010" s="2">
        <v>-2.2472812741784765</v>
      </c>
    </row>
    <row r="1011" spans="1:22" ht="15">
      <c r="A1011" s="2">
        <v>1010</v>
      </c>
      <c r="B1011" s="2" t="s">
        <v>78</v>
      </c>
      <c r="C1011" s="2" t="s">
        <v>81</v>
      </c>
      <c r="D1011" s="2">
        <v>957.21649673068896</v>
      </c>
      <c r="E1011" s="2">
        <v>923.40033252257854</v>
      </c>
      <c r="F1011" s="2">
        <v>468.11466300860047</v>
      </c>
      <c r="G1011" s="2">
        <v>144.91973740048707</v>
      </c>
      <c r="H1011" s="2">
        <v>15.472391427028924</v>
      </c>
      <c r="I1011" s="2">
        <v>0.79487954320851717</v>
      </c>
      <c r="J1011" s="2">
        <v>7</v>
      </c>
      <c r="K1011" s="2">
        <v>172.03262429763913</v>
      </c>
      <c r="L1011" s="2">
        <v>13920</v>
      </c>
      <c r="M1011" s="2">
        <v>1200</v>
      </c>
      <c r="N1011" s="2">
        <v>250.01636610098942</v>
      </c>
      <c r="O1011" s="2">
        <v>2503.7438938673417</v>
      </c>
      <c r="P1011" s="2">
        <v>957.21649673068896</v>
      </c>
      <c r="Q1011" s="2">
        <v>250.74556158455215</v>
      </c>
      <c r="R1011" s="2">
        <v>2535.6000689944176</v>
      </c>
      <c r="S1011" s="2">
        <v>962.36338119441541</v>
      </c>
      <c r="T1011" s="2">
        <v>0.72919548356273367</v>
      </c>
      <c r="U1011" s="2">
        <v>31.856175127075858</v>
      </c>
      <c r="V1011" s="2">
        <v>5.146884463726451</v>
      </c>
    </row>
    <row r="1012" spans="1:22" ht="15">
      <c r="A1012" s="2">
        <v>1011</v>
      </c>
      <c r="B1012" s="2" t="s">
        <v>78</v>
      </c>
      <c r="C1012" s="2" t="s">
        <v>81</v>
      </c>
      <c r="D1012" s="2">
        <v>1077.4069374194369</v>
      </c>
      <c r="E1012" s="2">
        <v>1110.9792310395278</v>
      </c>
      <c r="F1012" s="2">
        <v>662.60938607156277</v>
      </c>
      <c r="G1012" s="2">
        <v>225.48622322035953</v>
      </c>
      <c r="H1012" s="2">
        <v>9.2956118704751134</v>
      </c>
      <c r="I1012" s="2">
        <v>0.82672517542494461</v>
      </c>
      <c r="J1012" s="2">
        <v>7</v>
      </c>
      <c r="K1012" s="2">
        <v>186.17465797517457</v>
      </c>
      <c r="L1012" s="2">
        <v>10700</v>
      </c>
      <c r="M1012" s="2">
        <v>1195</v>
      </c>
      <c r="N1012" s="2">
        <v>250.05053732633934</v>
      </c>
      <c r="O1012" s="2">
        <v>2495.9935269002854</v>
      </c>
      <c r="P1012" s="2">
        <v>1077.4069374194369</v>
      </c>
      <c r="Q1012" s="2">
        <v>253.86447885791742</v>
      </c>
      <c r="R1012" s="2">
        <v>2531.8892948637881</v>
      </c>
      <c r="S1012" s="2">
        <v>1075.1821056312795</v>
      </c>
      <c r="T1012" s="2">
        <v>3.8139415315780809</v>
      </c>
      <c r="U1012" s="2">
        <v>35.895767963502749</v>
      </c>
      <c r="V1012" s="2">
        <v>-2.2248317881574167</v>
      </c>
    </row>
    <row r="1013" spans="1:22" ht="15">
      <c r="A1013" s="2">
        <v>1012</v>
      </c>
      <c r="B1013" s="2" t="s">
        <v>78</v>
      </c>
      <c r="C1013" s="2" t="s">
        <v>81</v>
      </c>
      <c r="D1013" s="2">
        <v>1038.39132724097</v>
      </c>
      <c r="E1013" s="2">
        <v>640.67254313267767</v>
      </c>
      <c r="F1013" s="2">
        <v>668.95514009520411</v>
      </c>
      <c r="G1013" s="2">
        <v>141.87134922947735</v>
      </c>
      <c r="H1013" s="2">
        <v>27.060200631152838</v>
      </c>
      <c r="I1013" s="2">
        <v>0.81433793434873225</v>
      </c>
      <c r="J1013" s="2">
        <v>7</v>
      </c>
      <c r="K1013" s="2">
        <v>182.16223501354852</v>
      </c>
      <c r="L1013" s="2">
        <v>14735</v>
      </c>
      <c r="M1013" s="2">
        <v>1200</v>
      </c>
      <c r="N1013" s="2">
        <v>250.02437672094888</v>
      </c>
      <c r="O1013" s="2">
        <v>2503.2494661677406</v>
      </c>
      <c r="P1013" s="2">
        <v>1038.39132724097</v>
      </c>
      <c r="Q1013" s="2">
        <v>246.19185014866218</v>
      </c>
      <c r="R1013" s="2">
        <v>2437.2333857652106</v>
      </c>
      <c r="S1013" s="2">
        <v>1028.75925922744</v>
      </c>
      <c r="T1013" s="2">
        <v>-3.8325265722866959</v>
      </c>
      <c r="U1013" s="2">
        <v>-66.016080402529951</v>
      </c>
      <c r="V1013" s="2">
        <v>-9.6320680135299881</v>
      </c>
    </row>
    <row r="1014" spans="1:22" ht="15">
      <c r="A1014" s="2">
        <v>1013</v>
      </c>
      <c r="B1014" s="2" t="s">
        <v>78</v>
      </c>
      <c r="C1014" s="2" t="s">
        <v>81</v>
      </c>
      <c r="D1014" s="2">
        <v>998.47616520710289</v>
      </c>
      <c r="E1014" s="2">
        <v>705.30671178130433</v>
      </c>
      <c r="F1014" s="2">
        <v>539.45966642349958</v>
      </c>
      <c r="G1014" s="2">
        <v>108.55047798948362</v>
      </c>
      <c r="H1014" s="2">
        <v>11.818534582853317</v>
      </c>
      <c r="I1014" s="2">
        <v>0.82013187965611001</v>
      </c>
      <c r="J1014" s="2">
        <v>7</v>
      </c>
      <c r="K1014" s="2">
        <v>173.92257966152164</v>
      </c>
      <c r="L1014" s="2">
        <v>15800</v>
      </c>
      <c r="M1014" s="2">
        <v>1200</v>
      </c>
      <c r="N1014" s="2">
        <v>249.9605530395236</v>
      </c>
      <c r="O1014" s="2">
        <v>2502.6779280832784</v>
      </c>
      <c r="P1014" s="2">
        <v>998.47616520710289</v>
      </c>
      <c r="Q1014" s="2">
        <v>247.35722883833586</v>
      </c>
      <c r="R1014" s="2">
        <v>2499.2869898990748</v>
      </c>
      <c r="S1014" s="2">
        <v>1009.1855970358447</v>
      </c>
      <c r="T1014" s="2">
        <v>-2.6033242011877462</v>
      </c>
      <c r="U1014" s="2">
        <v>-3.3909381842036055</v>
      </c>
      <c r="V1014" s="2">
        <v>10.709431828741799</v>
      </c>
    </row>
    <row r="1015" spans="1:22" ht="15">
      <c r="A1015" s="2">
        <v>1014</v>
      </c>
      <c r="B1015" s="2" t="s">
        <v>78</v>
      </c>
      <c r="C1015" s="2" t="s">
        <v>81</v>
      </c>
      <c r="D1015" s="2">
        <v>1041.4569729124196</v>
      </c>
      <c r="E1015" s="2">
        <v>614.07137827482074</v>
      </c>
      <c r="F1015" s="2">
        <v>481.9182020612061</v>
      </c>
      <c r="G1015" s="2">
        <v>104.82069889083505</v>
      </c>
      <c r="H1015" s="2">
        <v>28.489766916725785</v>
      </c>
      <c r="I1015" s="2">
        <v>0.83604268578346819</v>
      </c>
      <c r="J1015" s="2">
        <v>7</v>
      </c>
      <c r="K1015" s="2">
        <v>177.9569035036692</v>
      </c>
      <c r="L1015" s="2">
        <v>17810</v>
      </c>
      <c r="M1015" s="2">
        <v>1200</v>
      </c>
      <c r="N1015" s="2">
        <v>250.00785628175947</v>
      </c>
      <c r="O1015" s="2">
        <v>2501.790156797435</v>
      </c>
      <c r="P1015" s="2">
        <v>1041.4569729124196</v>
      </c>
      <c r="Q1015" s="2">
        <v>249.3850003138925</v>
      </c>
      <c r="R1015" s="2">
        <v>2489.5358373818945</v>
      </c>
      <c r="S1015" s="2">
        <v>1036.2913969569634</v>
      </c>
      <c r="T1015" s="2">
        <v>-0.62285596786696829</v>
      </c>
      <c r="U1015" s="2">
        <v>-12.254319415540522</v>
      </c>
      <c r="V1015" s="2">
        <v>-5.1655759554562337</v>
      </c>
    </row>
    <row r="1016" spans="1:22" ht="15">
      <c r="A1016" s="2">
        <v>1015</v>
      </c>
      <c r="B1016" s="2" t="s">
        <v>79</v>
      </c>
      <c r="C1016" s="2" t="s">
        <v>81</v>
      </c>
      <c r="D1016" s="2">
        <v>1084.5867232652381</v>
      </c>
      <c r="E1016" s="2">
        <v>1037.4641543370672</v>
      </c>
      <c r="F1016" s="2">
        <v>673.04128557443619</v>
      </c>
      <c r="G1016" s="2">
        <v>323.93623595824465</v>
      </c>
      <c r="H1016" s="2">
        <v>9.9514343542978168</v>
      </c>
      <c r="I1016" s="2">
        <v>0.80419753674184902</v>
      </c>
      <c r="J1016" s="2">
        <v>7</v>
      </c>
      <c r="K1016" s="2">
        <v>192.66530098338183</v>
      </c>
      <c r="L1016" s="2">
        <v>10510</v>
      </c>
      <c r="M1016" s="2">
        <v>1195</v>
      </c>
      <c r="N1016" s="2">
        <v>249.95565210173757</v>
      </c>
      <c r="O1016" s="2">
        <v>2496.1985465007247</v>
      </c>
      <c r="P1016" s="2">
        <v>1084.5867232652381</v>
      </c>
      <c r="Q1016" s="2">
        <v>253.23468845913132</v>
      </c>
      <c r="R1016" s="2">
        <v>2542.7692679032407</v>
      </c>
      <c r="S1016" s="2">
        <v>1087.1807037090366</v>
      </c>
      <c r="T1016" s="2">
        <v>3.2790363573937498</v>
      </c>
      <c r="U1016" s="2">
        <v>46.570721402516028</v>
      </c>
      <c r="V1016" s="2">
        <v>2.5939804437985003</v>
      </c>
    </row>
    <row r="1017" spans="1:22" ht="15">
      <c r="A1017" s="2">
        <v>1016</v>
      </c>
      <c r="B1017" s="2" t="s">
        <v>79</v>
      </c>
      <c r="C1017" s="2" t="s">
        <v>81</v>
      </c>
      <c r="D1017" s="2">
        <v>1031.6798983956687</v>
      </c>
      <c r="E1017" s="2">
        <v>895.91140104457736</v>
      </c>
      <c r="F1017" s="2">
        <v>521.24178921803832</v>
      </c>
      <c r="G1017" s="2">
        <v>288.51584023330361</v>
      </c>
      <c r="H1017" s="2">
        <v>20.142357294913381</v>
      </c>
      <c r="I1017" s="2">
        <v>0.84240394440479582</v>
      </c>
      <c r="J1017" s="2">
        <v>7</v>
      </c>
      <c r="K1017" s="2">
        <v>174.95507185936395</v>
      </c>
      <c r="L1017" s="2">
        <v>12540</v>
      </c>
      <c r="M1017" s="2">
        <v>1200</v>
      </c>
      <c r="N1017" s="2">
        <v>250.03893692569264</v>
      </c>
      <c r="O1017" s="2">
        <v>2504.7290405603226</v>
      </c>
      <c r="P1017" s="2">
        <v>1031.6798983956687</v>
      </c>
      <c r="Q1017" s="2">
        <v>252.60912994531608</v>
      </c>
      <c r="R1017" s="2">
        <v>2513.4237813095147</v>
      </c>
      <c r="S1017" s="2">
        <v>1026.5733923835112</v>
      </c>
      <c r="T1017" s="2">
        <v>2.5701930196234457</v>
      </c>
      <c r="U1017" s="2">
        <v>8.6947407491920785</v>
      </c>
      <c r="V1017" s="2">
        <v>-5.1065060121575243</v>
      </c>
    </row>
    <row r="1018" spans="1:22" ht="15">
      <c r="A1018" s="2">
        <v>1017</v>
      </c>
      <c r="B1018" s="2" t="s">
        <v>79</v>
      </c>
      <c r="C1018" s="2" t="s">
        <v>81</v>
      </c>
      <c r="D1018" s="2">
        <v>1075.8333493024111</v>
      </c>
      <c r="E1018" s="2">
        <v>1211.6837641573511</v>
      </c>
      <c r="F1018" s="2">
        <v>639.83273673802614</v>
      </c>
      <c r="G1018" s="2">
        <v>286.5912825637497</v>
      </c>
      <c r="H1018" s="2">
        <v>22.399124843999743</v>
      </c>
      <c r="I1018" s="2">
        <v>0.81060053569497548</v>
      </c>
      <c r="J1018" s="2">
        <v>7</v>
      </c>
      <c r="K1018" s="2">
        <v>189.60076104564271</v>
      </c>
      <c r="L1018" s="2">
        <v>10000</v>
      </c>
      <c r="M1018" s="2">
        <v>1195</v>
      </c>
      <c r="N1018" s="2">
        <v>249.94546785938095</v>
      </c>
      <c r="O1018" s="2">
        <v>2496.7994932247839</v>
      </c>
      <c r="P1018" s="2">
        <v>1075.8333493024111</v>
      </c>
      <c r="Q1018" s="2">
        <v>253.98180453349966</v>
      </c>
      <c r="R1018" s="2">
        <v>2524.7115381988942</v>
      </c>
      <c r="S1018" s="2">
        <v>1067.3226120428778</v>
      </c>
      <c r="T1018" s="2">
        <v>4.0363366741187008</v>
      </c>
      <c r="U1018" s="2">
        <v>27.912044974110358</v>
      </c>
      <c r="V1018" s="2">
        <v>-8.5107372595332436</v>
      </c>
    </row>
    <row r="1019" spans="1:22" ht="15">
      <c r="A1019" s="2">
        <v>1018</v>
      </c>
      <c r="B1019" s="2" t="s">
        <v>80</v>
      </c>
      <c r="C1019" s="2" t="s">
        <v>81</v>
      </c>
      <c r="D1019" s="2">
        <v>976.40866587171331</v>
      </c>
      <c r="E1019" s="2">
        <v>1119.8713412741199</v>
      </c>
      <c r="F1019" s="2">
        <v>656.32522264495492</v>
      </c>
      <c r="G1019" s="2">
        <v>133.53142670355737</v>
      </c>
      <c r="H1019" s="2">
        <v>26.220464420039207</v>
      </c>
      <c r="I1019" s="2">
        <v>0.8400571946101264</v>
      </c>
      <c r="J1019" s="2">
        <v>6</v>
      </c>
      <c r="K1019" s="2">
        <v>193.71868807196083</v>
      </c>
      <c r="L1019" s="2">
        <v>13065</v>
      </c>
      <c r="M1019" s="2">
        <v>1200</v>
      </c>
      <c r="N1019" s="2">
        <v>250.00567214019264</v>
      </c>
      <c r="O1019" s="2">
        <v>2504.3287787820104</v>
      </c>
      <c r="P1019" s="2">
        <v>976.40866587171331</v>
      </c>
      <c r="Q1019" s="2">
        <v>251.31944626580221</v>
      </c>
      <c r="R1019" s="2">
        <v>2516.6457258673695</v>
      </c>
      <c r="S1019" s="2">
        <v>958.83889401483475</v>
      </c>
      <c r="T1019" s="2">
        <v>1.3137741256095694</v>
      </c>
      <c r="U1019" s="2">
        <v>12.316947085359061</v>
      </c>
      <c r="V1019" s="2">
        <v>-17.56977185687856</v>
      </c>
    </row>
    <row r="1020" spans="1:22" ht="15">
      <c r="A1020" s="2">
        <v>1019</v>
      </c>
      <c r="B1020" s="2" t="s">
        <v>80</v>
      </c>
      <c r="C1020" s="2" t="s">
        <v>81</v>
      </c>
      <c r="D1020" s="2">
        <v>1098.4566469443962</v>
      </c>
      <c r="E1020" s="2">
        <v>1187.88304036716</v>
      </c>
      <c r="F1020" s="2">
        <v>609.20697189867496</v>
      </c>
      <c r="G1020" s="2">
        <v>192.07926942734048</v>
      </c>
      <c r="H1020" s="2">
        <v>12.836527266539633</v>
      </c>
      <c r="I1020" s="2">
        <v>0.85917855727253489</v>
      </c>
      <c r="J1020" s="2">
        <v>7</v>
      </c>
      <c r="K1020" s="2">
        <v>182.64233529414926</v>
      </c>
      <c r="L1020" s="2">
        <v>10750</v>
      </c>
      <c r="M1020" s="2">
        <v>1195</v>
      </c>
      <c r="N1020" s="2">
        <v>249.97428680327783</v>
      </c>
      <c r="O1020" s="2">
        <v>2495.936104921665</v>
      </c>
      <c r="P1020" s="2">
        <v>1098.4566469443962</v>
      </c>
      <c r="Q1020" s="2">
        <v>251.40589584528325</v>
      </c>
      <c r="R1020" s="2">
        <v>2503.281662418382</v>
      </c>
      <c r="S1020" s="2">
        <v>1097.598393467061</v>
      </c>
      <c r="T1020" s="2">
        <v>1.4316090420054195</v>
      </c>
      <c r="U1020" s="2">
        <v>7.3455574967169923</v>
      </c>
      <c r="V1020" s="2">
        <v>-0.85825347733521085</v>
      </c>
    </row>
    <row r="1021" spans="1:22" ht="15">
      <c r="A1021" s="2">
        <v>1020</v>
      </c>
      <c r="B1021" s="2" t="s">
        <v>80</v>
      </c>
      <c r="C1021" s="2" t="s">
        <v>81</v>
      </c>
      <c r="D1021" s="2">
        <v>1099.208208580967</v>
      </c>
      <c r="E1021" s="2">
        <v>1158.1265303771943</v>
      </c>
      <c r="F1021" s="2">
        <v>729.33555794879794</v>
      </c>
      <c r="G1021" s="2">
        <v>88.763695019297302</v>
      </c>
      <c r="H1021" s="2">
        <v>25.465271036606282</v>
      </c>
      <c r="I1021" s="2">
        <v>0.83284541696310044</v>
      </c>
      <c r="J1021" s="2">
        <v>7</v>
      </c>
      <c r="K1021" s="2">
        <v>188.54608656620914</v>
      </c>
      <c r="L1021" s="2">
        <v>10820</v>
      </c>
      <c r="M1021" s="2">
        <v>1195</v>
      </c>
      <c r="N1021" s="2">
        <v>249.96520104444483</v>
      </c>
      <c r="O1021" s="2">
        <v>2495.8610721736341</v>
      </c>
      <c r="P1021" s="2">
        <v>1099.208208580967</v>
      </c>
      <c r="Q1021" s="2">
        <v>249.56654669442312</v>
      </c>
      <c r="R1021" s="2">
        <v>2536.6538679685746</v>
      </c>
      <c r="S1021" s="2">
        <v>1090.9751324691576</v>
      </c>
      <c r="T1021" s="2">
        <v>-0.39865435002170102</v>
      </c>
      <c r="U1021" s="2">
        <v>40.792795794940503</v>
      </c>
      <c r="V1021" s="2">
        <v>-8.233076111809396</v>
      </c>
    </row>
    <row r="1022" spans="1:22" ht="15">
      <c r="A1022" s="2">
        <v>1021</v>
      </c>
      <c r="B1022" s="2" t="s">
        <v>78</v>
      </c>
      <c r="C1022" s="2" t="s">
        <v>81</v>
      </c>
      <c r="D1022" s="2">
        <v>987.9093203227967</v>
      </c>
      <c r="E1022" s="2">
        <v>1019.5554961333983</v>
      </c>
      <c r="F1022" s="2">
        <v>421.16653975099325</v>
      </c>
      <c r="G1022" s="2">
        <v>191.87888198764995</v>
      </c>
      <c r="H1022" s="2">
        <v>8.4450587891042233</v>
      </c>
      <c r="I1022" s="2">
        <v>0.82396409262204551</v>
      </c>
      <c r="J1022" s="2">
        <v>6</v>
      </c>
      <c r="K1022" s="2">
        <v>199.82855425552975</v>
      </c>
      <c r="L1022" s="2">
        <v>15280</v>
      </c>
      <c r="M1022" s="2">
        <v>1200</v>
      </c>
      <c r="N1022" s="2">
        <v>249.96053538032692</v>
      </c>
      <c r="O1022" s="2">
        <v>2502.9460255398139</v>
      </c>
      <c r="P1022" s="2">
        <v>987.9093203227967</v>
      </c>
      <c r="Q1022" s="2">
        <v>254.4285573218919</v>
      </c>
      <c r="R1022" s="2">
        <v>2525.9611520198223</v>
      </c>
      <c r="S1022" s="2">
        <v>996.82926393521689</v>
      </c>
      <c r="T1022" s="2">
        <v>4.4680219415649844</v>
      </c>
      <c r="U1022" s="2">
        <v>23.015126480008348</v>
      </c>
      <c r="V1022" s="2">
        <v>8.9199436124201839</v>
      </c>
    </row>
    <row r="1023" spans="1:22" ht="15">
      <c r="A1023" s="2">
        <v>1022</v>
      </c>
      <c r="B1023" s="2" t="s">
        <v>78</v>
      </c>
      <c r="C1023" s="2" t="s">
        <v>81</v>
      </c>
      <c r="D1023" s="2">
        <v>969.8545474675484</v>
      </c>
      <c r="E1023" s="2">
        <v>1146.1456733522937</v>
      </c>
      <c r="F1023" s="2">
        <v>461.00363628938794</v>
      </c>
      <c r="G1023" s="2">
        <v>93.826114125549793</v>
      </c>
      <c r="H1023" s="2">
        <v>27.503600510302931</v>
      </c>
      <c r="I1023" s="2">
        <v>0.79583197805564854</v>
      </c>
      <c r="J1023" s="2">
        <v>7</v>
      </c>
      <c r="K1023" s="2">
        <v>174.09535361562595</v>
      </c>
      <c r="L1023" s="2">
        <v>12575</v>
      </c>
      <c r="M1023" s="2">
        <v>1200</v>
      </c>
      <c r="N1023" s="2">
        <v>250.04701624378717</v>
      </c>
      <c r="O1023" s="2">
        <v>2504.7017181368337</v>
      </c>
      <c r="P1023" s="2">
        <v>969.8545474675484</v>
      </c>
      <c r="Q1023" s="2">
        <v>248.65785677848137</v>
      </c>
      <c r="R1023" s="2">
        <v>2562.1901571847288</v>
      </c>
      <c r="S1023" s="2">
        <v>955.30777863839478</v>
      </c>
      <c r="T1023" s="2">
        <v>-1.389159465305795</v>
      </c>
      <c r="U1023" s="2">
        <v>57.488439047895099</v>
      </c>
      <c r="V1023" s="2">
        <v>-14.546768829153621</v>
      </c>
    </row>
    <row r="1024" spans="1:22" ht="15">
      <c r="A1024" s="2">
        <v>1023</v>
      </c>
      <c r="B1024" s="2" t="s">
        <v>78</v>
      </c>
      <c r="C1024" s="2" t="s">
        <v>81</v>
      </c>
      <c r="D1024" s="2">
        <v>1096.4431300992146</v>
      </c>
      <c r="E1024" s="2">
        <v>758.33389490144327</v>
      </c>
      <c r="F1024" s="2">
        <v>706.8338505923748</v>
      </c>
      <c r="G1024" s="2">
        <v>179.7402886277996</v>
      </c>
      <c r="H1024" s="2">
        <v>9.1391759580001235</v>
      </c>
      <c r="I1024" s="2">
        <v>0.82835677223047244</v>
      </c>
      <c r="J1024" s="2">
        <v>7</v>
      </c>
      <c r="K1024" s="2">
        <v>189.09090638512475</v>
      </c>
      <c r="L1024" s="2">
        <v>13000</v>
      </c>
      <c r="M1024" s="2">
        <v>1200</v>
      </c>
      <c r="N1024" s="2">
        <v>249.97688359405362</v>
      </c>
      <c r="O1024" s="2">
        <v>2504.375338648229</v>
      </c>
      <c r="P1024" s="2">
        <v>1096.4431300992146</v>
      </c>
      <c r="Q1024" s="2">
        <v>249.81763872296099</v>
      </c>
      <c r="R1024" s="2">
        <v>2459.7236821278188</v>
      </c>
      <c r="S1024" s="2">
        <v>1104.046868613686</v>
      </c>
      <c r="T1024" s="2">
        <v>-0.15924487109262486</v>
      </c>
      <c r="U1024" s="2">
        <v>-44.651656520410143</v>
      </c>
      <c r="V1024" s="2">
        <v>7.603738514471388</v>
      </c>
    </row>
    <row r="1025" spans="1:22" ht="15">
      <c r="A1025" s="2">
        <v>1024</v>
      </c>
      <c r="B1025" s="2" t="s">
        <v>78</v>
      </c>
      <c r="C1025" s="2" t="s">
        <v>81</v>
      </c>
      <c r="D1025" s="2">
        <v>971.29712867317721</v>
      </c>
      <c r="E1025" s="2">
        <v>1200.2313036471605</v>
      </c>
      <c r="F1025" s="2">
        <v>420.24459829553962</v>
      </c>
      <c r="G1025" s="2">
        <v>320.25317013729364</v>
      </c>
      <c r="H1025" s="2">
        <v>27.099499927368015</v>
      </c>
      <c r="I1025" s="2">
        <v>0.84189576524309817</v>
      </c>
      <c r="J1025" s="2">
        <v>6</v>
      </c>
      <c r="K1025" s="2">
        <v>192.28372615951935</v>
      </c>
      <c r="L1025" s="2">
        <v>12855</v>
      </c>
      <c r="M1025" s="2">
        <v>1200</v>
      </c>
      <c r="N1025" s="2">
        <v>249.9804170989654</v>
      </c>
      <c r="O1025" s="2">
        <v>2504.4834617780502</v>
      </c>
      <c r="P1025" s="2">
        <v>971.29712867317721</v>
      </c>
      <c r="Q1025" s="2">
        <v>252.81096315531826</v>
      </c>
      <c r="R1025" s="2">
        <v>2535.328447384943</v>
      </c>
      <c r="S1025" s="2">
        <v>955.873300436254</v>
      </c>
      <c r="T1025" s="2">
        <v>2.8305460563528584</v>
      </c>
      <c r="U1025" s="2">
        <v>30.844985606892806</v>
      </c>
      <c r="V1025" s="2">
        <v>-15.423828236923214</v>
      </c>
    </row>
    <row r="1026" spans="1:22" ht="15">
      <c r="A1026" s="2">
        <v>1025</v>
      </c>
      <c r="B1026" s="2" t="s">
        <v>78</v>
      </c>
      <c r="C1026" s="2" t="s">
        <v>81</v>
      </c>
      <c r="D1026" s="2">
        <v>1060.8208189718425</v>
      </c>
      <c r="E1026" s="2">
        <v>856.14030914148316</v>
      </c>
      <c r="F1026" s="2">
        <v>474.01102129369974</v>
      </c>
      <c r="G1026" s="2">
        <v>292.27880293736234</v>
      </c>
      <c r="H1026" s="2">
        <v>24.145914951339364</v>
      </c>
      <c r="I1026" s="2">
        <v>0.84815687041031196</v>
      </c>
      <c r="J1026" s="2">
        <v>7</v>
      </c>
      <c r="K1026" s="2">
        <v>178.67665353978518</v>
      </c>
      <c r="L1026" s="2">
        <v>13180</v>
      </c>
      <c r="M1026" s="2">
        <v>1200</v>
      </c>
      <c r="N1026" s="2">
        <v>249.97517118674858</v>
      </c>
      <c r="O1026" s="2">
        <v>2504.2444902923885</v>
      </c>
      <c r="P1026" s="2">
        <v>1060.8208189718425</v>
      </c>
      <c r="Q1026" s="2">
        <v>247.7591389532258</v>
      </c>
      <c r="R1026" s="2">
        <v>2478.8198766052292</v>
      </c>
      <c r="S1026" s="2">
        <v>1054.2712832945333</v>
      </c>
      <c r="T1026" s="2">
        <v>-2.2160322335227818</v>
      </c>
      <c r="U1026" s="2">
        <v>-25.424613687159308</v>
      </c>
      <c r="V1026" s="2">
        <v>-6.5495356773092226</v>
      </c>
    </row>
    <row r="1027" spans="1:22" ht="15">
      <c r="A1027" s="2">
        <v>1026</v>
      </c>
      <c r="B1027" s="2" t="s">
        <v>78</v>
      </c>
      <c r="C1027" s="2" t="s">
        <v>81</v>
      </c>
      <c r="D1027" s="2">
        <v>955.93619399005547</v>
      </c>
      <c r="E1027" s="2">
        <v>724.41646971274167</v>
      </c>
      <c r="F1027" s="2">
        <v>705.50325149670243</v>
      </c>
      <c r="G1027" s="2">
        <v>170.07796109654009</v>
      </c>
      <c r="H1027" s="2">
        <v>14.794586621690542</v>
      </c>
      <c r="I1027" s="2">
        <v>0.80428625179920354</v>
      </c>
      <c r="J1027" s="2">
        <v>6</v>
      </c>
      <c r="K1027" s="2">
        <v>198.09203333009197</v>
      </c>
      <c r="L1027" s="2">
        <v>15595</v>
      </c>
      <c r="M1027" s="2">
        <v>1200</v>
      </c>
      <c r="N1027" s="2">
        <v>250.01900789235526</v>
      </c>
      <c r="O1027" s="2">
        <v>2502.7833484356338</v>
      </c>
      <c r="P1027" s="2">
        <v>955.93619399005547</v>
      </c>
      <c r="Q1027" s="2">
        <v>253.94023890417265</v>
      </c>
      <c r="R1027" s="2">
        <v>2450.117195594632</v>
      </c>
      <c r="S1027" s="2">
        <v>963.22203500359353</v>
      </c>
      <c r="T1027" s="2">
        <v>3.9212310118173832</v>
      </c>
      <c r="U1027" s="2">
        <v>-52.666152841001804</v>
      </c>
      <c r="V1027" s="2">
        <v>7.2858410135380609</v>
      </c>
    </row>
    <row r="1028" spans="1:22" ht="15">
      <c r="A1028" s="2">
        <v>1027</v>
      </c>
      <c r="B1028" s="2" t="s">
        <v>78</v>
      </c>
      <c r="C1028" s="2" t="s">
        <v>81</v>
      </c>
      <c r="D1028" s="2">
        <v>992.81780158635229</v>
      </c>
      <c r="E1028" s="2">
        <v>758.58144887024537</v>
      </c>
      <c r="F1028" s="2">
        <v>682.07687847316265</v>
      </c>
      <c r="G1028" s="2">
        <v>305.35483137471601</v>
      </c>
      <c r="H1028" s="2">
        <v>13.254567329771817</v>
      </c>
      <c r="I1028" s="2">
        <v>0.85961208493215968</v>
      </c>
      <c r="J1028" s="2">
        <v>6</v>
      </c>
      <c r="K1028" s="2">
        <v>192.49337753410504</v>
      </c>
      <c r="L1028" s="2">
        <v>14290</v>
      </c>
      <c r="M1028" s="2">
        <v>1200</v>
      </c>
      <c r="N1028" s="2">
        <v>250.00461364850301</v>
      </c>
      <c r="O1028" s="2">
        <v>2503.5119072567395</v>
      </c>
      <c r="P1028" s="2">
        <v>992.81780158635229</v>
      </c>
      <c r="Q1028" s="2">
        <v>249.1788916144001</v>
      </c>
      <c r="R1028" s="2">
        <v>2508.8727507301037</v>
      </c>
      <c r="S1028" s="2">
        <v>997.00886942664238</v>
      </c>
      <c r="T1028" s="2">
        <v>-0.82572203410290967</v>
      </c>
      <c r="U1028" s="2">
        <v>5.3608434733641843</v>
      </c>
      <c r="V1028" s="2">
        <v>4.1910678402900885</v>
      </c>
    </row>
    <row r="1029" spans="1:22" ht="15">
      <c r="A1029" s="2">
        <v>1028</v>
      </c>
      <c r="B1029" s="2" t="s">
        <v>78</v>
      </c>
      <c r="C1029" s="2" t="s">
        <v>81</v>
      </c>
      <c r="D1029" s="2">
        <v>1027.5372057571076</v>
      </c>
      <c r="E1029" s="2">
        <v>1045.5665301997215</v>
      </c>
      <c r="F1029" s="2">
        <v>523.61530689522624</v>
      </c>
      <c r="G1029" s="2">
        <v>275.7106034969911</v>
      </c>
      <c r="H1029" s="2">
        <v>8.1146483640186489</v>
      </c>
      <c r="I1029" s="2">
        <v>0.82901422491297128</v>
      </c>
      <c r="J1029" s="2">
        <v>7</v>
      </c>
      <c r="K1029" s="2">
        <v>177.06696095508181</v>
      </c>
      <c r="L1029" s="2">
        <v>11590</v>
      </c>
      <c r="M1029" s="2">
        <v>1195</v>
      </c>
      <c r="N1029" s="2">
        <v>249.95933538004971</v>
      </c>
      <c r="O1029" s="2">
        <v>2495.0997400090273</v>
      </c>
      <c r="P1029" s="2">
        <v>1027.5372057571076</v>
      </c>
      <c r="Q1029" s="2">
        <v>253.92268628394226</v>
      </c>
      <c r="R1029" s="2">
        <v>2503.7953406796787</v>
      </c>
      <c r="S1029" s="2">
        <v>1030.0707422682012</v>
      </c>
      <c r="T1029" s="2">
        <v>3.9633509038925467</v>
      </c>
      <c r="U1029" s="2">
        <v>8.6956006706514017</v>
      </c>
      <c r="V1029" s="2">
        <v>2.5335365110936436</v>
      </c>
    </row>
    <row r="1030" spans="1:22" ht="15">
      <c r="A1030" s="2">
        <v>1029</v>
      </c>
      <c r="B1030" s="2" t="s">
        <v>78</v>
      </c>
      <c r="C1030" s="2" t="s">
        <v>81</v>
      </c>
      <c r="D1030" s="2">
        <v>1015.2858356479555</v>
      </c>
      <c r="E1030" s="2">
        <v>777.6324728387408</v>
      </c>
      <c r="F1030" s="2">
        <v>685.56682299822569</v>
      </c>
      <c r="G1030" s="2">
        <v>242.79894422041252</v>
      </c>
      <c r="H1030" s="2">
        <v>27.504801832139492</v>
      </c>
      <c r="I1030" s="2">
        <v>0.85829180078813816</v>
      </c>
      <c r="J1030" s="2">
        <v>6</v>
      </c>
      <c r="K1030" s="2">
        <v>197.15242040753807</v>
      </c>
      <c r="L1030" s="2">
        <v>14625</v>
      </c>
      <c r="M1030" s="2">
        <v>1200</v>
      </c>
      <c r="N1030" s="2">
        <v>250.00190140926301</v>
      </c>
      <c r="O1030" s="2">
        <v>2503.31224881859</v>
      </c>
      <c r="P1030" s="2">
        <v>1015.2858356479555</v>
      </c>
      <c r="Q1030" s="2">
        <v>246.61942249974584</v>
      </c>
      <c r="R1030" s="2">
        <v>2517.697210790629</v>
      </c>
      <c r="S1030" s="2">
        <v>1004.9598443910745</v>
      </c>
      <c r="T1030" s="2">
        <v>-3.3824789095171752</v>
      </c>
      <c r="U1030" s="2">
        <v>14.384961972039036</v>
      </c>
      <c r="V1030" s="2">
        <v>-10.325991256881025</v>
      </c>
    </row>
    <row r="1031" spans="1:22" ht="15">
      <c r="A1031" s="2">
        <v>1030</v>
      </c>
      <c r="B1031" s="2" t="s">
        <v>78</v>
      </c>
      <c r="C1031" s="2" t="s">
        <v>81</v>
      </c>
      <c r="D1031" s="2">
        <v>1046.188332058955</v>
      </c>
      <c r="E1031" s="2">
        <v>681.59938787575811</v>
      </c>
      <c r="F1031" s="2">
        <v>580.49112530425191</v>
      </c>
      <c r="G1031" s="2">
        <v>289.23390565440059</v>
      </c>
      <c r="H1031" s="2">
        <v>19.072721822652966</v>
      </c>
      <c r="I1031" s="2">
        <v>0.85199883082415917</v>
      </c>
      <c r="J1031" s="2">
        <v>7</v>
      </c>
      <c r="K1031" s="2">
        <v>175.41746608249477</v>
      </c>
      <c r="L1031" s="2">
        <v>13785</v>
      </c>
      <c r="M1031" s="2">
        <v>1200</v>
      </c>
      <c r="N1031" s="2">
        <v>249.99114576289034</v>
      </c>
      <c r="O1031" s="2">
        <v>2503.8305697069186</v>
      </c>
      <c r="P1031" s="2">
        <v>1046.188332058955</v>
      </c>
      <c r="Q1031" s="2">
        <v>246.70603976775823</v>
      </c>
      <c r="R1031" s="2">
        <v>2479.9561783222207</v>
      </c>
      <c r="S1031" s="2">
        <v>1054.554691665167</v>
      </c>
      <c r="T1031" s="2">
        <v>-3.2851059951321133</v>
      </c>
      <c r="U1031" s="2">
        <v>-23.874391384697901</v>
      </c>
      <c r="V1031" s="2">
        <v>8.3663596062119723</v>
      </c>
    </row>
    <row r="1032" spans="1:22" ht="15">
      <c r="A1032" s="2">
        <v>1031</v>
      </c>
      <c r="B1032" s="2" t="s">
        <v>78</v>
      </c>
      <c r="C1032" s="2" t="s">
        <v>81</v>
      </c>
      <c r="D1032" s="2">
        <v>1096.5801879065111</v>
      </c>
      <c r="E1032" s="2">
        <v>698.30288590164855</v>
      </c>
      <c r="F1032" s="2">
        <v>358.98438394069672</v>
      </c>
      <c r="G1032" s="2">
        <v>96.316298337187618</v>
      </c>
      <c r="H1032" s="2">
        <v>25.204589637927711</v>
      </c>
      <c r="I1032" s="2">
        <v>0.81787453144555911</v>
      </c>
      <c r="J1032" s="2">
        <v>7</v>
      </c>
      <c r="K1032" s="2">
        <v>191.53831857460221</v>
      </c>
      <c r="L1032" s="2">
        <v>18540</v>
      </c>
      <c r="M1032" s="2">
        <v>1200</v>
      </c>
      <c r="N1032" s="2">
        <v>250.02390611412849</v>
      </c>
      <c r="O1032" s="2">
        <v>2501.5153570910866</v>
      </c>
      <c r="P1032" s="2">
        <v>1096.5801879065111</v>
      </c>
      <c r="Q1032" s="2">
        <v>247.94494064468401</v>
      </c>
      <c r="R1032" s="2">
        <v>2476.2921150454572</v>
      </c>
      <c r="S1032" s="2">
        <v>1094.9175680489379</v>
      </c>
      <c r="T1032" s="2">
        <v>-2.0789654694444835</v>
      </c>
      <c r="U1032" s="2">
        <v>-25.223242045629377</v>
      </c>
      <c r="V1032" s="2">
        <v>-1.6626198575731905</v>
      </c>
    </row>
    <row r="1033" spans="1:22" ht="15">
      <c r="A1033" s="2">
        <v>1032</v>
      </c>
      <c r="B1033" s="2" t="s">
        <v>78</v>
      </c>
      <c r="C1033" s="2" t="s">
        <v>81</v>
      </c>
      <c r="D1033" s="2">
        <v>1061.2753574620001</v>
      </c>
      <c r="E1033" s="2">
        <v>815.7550704665482</v>
      </c>
      <c r="F1033" s="2">
        <v>542.06923907622695</v>
      </c>
      <c r="G1033" s="2">
        <v>170.37534112576395</v>
      </c>
      <c r="H1033" s="2">
        <v>14.485983279999346</v>
      </c>
      <c r="I1033" s="2">
        <v>0.80435838826932016</v>
      </c>
      <c r="J1033" s="2">
        <v>7</v>
      </c>
      <c r="K1033" s="2">
        <v>188.48658454090872</v>
      </c>
      <c r="L1033" s="2">
        <v>13995</v>
      </c>
      <c r="M1033" s="2">
        <v>1200</v>
      </c>
      <c r="N1033" s="2">
        <v>250.01614023510803</v>
      </c>
      <c r="O1033" s="2">
        <v>2503.6959558064714</v>
      </c>
      <c r="P1033" s="2">
        <v>1061.2753574620001</v>
      </c>
      <c r="Q1033" s="2">
        <v>249.57571835722706</v>
      </c>
      <c r="R1033" s="2">
        <v>2529.042533912288</v>
      </c>
      <c r="S1033" s="2">
        <v>1068.5479180603791</v>
      </c>
      <c r="T1033" s="2">
        <v>-0.44042187788096498</v>
      </c>
      <c r="U1033" s="2">
        <v>25.346578105816661</v>
      </c>
      <c r="V1033" s="2">
        <v>7.2725605983789592</v>
      </c>
    </row>
    <row r="1034" spans="1:22" ht="15">
      <c r="A1034" s="2">
        <v>1033</v>
      </c>
      <c r="B1034" s="2" t="s">
        <v>78</v>
      </c>
      <c r="C1034" s="2" t="s">
        <v>81</v>
      </c>
      <c r="D1034" s="2">
        <v>1057.9779805615544</v>
      </c>
      <c r="E1034" s="2">
        <v>1178.5191417089663</v>
      </c>
      <c r="F1034" s="2">
        <v>551.72141510993242</v>
      </c>
      <c r="G1034" s="2">
        <v>100.57065587723628</v>
      </c>
      <c r="H1034" s="2">
        <v>23.839212393388152</v>
      </c>
      <c r="I1034" s="2">
        <v>0.83519009032519542</v>
      </c>
      <c r="J1034" s="2">
        <v>7</v>
      </c>
      <c r="K1034" s="2">
        <v>180.96444541139692</v>
      </c>
      <c r="L1034" s="2">
        <v>11680</v>
      </c>
      <c r="M1034" s="2">
        <v>1195</v>
      </c>
      <c r="N1034" s="2">
        <v>249.97810699566296</v>
      </c>
      <c r="O1034" s="2">
        <v>2495.0181119053827</v>
      </c>
      <c r="P1034" s="2">
        <v>1057.9779805615544</v>
      </c>
      <c r="Q1034" s="2">
        <v>248.07532333690588</v>
      </c>
      <c r="R1034" s="2">
        <v>2563.2193257846948</v>
      </c>
      <c r="S1034" s="2">
        <v>1045.9022946446182</v>
      </c>
      <c r="T1034" s="2">
        <v>-1.9027836587570732</v>
      </c>
      <c r="U1034" s="2">
        <v>68.201213879312036</v>
      </c>
      <c r="V1034" s="2">
        <v>-12.075685916936209</v>
      </c>
    </row>
    <row r="1035" spans="1:22" ht="15">
      <c r="A1035" s="2">
        <v>1034</v>
      </c>
      <c r="B1035" s="2" t="s">
        <v>78</v>
      </c>
      <c r="C1035" s="2" t="s">
        <v>81</v>
      </c>
      <c r="D1035" s="2">
        <v>965.87611889699474</v>
      </c>
      <c r="E1035" s="2">
        <v>1172.9412697488442</v>
      </c>
      <c r="F1035" s="2">
        <v>608.75253984704614</v>
      </c>
      <c r="G1035" s="2">
        <v>183.63505850546062</v>
      </c>
      <c r="H1035" s="2">
        <v>26.020269964355975</v>
      </c>
      <c r="I1035" s="2">
        <v>0.85699609328527004</v>
      </c>
      <c r="J1035" s="2">
        <v>6</v>
      </c>
      <c r="K1035" s="2">
        <v>187.84140839241093</v>
      </c>
      <c r="L1035" s="2">
        <v>12695</v>
      </c>
      <c r="M1035" s="2">
        <v>1200</v>
      </c>
      <c r="N1035" s="2">
        <v>249.99820991044805</v>
      </c>
      <c r="O1035" s="2">
        <v>2504.6062049202783</v>
      </c>
      <c r="P1035" s="2">
        <v>965.87611889699474</v>
      </c>
      <c r="Q1035" s="2">
        <v>250.7408226373156</v>
      </c>
      <c r="R1035" s="2">
        <v>2559.9866408627163</v>
      </c>
      <c r="S1035" s="2">
        <v>946.95031434801058</v>
      </c>
      <c r="T1035" s="2">
        <v>0.74261272686754864</v>
      </c>
      <c r="U1035" s="2">
        <v>55.380435942437998</v>
      </c>
      <c r="V1035" s="2">
        <v>-18.925804548984161</v>
      </c>
    </row>
    <row r="1036" spans="1:22" ht="15">
      <c r="A1036" s="2">
        <v>1035</v>
      </c>
      <c r="B1036" s="2" t="s">
        <v>79</v>
      </c>
      <c r="C1036" s="2" t="s">
        <v>81</v>
      </c>
      <c r="D1036" s="2">
        <v>989.2134505091235</v>
      </c>
      <c r="E1036" s="2">
        <v>834.51521048555151</v>
      </c>
      <c r="F1036" s="2">
        <v>586.41701228916645</v>
      </c>
      <c r="G1036" s="2">
        <v>156.12988370237872</v>
      </c>
      <c r="H1036" s="2">
        <v>21.524429173208773</v>
      </c>
      <c r="I1036" s="2">
        <v>0.8334732796135359</v>
      </c>
      <c r="J1036" s="2">
        <v>6</v>
      </c>
      <c r="K1036" s="2">
        <v>197.80947086226149</v>
      </c>
      <c r="L1036" s="2">
        <v>15820</v>
      </c>
      <c r="M1036" s="2">
        <v>1200</v>
      </c>
      <c r="N1036" s="2">
        <v>249.99068106435439</v>
      </c>
      <c r="O1036" s="2">
        <v>2502.6689090864775</v>
      </c>
      <c r="P1036" s="2">
        <v>989.2134505091235</v>
      </c>
      <c r="Q1036" s="2">
        <v>247.70000325325142</v>
      </c>
      <c r="R1036" s="2">
        <v>2455.5559496903079</v>
      </c>
      <c r="S1036" s="2">
        <v>989.56600947742004</v>
      </c>
      <c r="T1036" s="2">
        <v>-2.2906778111029666</v>
      </c>
      <c r="U1036" s="2">
        <v>-47.112959396169572</v>
      </c>
      <c r="V1036" s="2">
        <v>0.35255896829653466</v>
      </c>
    </row>
    <row r="1037" spans="1:22" ht="15">
      <c r="A1037" s="2">
        <v>1036</v>
      </c>
      <c r="B1037" s="2" t="s">
        <v>79</v>
      </c>
      <c r="C1037" s="2" t="s">
        <v>81</v>
      </c>
      <c r="D1037" s="2">
        <v>1044.6386756724678</v>
      </c>
      <c r="E1037" s="2">
        <v>1150.4802783485502</v>
      </c>
      <c r="F1037" s="2">
        <v>496.93064792081714</v>
      </c>
      <c r="G1037" s="2">
        <v>224.47349205147475</v>
      </c>
      <c r="H1037" s="2">
        <v>12.256909731309861</v>
      </c>
      <c r="I1037" s="2">
        <v>0.85956728529185056</v>
      </c>
      <c r="J1037" s="2">
        <v>7</v>
      </c>
      <c r="K1037" s="2">
        <v>173.61537494294996</v>
      </c>
      <c r="L1037" s="2">
        <v>11425</v>
      </c>
      <c r="M1037" s="2">
        <v>1195</v>
      </c>
      <c r="N1037" s="2">
        <v>250.00592704171095</v>
      </c>
      <c r="O1037" s="2">
        <v>2495.2562110193626</v>
      </c>
      <c r="P1037" s="2">
        <v>1044.6386756724678</v>
      </c>
      <c r="Q1037" s="2">
        <v>254.21143458779184</v>
      </c>
      <c r="R1037" s="2">
        <v>2486.3814319592225</v>
      </c>
      <c r="S1037" s="2">
        <v>1038.5596955072258</v>
      </c>
      <c r="T1037" s="2">
        <v>4.2055075460808951</v>
      </c>
      <c r="U1037" s="2">
        <v>-8.8747790601400993</v>
      </c>
      <c r="V1037" s="2">
        <v>-6.078980165242001</v>
      </c>
    </row>
    <row r="1038" spans="1:22" ht="15">
      <c r="A1038" s="2">
        <v>1037</v>
      </c>
      <c r="B1038" s="2" t="s">
        <v>79</v>
      </c>
      <c r="C1038" s="2" t="s">
        <v>81</v>
      </c>
      <c r="D1038" s="2">
        <v>1028.3007757272571</v>
      </c>
      <c r="E1038" s="2">
        <v>1181.2196372891776</v>
      </c>
      <c r="F1038" s="2">
        <v>731.66335429996252</v>
      </c>
      <c r="G1038" s="2">
        <v>260.77708390774205</v>
      </c>
      <c r="H1038" s="2">
        <v>11.045550424605608</v>
      </c>
      <c r="I1038" s="2">
        <v>0.80913549289340159</v>
      </c>
      <c r="J1038" s="2">
        <v>7</v>
      </c>
      <c r="K1038" s="2">
        <v>181.55193055847414</v>
      </c>
      <c r="L1038" s="2">
        <v>9840</v>
      </c>
      <c r="M1038" s="2">
        <v>1195</v>
      </c>
      <c r="N1038" s="2">
        <v>250.03558377024663</v>
      </c>
      <c r="O1038" s="2">
        <v>2497.0055879063511</v>
      </c>
      <c r="P1038" s="2">
        <v>1028.3007757272571</v>
      </c>
      <c r="Q1038" s="2">
        <v>255.57400490599215</v>
      </c>
      <c r="R1038" s="2">
        <v>2558.4873986994235</v>
      </c>
      <c r="S1038" s="2">
        <v>1023.3012871134563</v>
      </c>
      <c r="T1038" s="2">
        <v>5.5384211357455229</v>
      </c>
      <c r="U1038" s="2">
        <v>61.481810793072327</v>
      </c>
      <c r="V1038" s="2">
        <v>-4.9994886138008496</v>
      </c>
    </row>
    <row r="1039" spans="1:22" ht="15">
      <c r="A1039" s="2">
        <v>1038</v>
      </c>
      <c r="B1039" s="2" t="s">
        <v>80</v>
      </c>
      <c r="C1039" s="2" t="s">
        <v>81</v>
      </c>
      <c r="D1039" s="2">
        <v>990.47890697838739</v>
      </c>
      <c r="E1039" s="2">
        <v>1198.2097168220207</v>
      </c>
      <c r="F1039" s="2">
        <v>462.20760392025113</v>
      </c>
      <c r="G1039" s="2">
        <v>115.21409071981907</v>
      </c>
      <c r="H1039" s="2">
        <v>11.816771204117686</v>
      </c>
      <c r="I1039" s="2">
        <v>0.79089736625086515</v>
      </c>
      <c r="J1039" s="2">
        <v>7</v>
      </c>
      <c r="K1039" s="2">
        <v>178.90688823752728</v>
      </c>
      <c r="L1039" s="2">
        <v>12045</v>
      </c>
      <c r="M1039" s="2">
        <v>1200</v>
      </c>
      <c r="N1039" s="2">
        <v>250.01993786744862</v>
      </c>
      <c r="O1039" s="2">
        <v>2505.1363055724028</v>
      </c>
      <c r="P1039" s="2">
        <v>990.47890697838739</v>
      </c>
      <c r="Q1039" s="2">
        <v>253.20051811754865</v>
      </c>
      <c r="R1039" s="2">
        <v>2496.1244340828225</v>
      </c>
      <c r="S1039" s="2">
        <v>990.25878103264074</v>
      </c>
      <c r="T1039" s="2">
        <v>3.1805802501000358</v>
      </c>
      <c r="U1039" s="2">
        <v>-9.0118714895802441</v>
      </c>
      <c r="V1039" s="2">
        <v>-0.2201259457466449</v>
      </c>
    </row>
    <row r="1040" spans="1:22" ht="15">
      <c r="A1040" s="2">
        <v>1039</v>
      </c>
      <c r="B1040" s="2" t="s">
        <v>80</v>
      </c>
      <c r="C1040" s="2" t="s">
        <v>81</v>
      </c>
      <c r="D1040" s="2">
        <v>1090.2819199720398</v>
      </c>
      <c r="E1040" s="2">
        <v>809.09050676273182</v>
      </c>
      <c r="F1040" s="2">
        <v>675.66979601979256</v>
      </c>
      <c r="G1040" s="2">
        <v>87.279396464582533</v>
      </c>
      <c r="H1040" s="2">
        <v>12.084713815711439</v>
      </c>
      <c r="I1040" s="2">
        <v>0.83281961245229474</v>
      </c>
      <c r="J1040" s="2">
        <v>7</v>
      </c>
      <c r="K1040" s="2">
        <v>187.02076376104503</v>
      </c>
      <c r="L1040" s="2">
        <v>13605</v>
      </c>
      <c r="M1040" s="2">
        <v>1200</v>
      </c>
      <c r="N1040" s="2">
        <v>250.02131015581256</v>
      </c>
      <c r="O1040" s="2">
        <v>2503.9511574972576</v>
      </c>
      <c r="P1040" s="2">
        <v>1090.2819199720398</v>
      </c>
      <c r="Q1040" s="2">
        <v>252.67676752578001</v>
      </c>
      <c r="R1040" s="2">
        <v>2475.7441595332771</v>
      </c>
      <c r="S1040" s="2">
        <v>1100.604602836218</v>
      </c>
      <c r="T1040" s="2">
        <v>2.6554573699674506</v>
      </c>
      <c r="U1040" s="2">
        <v>-28.206997963980484</v>
      </c>
      <c r="V1040" s="2">
        <v>10.322682864178205</v>
      </c>
    </row>
    <row r="1041" spans="1:22" ht="15">
      <c r="A1041" s="2">
        <v>1040</v>
      </c>
      <c r="B1041" s="2" t="s">
        <v>80</v>
      </c>
      <c r="C1041" s="2" t="s">
        <v>81</v>
      </c>
      <c r="D1041" s="2">
        <v>952.68908961443231</v>
      </c>
      <c r="E1041" s="2">
        <v>999.96952172368765</v>
      </c>
      <c r="F1041" s="2">
        <v>455.59464832767844</v>
      </c>
      <c r="G1041" s="2">
        <v>221.52176131028682</v>
      </c>
      <c r="H1041" s="2">
        <v>14.051055857446045</v>
      </c>
      <c r="I1041" s="2">
        <v>0.82482376157306136</v>
      </c>
      <c r="J1041" s="2">
        <v>6</v>
      </c>
      <c r="K1041" s="2">
        <v>192.50356540761967</v>
      </c>
      <c r="L1041" s="2">
        <v>14875</v>
      </c>
      <c r="M1041" s="2">
        <v>1200</v>
      </c>
      <c r="N1041" s="2">
        <v>249.96579399955388</v>
      </c>
      <c r="O1041" s="2">
        <v>2503.1679879631215</v>
      </c>
      <c r="P1041" s="2">
        <v>952.68908961443231</v>
      </c>
      <c r="Q1041" s="2">
        <v>254.30896346042979</v>
      </c>
      <c r="R1041" s="2">
        <v>2497.9586594622215</v>
      </c>
      <c r="S1041" s="2">
        <v>951.84336723243712</v>
      </c>
      <c r="T1041" s="2">
        <v>4.343169460875913</v>
      </c>
      <c r="U1041" s="2">
        <v>-5.2093285009000283</v>
      </c>
      <c r="V1041" s="2">
        <v>-0.84572238199518779</v>
      </c>
    </row>
    <row r="1042" spans="1:22" ht="15">
      <c r="A1042" s="2">
        <v>1041</v>
      </c>
      <c r="B1042" s="2" t="s">
        <v>78</v>
      </c>
      <c r="C1042" s="2" t="s">
        <v>81</v>
      </c>
      <c r="D1042" s="2">
        <v>987.30061883106828</v>
      </c>
      <c r="E1042" s="2">
        <v>1241.2032460211776</v>
      </c>
      <c r="F1042" s="2">
        <v>526.32466647773981</v>
      </c>
      <c r="G1042" s="2">
        <v>148.68503062287346</v>
      </c>
      <c r="H1042" s="2">
        <v>8.846078785136342</v>
      </c>
      <c r="I1042" s="2">
        <v>0.84244694150285804</v>
      </c>
      <c r="J1042" s="2">
        <v>6</v>
      </c>
      <c r="K1042" s="2">
        <v>195.32399612605531</v>
      </c>
      <c r="L1042" s="2">
        <v>13020</v>
      </c>
      <c r="M1042" s="2">
        <v>1200</v>
      </c>
      <c r="N1042" s="2">
        <v>249.99014342708793</v>
      </c>
      <c r="O1042" s="2">
        <v>2504.3611361010003</v>
      </c>
      <c r="P1042" s="2">
        <v>987.30061883106828</v>
      </c>
      <c r="Q1042" s="2">
        <v>251.96292261809199</v>
      </c>
      <c r="R1042" s="2">
        <v>2542.0210289268107</v>
      </c>
      <c r="S1042" s="2">
        <v>987.30670178261676</v>
      </c>
      <c r="T1042" s="2">
        <v>1.9727791910040651</v>
      </c>
      <c r="U1042" s="2">
        <v>37.659892825810402</v>
      </c>
      <c r="V1042" s="2">
        <v>6.0829515484783769E-3</v>
      </c>
    </row>
    <row r="1043" spans="1:22" ht="15">
      <c r="A1043" s="2">
        <v>1042</v>
      </c>
      <c r="B1043" s="2" t="s">
        <v>78</v>
      </c>
      <c r="C1043" s="2" t="s">
        <v>81</v>
      </c>
      <c r="D1043" s="2">
        <v>1084.6642430522479</v>
      </c>
      <c r="E1043" s="2">
        <v>1183.1658684881404</v>
      </c>
      <c r="F1043" s="2">
        <v>701.19347954168916</v>
      </c>
      <c r="G1043" s="2">
        <v>93.100824551656842</v>
      </c>
      <c r="H1043" s="2">
        <v>26.392337903846055</v>
      </c>
      <c r="I1043" s="2">
        <v>0.8391364833200351</v>
      </c>
      <c r="J1043" s="2">
        <v>7</v>
      </c>
      <c r="K1043" s="2">
        <v>184.65653418938899</v>
      </c>
      <c r="L1043" s="2">
        <v>10815</v>
      </c>
      <c r="M1043" s="2">
        <v>1195</v>
      </c>
      <c r="N1043" s="2">
        <v>250.00577709488738</v>
      </c>
      <c r="O1043" s="2">
        <v>2495.8682278601455</v>
      </c>
      <c r="P1043" s="2">
        <v>1084.6642430522479</v>
      </c>
      <c r="Q1043" s="2">
        <v>248.42921667299251</v>
      </c>
      <c r="R1043" s="2">
        <v>2557.7800235567847</v>
      </c>
      <c r="S1043" s="2">
        <v>1066.0299156785245</v>
      </c>
      <c r="T1043" s="2">
        <v>-1.5765604218948681</v>
      </c>
      <c r="U1043" s="2">
        <v>61.911795696639274</v>
      </c>
      <c r="V1043" s="2">
        <v>-18.634327373723409</v>
      </c>
    </row>
    <row r="1044" spans="1:22" ht="15">
      <c r="A1044" s="2">
        <v>1043</v>
      </c>
      <c r="B1044" s="2" t="s">
        <v>78</v>
      </c>
      <c r="C1044" s="2" t="s">
        <v>81</v>
      </c>
      <c r="D1044" s="2">
        <v>1016.3391770562157</v>
      </c>
      <c r="E1044" s="2">
        <v>617.76533793890849</v>
      </c>
      <c r="F1044" s="2">
        <v>690.04735015332699</v>
      </c>
      <c r="G1044" s="2">
        <v>211.21322233928367</v>
      </c>
      <c r="H1044" s="2">
        <v>29.817953464575112</v>
      </c>
      <c r="I1044" s="2">
        <v>0.82876764592481778</v>
      </c>
      <c r="J1044" s="2">
        <v>7</v>
      </c>
      <c r="K1044" s="2">
        <v>175.1894052838085</v>
      </c>
      <c r="L1044" s="2">
        <v>14080</v>
      </c>
      <c r="M1044" s="2">
        <v>1200</v>
      </c>
      <c r="N1044" s="2">
        <v>250.02500507587268</v>
      </c>
      <c r="O1044" s="2">
        <v>2503.6425536298038</v>
      </c>
      <c r="P1044" s="2">
        <v>1016.3391770562157</v>
      </c>
      <c r="Q1044" s="2">
        <v>247.05312924336965</v>
      </c>
      <c r="R1044" s="2">
        <v>2515.3473336302973</v>
      </c>
      <c r="S1044" s="2">
        <v>1007.793743660923</v>
      </c>
      <c r="T1044" s="2">
        <v>-2.9718758325030308</v>
      </c>
      <c r="U1044" s="2">
        <v>11.704780000493429</v>
      </c>
      <c r="V1044" s="2">
        <v>-8.5454333952926618</v>
      </c>
    </row>
    <row r="1045" spans="1:22" ht="15">
      <c r="A1045" s="2">
        <v>1044</v>
      </c>
      <c r="B1045" s="2" t="s">
        <v>78</v>
      </c>
      <c r="C1045" s="2" t="s">
        <v>81</v>
      </c>
      <c r="D1045" s="2">
        <v>1092.8026383160613</v>
      </c>
      <c r="E1045" s="2">
        <v>803.46403107978404</v>
      </c>
      <c r="F1045" s="2">
        <v>546.78600607439876</v>
      </c>
      <c r="G1045" s="2">
        <v>155.74261107947677</v>
      </c>
      <c r="H1045" s="2">
        <v>10.52771721733734</v>
      </c>
      <c r="I1045" s="2">
        <v>0.85266490312293175</v>
      </c>
      <c r="J1045" s="2">
        <v>7</v>
      </c>
      <c r="K1045" s="2">
        <v>183.09028792530538</v>
      </c>
      <c r="L1045" s="2">
        <v>14200</v>
      </c>
      <c r="M1045" s="2">
        <v>1200</v>
      </c>
      <c r="N1045" s="2">
        <v>249.99198871404604</v>
      </c>
      <c r="O1045" s="2">
        <v>2503.5666844038979</v>
      </c>
      <c r="P1045" s="2">
        <v>1092.8026383160613</v>
      </c>
      <c r="Q1045" s="2">
        <v>250.90761910489175</v>
      </c>
      <c r="R1045" s="2">
        <v>2477.5897290765965</v>
      </c>
      <c r="S1045" s="2">
        <v>1099.3034551815576</v>
      </c>
      <c r="T1045" s="2">
        <v>0.91563039084570619</v>
      </c>
      <c r="U1045" s="2">
        <v>-25.976955327301312</v>
      </c>
      <c r="V1045" s="2">
        <v>6.5008168654962901</v>
      </c>
    </row>
    <row r="1046" spans="1:22" ht="15">
      <c r="A1046" s="2">
        <v>1045</v>
      </c>
      <c r="B1046" s="2" t="s">
        <v>78</v>
      </c>
      <c r="C1046" s="2" t="s">
        <v>81</v>
      </c>
      <c r="D1046" s="2">
        <v>972.93716897256672</v>
      </c>
      <c r="E1046" s="2">
        <v>715.24178272811696</v>
      </c>
      <c r="F1046" s="2">
        <v>461.90135460346937</v>
      </c>
      <c r="G1046" s="2">
        <v>265.43658062117174</v>
      </c>
      <c r="H1046" s="2">
        <v>19.737039521336555</v>
      </c>
      <c r="I1046" s="2">
        <v>0.81196328951278707</v>
      </c>
      <c r="J1046" s="2">
        <v>6</v>
      </c>
      <c r="K1046" s="2">
        <v>199.70877615176644</v>
      </c>
      <c r="L1046" s="2">
        <v>17295</v>
      </c>
      <c r="M1046" s="2">
        <v>1200</v>
      </c>
      <c r="N1046" s="2">
        <v>249.99354758626279</v>
      </c>
      <c r="O1046" s="2">
        <v>2501.9978957606968</v>
      </c>
      <c r="P1046" s="2">
        <v>972.93716897256672</v>
      </c>
      <c r="Q1046" s="2">
        <v>250.30355508307284</v>
      </c>
      <c r="R1046" s="2">
        <v>2445.0418232090046</v>
      </c>
      <c r="S1046" s="2">
        <v>976.47140717803211</v>
      </c>
      <c r="T1046" s="2">
        <v>0.31000749681004436</v>
      </c>
      <c r="U1046" s="2">
        <v>-56.956072551692159</v>
      </c>
      <c r="V1046" s="2">
        <v>3.5342382054653854</v>
      </c>
    </row>
    <row r="1047" spans="1:22" ht="15">
      <c r="A1047" s="2">
        <v>1046</v>
      </c>
      <c r="B1047" s="2" t="s">
        <v>78</v>
      </c>
      <c r="C1047" s="2" t="s">
        <v>81</v>
      </c>
      <c r="D1047" s="2">
        <v>983.59585154103115</v>
      </c>
      <c r="E1047" s="2">
        <v>1120.8516334882006</v>
      </c>
      <c r="F1047" s="2">
        <v>392.26223351433873</v>
      </c>
      <c r="G1047" s="2">
        <v>229.16727738454938</v>
      </c>
      <c r="H1047" s="2">
        <v>27.483684903476387</v>
      </c>
      <c r="I1047" s="2">
        <v>0.80847826411481949</v>
      </c>
      <c r="J1047" s="2">
        <v>7</v>
      </c>
      <c r="K1047" s="2">
        <v>173.80021122909807</v>
      </c>
      <c r="L1047" s="2">
        <v>12275</v>
      </c>
      <c r="M1047" s="2">
        <v>1200</v>
      </c>
      <c r="N1047" s="2">
        <v>250.00886494345917</v>
      </c>
      <c r="O1047" s="2">
        <v>2504.942166997706</v>
      </c>
      <c r="P1047" s="2">
        <v>983.59585154103115</v>
      </c>
      <c r="Q1047" s="2">
        <v>249.63525856525342</v>
      </c>
      <c r="R1047" s="2">
        <v>2546.5699083032655</v>
      </c>
      <c r="S1047" s="2">
        <v>978.50084222776456</v>
      </c>
      <c r="T1047" s="2">
        <v>-0.37360637820574993</v>
      </c>
      <c r="U1047" s="2">
        <v>41.627741305559539</v>
      </c>
      <c r="V1047" s="2">
        <v>-5.095009313266587</v>
      </c>
    </row>
    <row r="1048" spans="1:22" ht="15">
      <c r="A1048" s="2">
        <v>1047</v>
      </c>
      <c r="B1048" s="2" t="s">
        <v>78</v>
      </c>
      <c r="C1048" s="2" t="s">
        <v>81</v>
      </c>
      <c r="D1048" s="2">
        <v>1026.1154306354001</v>
      </c>
      <c r="E1048" s="2">
        <v>914.55053632380441</v>
      </c>
      <c r="F1048" s="2">
        <v>617.64219254255295</v>
      </c>
      <c r="G1048" s="2">
        <v>89.355676302220672</v>
      </c>
      <c r="H1048" s="2">
        <v>13.818027342669666</v>
      </c>
      <c r="I1048" s="2">
        <v>0.82549653108930221</v>
      </c>
      <c r="J1048" s="2">
        <v>7</v>
      </c>
      <c r="K1048" s="2">
        <v>177.57545082444707</v>
      </c>
      <c r="L1048" s="2">
        <v>13190</v>
      </c>
      <c r="M1048" s="2">
        <v>1200</v>
      </c>
      <c r="N1048" s="2">
        <v>250.02864470942447</v>
      </c>
      <c r="O1048" s="2">
        <v>2504.2393575761671</v>
      </c>
      <c r="P1048" s="2">
        <v>1026.1154306354001</v>
      </c>
      <c r="Q1048" s="2">
        <v>252.5413787016453</v>
      </c>
      <c r="R1048" s="2">
        <v>2466.602617169011</v>
      </c>
      <c r="S1048" s="2">
        <v>1026.4037551870972</v>
      </c>
      <c r="T1048" s="2">
        <v>2.5127339922208307</v>
      </c>
      <c r="U1048" s="2">
        <v>-37.63674040715614</v>
      </c>
      <c r="V1048" s="2">
        <v>0.28832455169708737</v>
      </c>
    </row>
    <row r="1049" spans="1:22" ht="15">
      <c r="A1049" s="2">
        <v>1048</v>
      </c>
      <c r="B1049" s="2" t="s">
        <v>78</v>
      </c>
      <c r="C1049" s="2" t="s">
        <v>81</v>
      </c>
      <c r="D1049" s="2">
        <v>972.86710244370624</v>
      </c>
      <c r="E1049" s="2">
        <v>1029.4563262723386</v>
      </c>
      <c r="F1049" s="2">
        <v>469.95855187997222</v>
      </c>
      <c r="G1049" s="2">
        <v>144.371999935247</v>
      </c>
      <c r="H1049" s="2">
        <v>17.874410500284284</v>
      </c>
      <c r="I1049" s="2">
        <v>0.81650925804860897</v>
      </c>
      <c r="J1049" s="2">
        <v>6</v>
      </c>
      <c r="K1049" s="2">
        <v>198.58258246999344</v>
      </c>
      <c r="L1049" s="2">
        <v>15180</v>
      </c>
      <c r="M1049" s="2">
        <v>1200</v>
      </c>
      <c r="N1049" s="2">
        <v>250.02631146051263</v>
      </c>
      <c r="O1049" s="2">
        <v>2503.0018390069049</v>
      </c>
      <c r="P1049" s="2">
        <v>972.86710244370624</v>
      </c>
      <c r="Q1049" s="2">
        <v>253.44454112159494</v>
      </c>
      <c r="R1049" s="2">
        <v>2532.701591446847</v>
      </c>
      <c r="S1049" s="2">
        <v>972.21239169317846</v>
      </c>
      <c r="T1049" s="2">
        <v>3.4182296610823073</v>
      </c>
      <c r="U1049" s="2">
        <v>29.699752439942131</v>
      </c>
      <c r="V1049" s="2">
        <v>-0.6547107505277836</v>
      </c>
    </row>
    <row r="1050" spans="1:22" ht="15">
      <c r="A1050" s="2">
        <v>1049</v>
      </c>
      <c r="B1050" s="2" t="s">
        <v>78</v>
      </c>
      <c r="C1050" s="2" t="s">
        <v>81</v>
      </c>
      <c r="D1050" s="2">
        <v>983.42990428209305</v>
      </c>
      <c r="E1050" s="2">
        <v>802.95316971605644</v>
      </c>
      <c r="F1050" s="2">
        <v>459.70203150063753</v>
      </c>
      <c r="G1050" s="2">
        <v>247.75674239033833</v>
      </c>
      <c r="H1050" s="2">
        <v>16.856695858761668</v>
      </c>
      <c r="I1050" s="2">
        <v>0.85003391121746974</v>
      </c>
      <c r="J1050" s="2">
        <v>6</v>
      </c>
      <c r="K1050" s="2">
        <v>192.82170026871154</v>
      </c>
      <c r="L1050" s="2">
        <v>16520</v>
      </c>
      <c r="M1050" s="2">
        <v>1200</v>
      </c>
      <c r="N1050" s="2">
        <v>250.01944819739032</v>
      </c>
      <c r="O1050" s="2">
        <v>2502.3363514338212</v>
      </c>
      <c r="P1050" s="2">
        <v>983.42990428209305</v>
      </c>
      <c r="Q1050" s="2">
        <v>248.96148606551242</v>
      </c>
      <c r="R1050" s="2">
        <v>2514.2746897311913</v>
      </c>
      <c r="S1050" s="2">
        <v>988.19553745427004</v>
      </c>
      <c r="T1050" s="2">
        <v>-1.0579621318779004</v>
      </c>
      <c r="U1050" s="2">
        <v>11.938338297370137</v>
      </c>
      <c r="V1050" s="2">
        <v>4.7656331721769902</v>
      </c>
    </row>
    <row r="1051" spans="1:22" ht="15">
      <c r="A1051" s="2">
        <v>1050</v>
      </c>
      <c r="B1051" s="2" t="s">
        <v>78</v>
      </c>
      <c r="C1051" s="2" t="s">
        <v>81</v>
      </c>
      <c r="D1051" s="2">
        <v>993.91935231396928</v>
      </c>
      <c r="E1051" s="2">
        <v>1229.7226244816557</v>
      </c>
      <c r="F1051" s="2">
        <v>660.74431398883462</v>
      </c>
      <c r="G1051" s="2">
        <v>188.54340880177915</v>
      </c>
      <c r="H1051" s="2">
        <v>10.336644169408828</v>
      </c>
      <c r="I1051" s="2">
        <v>0.80854866564739503</v>
      </c>
      <c r="J1051" s="2">
        <v>7</v>
      </c>
      <c r="K1051" s="2">
        <v>175.60906960165121</v>
      </c>
      <c r="L1051" s="2">
        <v>10285</v>
      </c>
      <c r="M1051" s="2">
        <v>1195</v>
      </c>
      <c r="N1051" s="2">
        <v>249.96314413115024</v>
      </c>
      <c r="O1051" s="2">
        <v>2496.4569086375682</v>
      </c>
      <c r="P1051" s="2">
        <v>993.91935231396928</v>
      </c>
      <c r="Q1051" s="2">
        <v>254.4937812807708</v>
      </c>
      <c r="R1051" s="2">
        <v>2488.2595465069403</v>
      </c>
      <c r="S1051" s="2">
        <v>991.61934889983002</v>
      </c>
      <c r="T1051" s="2">
        <v>4.53063714962056</v>
      </c>
      <c r="U1051" s="2">
        <v>-8.1973621306278801</v>
      </c>
      <c r="V1051" s="2">
        <v>-2.3000034141392689</v>
      </c>
    </row>
    <row r="1052" spans="1:22" ht="15">
      <c r="A1052" s="2">
        <v>1051</v>
      </c>
      <c r="B1052" s="2" t="s">
        <v>78</v>
      </c>
      <c r="C1052" s="2" t="s">
        <v>81</v>
      </c>
      <c r="D1052" s="2">
        <v>1032.4529425008222</v>
      </c>
      <c r="E1052" s="2">
        <v>1117.9476339952089</v>
      </c>
      <c r="F1052" s="2">
        <v>558.56618918478489</v>
      </c>
      <c r="G1052" s="2">
        <v>161.54999575344846</v>
      </c>
      <c r="H1052" s="2">
        <v>13.781468176282942</v>
      </c>
      <c r="I1052" s="2">
        <v>0.82025789062259724</v>
      </c>
      <c r="J1052" s="2">
        <v>7</v>
      </c>
      <c r="K1052" s="2">
        <v>179.81329919077794</v>
      </c>
      <c r="L1052" s="2">
        <v>11635</v>
      </c>
      <c r="M1052" s="2">
        <v>1195</v>
      </c>
      <c r="N1052" s="2">
        <v>250.0012031438865</v>
      </c>
      <c r="O1052" s="2">
        <v>2495.0601548648469</v>
      </c>
      <c r="P1052" s="2">
        <v>1032.4529425008222</v>
      </c>
      <c r="Q1052" s="2">
        <v>252.10299469124399</v>
      </c>
      <c r="R1052" s="2">
        <v>2489.6808964350676</v>
      </c>
      <c r="S1052" s="2">
        <v>1032.9486256031023</v>
      </c>
      <c r="T1052" s="2">
        <v>2.1017915473574931</v>
      </c>
      <c r="U1052" s="2">
        <v>-5.3792584297793837</v>
      </c>
      <c r="V1052" s="2">
        <v>0.4956831022800543</v>
      </c>
    </row>
    <row r="1053" spans="1:22" ht="15">
      <c r="A1053" s="2">
        <v>1052</v>
      </c>
      <c r="B1053" s="2" t="s">
        <v>78</v>
      </c>
      <c r="C1053" s="2" t="s">
        <v>81</v>
      </c>
      <c r="D1053" s="2">
        <v>1079.3917455128394</v>
      </c>
      <c r="E1053" s="2">
        <v>1165.976471407339</v>
      </c>
      <c r="F1053" s="2">
        <v>405.08522046729922</v>
      </c>
      <c r="G1053" s="2">
        <v>93.140950235538185</v>
      </c>
      <c r="H1053" s="2">
        <v>29.930286611896008</v>
      </c>
      <c r="I1053" s="2">
        <v>0.83936960510909564</v>
      </c>
      <c r="J1053" s="2">
        <v>7</v>
      </c>
      <c r="K1053" s="2">
        <v>183.70789202869307</v>
      </c>
      <c r="L1053" s="2">
        <v>12850</v>
      </c>
      <c r="M1053" s="2">
        <v>1200</v>
      </c>
      <c r="N1053" s="2">
        <v>249.9913907898385</v>
      </c>
      <c r="O1053" s="2">
        <v>2504.4876564202518</v>
      </c>
      <c r="P1053" s="2">
        <v>1079.3917455128394</v>
      </c>
      <c r="Q1053" s="2">
        <v>249.19305317261151</v>
      </c>
      <c r="R1053" s="2">
        <v>2509.1726233794129</v>
      </c>
      <c r="S1053" s="2">
        <v>1066.8991599513524</v>
      </c>
      <c r="T1053" s="2">
        <v>-0.79833761722699137</v>
      </c>
      <c r="U1053" s="2">
        <v>4.6849669591611018</v>
      </c>
      <c r="V1053" s="2">
        <v>-12.492585561486976</v>
      </c>
    </row>
    <row r="1054" spans="1:22" ht="15">
      <c r="A1054" s="2">
        <v>1053</v>
      </c>
      <c r="B1054" s="2" t="s">
        <v>78</v>
      </c>
      <c r="C1054" s="2" t="s">
        <v>81</v>
      </c>
      <c r="D1054" s="2">
        <v>1087.899601412937</v>
      </c>
      <c r="E1054" s="2">
        <v>684.2922815005295</v>
      </c>
      <c r="F1054" s="2">
        <v>573.57467766851187</v>
      </c>
      <c r="G1054" s="2">
        <v>164.23335553379729</v>
      </c>
      <c r="H1054" s="2">
        <v>15.492046069353819</v>
      </c>
      <c r="I1054" s="2">
        <v>0.80010891180718324</v>
      </c>
      <c r="J1054" s="2">
        <v>7</v>
      </c>
      <c r="K1054" s="2">
        <v>194.24134199711264</v>
      </c>
      <c r="L1054" s="2">
        <v>15040</v>
      </c>
      <c r="M1054" s="2">
        <v>1200</v>
      </c>
      <c r="N1054" s="2">
        <v>250.03057146759932</v>
      </c>
      <c r="O1054" s="2">
        <v>2503.0783303519479</v>
      </c>
      <c r="P1054" s="2">
        <v>1087.899601412937</v>
      </c>
      <c r="Q1054" s="2">
        <v>248.84854561410987</v>
      </c>
      <c r="R1054" s="2">
        <v>2448.6999867384588</v>
      </c>
      <c r="S1054" s="2">
        <v>1099.6403858644021</v>
      </c>
      <c r="T1054" s="2">
        <v>-1.1820258534894492</v>
      </c>
      <c r="U1054" s="2">
        <v>-54.378343613489051</v>
      </c>
      <c r="V1054" s="2">
        <v>11.740784451465061</v>
      </c>
    </row>
    <row r="1055" spans="1:22" ht="15">
      <c r="A1055" s="2">
        <v>1054</v>
      </c>
      <c r="B1055" s="2" t="s">
        <v>78</v>
      </c>
      <c r="C1055" s="2" t="s">
        <v>81</v>
      </c>
      <c r="D1055" s="2">
        <v>1079.2694628355093</v>
      </c>
      <c r="E1055" s="2">
        <v>1198.1580457417294</v>
      </c>
      <c r="F1055" s="2">
        <v>734.32765202596784</v>
      </c>
      <c r="G1055" s="2">
        <v>254.63482078164816</v>
      </c>
      <c r="H1055" s="2">
        <v>15.398913817945868</v>
      </c>
      <c r="I1055" s="2">
        <v>0.84159735556226223</v>
      </c>
      <c r="J1055" s="2">
        <v>7</v>
      </c>
      <c r="K1055" s="2">
        <v>183.200851113223</v>
      </c>
      <c r="L1055" s="2">
        <v>9780</v>
      </c>
      <c r="M1055" s="2">
        <v>1195</v>
      </c>
      <c r="N1055" s="2">
        <v>250.05002161602931</v>
      </c>
      <c r="O1055" s="2">
        <v>2497.0836173544021</v>
      </c>
      <c r="P1055" s="2">
        <v>1079.2694628355093</v>
      </c>
      <c r="Q1055" s="2">
        <v>250.88019762329867</v>
      </c>
      <c r="R1055" s="2">
        <v>2538.9101151997743</v>
      </c>
      <c r="S1055" s="2">
        <v>1078.2915776177749</v>
      </c>
      <c r="T1055" s="2">
        <v>0.83017600726935825</v>
      </c>
      <c r="U1055" s="2">
        <v>41.82649784537216</v>
      </c>
      <c r="V1055" s="2">
        <v>-0.97788521773441062</v>
      </c>
    </row>
    <row r="1056" spans="1:22" ht="15">
      <c r="A1056" s="2">
        <v>1055</v>
      </c>
      <c r="B1056" s="2" t="s">
        <v>79</v>
      </c>
      <c r="C1056" s="2" t="s">
        <v>81</v>
      </c>
      <c r="D1056" s="2">
        <v>998.95824904087931</v>
      </c>
      <c r="E1056" s="2">
        <v>1097.8781840880401</v>
      </c>
      <c r="F1056" s="2">
        <v>557.88512453436852</v>
      </c>
      <c r="G1056" s="2">
        <v>130.83922430640087</v>
      </c>
      <c r="H1056" s="2">
        <v>27.259293249808252</v>
      </c>
      <c r="I1056" s="2">
        <v>0.84183223971864218</v>
      </c>
      <c r="J1056" s="2">
        <v>6</v>
      </c>
      <c r="K1056" s="2">
        <v>197.77460835006588</v>
      </c>
      <c r="L1056" s="2">
        <v>13965</v>
      </c>
      <c r="M1056" s="2">
        <v>1200</v>
      </c>
      <c r="N1056" s="2">
        <v>249.99872093373082</v>
      </c>
      <c r="O1056" s="2">
        <v>2503.7144319983008</v>
      </c>
      <c r="P1056" s="2">
        <v>998.95824904087931</v>
      </c>
      <c r="Q1056" s="2">
        <v>248.68199604620347</v>
      </c>
      <c r="R1056" s="2">
        <v>2487.3577799630893</v>
      </c>
      <c r="S1056" s="2">
        <v>989.34478242458283</v>
      </c>
      <c r="T1056" s="2">
        <v>-1.3167248875273572</v>
      </c>
      <c r="U1056" s="2">
        <v>-16.356652035211482</v>
      </c>
      <c r="V1056" s="2">
        <v>-9.6134666162964777</v>
      </c>
    </row>
    <row r="1057" spans="1:22" ht="15">
      <c r="A1057" s="2">
        <v>1056</v>
      </c>
      <c r="B1057" s="2" t="s">
        <v>79</v>
      </c>
      <c r="C1057" s="2" t="s">
        <v>81</v>
      </c>
      <c r="D1057" s="2">
        <v>1024.1229144739918</v>
      </c>
      <c r="E1057" s="2">
        <v>1161.7084078490734</v>
      </c>
      <c r="F1057" s="2">
        <v>529.08871462568641</v>
      </c>
      <c r="G1057" s="2">
        <v>165.71219362784177</v>
      </c>
      <c r="H1057" s="2">
        <v>21.034153135027736</v>
      </c>
      <c r="I1057" s="2">
        <v>0.8057200191449374</v>
      </c>
      <c r="J1057" s="2">
        <v>7</v>
      </c>
      <c r="K1057" s="2">
        <v>181.58078491278829</v>
      </c>
      <c r="L1057" s="2">
        <v>11520</v>
      </c>
      <c r="M1057" s="2">
        <v>1195</v>
      </c>
      <c r="N1057" s="2">
        <v>250.01442629166723</v>
      </c>
      <c r="O1057" s="2">
        <v>2495.1670823974341</v>
      </c>
      <c r="P1057" s="2">
        <v>1024.1229144739918</v>
      </c>
      <c r="Q1057" s="2">
        <v>250.50433294498848</v>
      </c>
      <c r="R1057" s="2">
        <v>2477.0833406393408</v>
      </c>
      <c r="S1057" s="2">
        <v>1020.5888688019336</v>
      </c>
      <c r="T1057" s="2">
        <v>0.48990665332124195</v>
      </c>
      <c r="U1057" s="2">
        <v>-18.083741758093311</v>
      </c>
      <c r="V1057" s="2">
        <v>-3.5340456720582551</v>
      </c>
    </row>
    <row r="1058" spans="1:22" ht="15">
      <c r="A1058" s="2">
        <v>1057</v>
      </c>
      <c r="B1058" s="2" t="s">
        <v>79</v>
      </c>
      <c r="C1058" s="2" t="s">
        <v>81</v>
      </c>
      <c r="D1058" s="2">
        <v>1001.0234869085252</v>
      </c>
      <c r="E1058" s="2">
        <v>838.14530515810475</v>
      </c>
      <c r="F1058" s="2">
        <v>576.16152409464121</v>
      </c>
      <c r="G1058" s="2">
        <v>83.325513622257859</v>
      </c>
      <c r="H1058" s="2">
        <v>26.442959213629365</v>
      </c>
      <c r="I1058" s="2">
        <v>0.84052269670413815</v>
      </c>
      <c r="J1058" s="2">
        <v>6</v>
      </c>
      <c r="K1058" s="2">
        <v>198.49225782039031</v>
      </c>
      <c r="L1058" s="2">
        <v>16660</v>
      </c>
      <c r="M1058" s="2">
        <v>1200</v>
      </c>
      <c r="N1058" s="2">
        <v>250.00511163667227</v>
      </c>
      <c r="O1058" s="2">
        <v>2502.2725863380088</v>
      </c>
      <c r="P1058" s="2">
        <v>1001.0234869085252</v>
      </c>
      <c r="Q1058" s="2">
        <v>250.01605191205473</v>
      </c>
      <c r="R1058" s="2">
        <v>2502.3626419610255</v>
      </c>
      <c r="S1058" s="2">
        <v>998.06336774211252</v>
      </c>
      <c r="T1058" s="2">
        <v>1.094027538246678E-2</v>
      </c>
      <c r="U1058" s="2">
        <v>9.0055623016723985E-2</v>
      </c>
      <c r="V1058" s="2">
        <v>-2.96011916641271</v>
      </c>
    </row>
    <row r="1059" spans="1:22" ht="15">
      <c r="A1059" s="2">
        <v>1058</v>
      </c>
      <c r="B1059" s="2" t="s">
        <v>80</v>
      </c>
      <c r="C1059" s="2" t="s">
        <v>81</v>
      </c>
      <c r="D1059" s="2">
        <v>1082.6424346887507</v>
      </c>
      <c r="E1059" s="2">
        <v>747.37878397572786</v>
      </c>
      <c r="F1059" s="2">
        <v>733.90238815918565</v>
      </c>
      <c r="G1059" s="2">
        <v>90.673661017790437</v>
      </c>
      <c r="H1059" s="2">
        <v>19.846791513729841</v>
      </c>
      <c r="I1059" s="2">
        <v>0.80221145725343379</v>
      </c>
      <c r="J1059" s="2">
        <v>7</v>
      </c>
      <c r="K1059" s="2">
        <v>192.7960558991054</v>
      </c>
      <c r="L1059" s="2">
        <v>13605</v>
      </c>
      <c r="M1059" s="2">
        <v>1200</v>
      </c>
      <c r="N1059" s="2">
        <v>250.00798298456874</v>
      </c>
      <c r="O1059" s="2">
        <v>2503.9506634747481</v>
      </c>
      <c r="P1059" s="2">
        <v>1082.6424346887507</v>
      </c>
      <c r="Q1059" s="2">
        <v>250.24275911917576</v>
      </c>
      <c r="R1059" s="2">
        <v>2480.3878478770189</v>
      </c>
      <c r="S1059" s="2">
        <v>1085.4562304198444</v>
      </c>
      <c r="T1059" s="2">
        <v>0.23477613460701718</v>
      </c>
      <c r="U1059" s="2">
        <v>-23.562815597729241</v>
      </c>
      <c r="V1059" s="2">
        <v>2.8137957310937054</v>
      </c>
    </row>
    <row r="1060" spans="1:22" ht="15">
      <c r="A1060" s="2">
        <v>1059</v>
      </c>
      <c r="B1060" s="2" t="s">
        <v>80</v>
      </c>
      <c r="C1060" s="2" t="s">
        <v>81</v>
      </c>
      <c r="D1060" s="2">
        <v>1026.839929795824</v>
      </c>
      <c r="E1060" s="2">
        <v>684.73222270840779</v>
      </c>
      <c r="F1060" s="2">
        <v>415.50639681518078</v>
      </c>
      <c r="G1060" s="2">
        <v>285.99123620195314</v>
      </c>
      <c r="H1060" s="2">
        <v>18.688132335431874</v>
      </c>
      <c r="I1060" s="2">
        <v>0.84303814136190347</v>
      </c>
      <c r="J1060" s="2">
        <v>7</v>
      </c>
      <c r="K1060" s="2">
        <v>174.00329990442054</v>
      </c>
      <c r="L1060" s="2">
        <v>15425</v>
      </c>
      <c r="M1060" s="2">
        <v>1200</v>
      </c>
      <c r="N1060" s="2">
        <v>249.96290298292823</v>
      </c>
      <c r="O1060" s="2">
        <v>2502.8695212361495</v>
      </c>
      <c r="P1060" s="2">
        <v>1026.839929795824</v>
      </c>
      <c r="Q1060" s="2">
        <v>248.34400998704234</v>
      </c>
      <c r="R1060" s="2">
        <v>2453.043981305344</v>
      </c>
      <c r="S1060" s="2">
        <v>1029.06706831515</v>
      </c>
      <c r="T1060" s="2">
        <v>-1.6188929958858864</v>
      </c>
      <c r="U1060" s="2">
        <v>-49.825539930805462</v>
      </c>
      <c r="V1060" s="2">
        <v>2.2271385193259903</v>
      </c>
    </row>
    <row r="1061" spans="1:22" ht="15">
      <c r="A1061" s="2">
        <v>1060</v>
      </c>
      <c r="B1061" s="2" t="s">
        <v>80</v>
      </c>
      <c r="C1061" s="2" t="s">
        <v>81</v>
      </c>
      <c r="D1061" s="2">
        <v>1055.2592496736906</v>
      </c>
      <c r="E1061" s="2">
        <v>981.21761535294354</v>
      </c>
      <c r="F1061" s="2">
        <v>445.16279427334666</v>
      </c>
      <c r="G1061" s="2">
        <v>170.3531446820125</v>
      </c>
      <c r="H1061" s="2">
        <v>19.190856165718287</v>
      </c>
      <c r="I1061" s="2">
        <v>0.85698598338291054</v>
      </c>
      <c r="J1061" s="2">
        <v>7</v>
      </c>
      <c r="K1061" s="2">
        <v>175.90873632130166</v>
      </c>
      <c r="L1061" s="2">
        <v>13395</v>
      </c>
      <c r="M1061" s="2">
        <v>1200</v>
      </c>
      <c r="N1061" s="2">
        <v>250.0290225196016</v>
      </c>
      <c r="O1061" s="2">
        <v>2504.0949053663394</v>
      </c>
      <c r="P1061" s="2">
        <v>1055.2592496736906</v>
      </c>
      <c r="Q1061" s="2">
        <v>247.82731407635046</v>
      </c>
      <c r="R1061" s="2">
        <v>2500.2418357269121</v>
      </c>
      <c r="S1061" s="2">
        <v>1057.8748069384153</v>
      </c>
      <c r="T1061" s="2">
        <v>-2.2017084432511353</v>
      </c>
      <c r="U1061" s="2">
        <v>-3.8530696394273036</v>
      </c>
      <c r="V1061" s="2">
        <v>2.6155572647246572</v>
      </c>
    </row>
    <row r="1062" spans="1:22" ht="15">
      <c r="A1062" s="2">
        <v>1061</v>
      </c>
      <c r="B1062" s="2" t="s">
        <v>78</v>
      </c>
      <c r="C1062" s="2" t="s">
        <v>81</v>
      </c>
      <c r="D1062" s="2">
        <v>1045.9228104446083</v>
      </c>
      <c r="E1062" s="2">
        <v>1039.6838663029484</v>
      </c>
      <c r="F1062" s="2">
        <v>375.23206006735563</v>
      </c>
      <c r="G1062" s="2">
        <v>260.75675267027691</v>
      </c>
      <c r="H1062" s="2">
        <v>24.962482757866383</v>
      </c>
      <c r="I1062" s="2">
        <v>0.82756465027341619</v>
      </c>
      <c r="J1062" s="2">
        <v>7</v>
      </c>
      <c r="K1062" s="2">
        <v>180.55090233719412</v>
      </c>
      <c r="L1062" s="2">
        <v>12760</v>
      </c>
      <c r="M1062" s="2">
        <v>1200</v>
      </c>
      <c r="N1062" s="2">
        <v>249.95129316362167</v>
      </c>
      <c r="O1062" s="2">
        <v>2504.554425799231</v>
      </c>
      <c r="P1062" s="2">
        <v>1045.9228104446083</v>
      </c>
      <c r="Q1062" s="2">
        <v>248.31364061618189</v>
      </c>
      <c r="R1062" s="2">
        <v>2519.4582130973199</v>
      </c>
      <c r="S1062" s="2">
        <v>1042.0765938430688</v>
      </c>
      <c r="T1062" s="2">
        <v>-1.6376525474397852</v>
      </c>
      <c r="U1062" s="2">
        <v>14.903787298088901</v>
      </c>
      <c r="V1062" s="2">
        <v>-3.8462166015394814</v>
      </c>
    </row>
    <row r="1063" spans="1:22" ht="15">
      <c r="A1063" s="2">
        <v>1062</v>
      </c>
      <c r="B1063" s="2" t="s">
        <v>78</v>
      </c>
      <c r="C1063" s="2" t="s">
        <v>81</v>
      </c>
      <c r="D1063" s="2">
        <v>1075.4774744738825</v>
      </c>
      <c r="E1063" s="2">
        <v>1157.3049522703514</v>
      </c>
      <c r="F1063" s="2">
        <v>367.92122395709157</v>
      </c>
      <c r="G1063" s="2">
        <v>92.333979364484549</v>
      </c>
      <c r="H1063" s="2">
        <v>10.289642243180424</v>
      </c>
      <c r="I1063" s="2">
        <v>0.79619921685662121</v>
      </c>
      <c r="J1063" s="2">
        <v>7</v>
      </c>
      <c r="K1063" s="2">
        <v>192.96632797143522</v>
      </c>
      <c r="L1063" s="2">
        <v>13220</v>
      </c>
      <c r="M1063" s="2">
        <v>1200</v>
      </c>
      <c r="N1063" s="2">
        <v>249.98089016517267</v>
      </c>
      <c r="O1063" s="2">
        <v>2504.2161411777315</v>
      </c>
      <c r="P1063" s="2">
        <v>1075.4774744738825</v>
      </c>
      <c r="Q1063" s="2">
        <v>254.38604275252101</v>
      </c>
      <c r="R1063" s="2">
        <v>2500.1290636498316</v>
      </c>
      <c r="S1063" s="2">
        <v>1085.6385597957894</v>
      </c>
      <c r="T1063" s="2">
        <v>4.4051525873483399</v>
      </c>
      <c r="U1063" s="2">
        <v>-4.0870775278999645</v>
      </c>
      <c r="V1063" s="2">
        <v>10.161085321906967</v>
      </c>
    </row>
    <row r="1064" spans="1:22" ht="15">
      <c r="A1064" s="2">
        <v>1063</v>
      </c>
      <c r="B1064" s="2" t="s">
        <v>78</v>
      </c>
      <c r="C1064" s="2" t="s">
        <v>81</v>
      </c>
      <c r="D1064" s="2">
        <v>974.90067288745195</v>
      </c>
      <c r="E1064" s="2">
        <v>1154.4421214726754</v>
      </c>
      <c r="F1064" s="2">
        <v>704.26983833312988</v>
      </c>
      <c r="G1064" s="2">
        <v>265.67415134748444</v>
      </c>
      <c r="H1064" s="2">
        <v>14.669402497820556</v>
      </c>
      <c r="I1064" s="2">
        <v>0.84213784597581254</v>
      </c>
      <c r="J1064" s="2">
        <v>6</v>
      </c>
      <c r="K1064" s="2">
        <v>192.94162619299829</v>
      </c>
      <c r="L1064" s="2">
        <v>11745</v>
      </c>
      <c r="M1064" s="2">
        <v>1195</v>
      </c>
      <c r="N1064" s="2">
        <v>250.00860159696637</v>
      </c>
      <c r="O1064" s="2">
        <v>2494.9606709529589</v>
      </c>
      <c r="P1064" s="2">
        <v>974.90067288745195</v>
      </c>
      <c r="Q1064" s="2">
        <v>252.49107452011066</v>
      </c>
      <c r="R1064" s="2">
        <v>2560.1443398262186</v>
      </c>
      <c r="S1064" s="2">
        <v>970.52551298816377</v>
      </c>
      <c r="T1064" s="2">
        <v>2.4824729231442859</v>
      </c>
      <c r="U1064" s="2">
        <v>65.183668873259649</v>
      </c>
      <c r="V1064" s="2">
        <v>-4.3751598992881782</v>
      </c>
    </row>
    <row r="1065" spans="1:22" ht="15">
      <c r="A1065" s="2">
        <v>1064</v>
      </c>
      <c r="B1065" s="2" t="s">
        <v>78</v>
      </c>
      <c r="C1065" s="2" t="s">
        <v>81</v>
      </c>
      <c r="D1065" s="2">
        <v>1066.8602541903965</v>
      </c>
      <c r="E1065" s="2">
        <v>600.07135132327676</v>
      </c>
      <c r="F1065" s="2">
        <v>731.23419051989913</v>
      </c>
      <c r="G1065" s="2">
        <v>289.62645264808089</v>
      </c>
      <c r="H1065" s="2">
        <v>10.649771524127573</v>
      </c>
      <c r="I1065" s="2">
        <v>0.82862629861570902</v>
      </c>
      <c r="J1065" s="2">
        <v>7</v>
      </c>
      <c r="K1065" s="2">
        <v>183.92924288801456</v>
      </c>
      <c r="L1065" s="2">
        <v>13195</v>
      </c>
      <c r="M1065" s="2">
        <v>1200</v>
      </c>
      <c r="N1065" s="2">
        <v>250.02827142147976</v>
      </c>
      <c r="O1065" s="2">
        <v>2504.2357693263325</v>
      </c>
      <c r="P1065" s="2">
        <v>1066.8602541903965</v>
      </c>
      <c r="Q1065" s="2">
        <v>250.00169166127478</v>
      </c>
      <c r="R1065" s="2">
        <v>2463.7279054433616</v>
      </c>
      <c r="S1065" s="2">
        <v>1076.1794405560975</v>
      </c>
      <c r="T1065" s="2">
        <v>-2.657976020498154E-2</v>
      </c>
      <c r="U1065" s="2">
        <v>-40.507863882970923</v>
      </c>
      <c r="V1065" s="2">
        <v>9.3191863657009435</v>
      </c>
    </row>
    <row r="1066" spans="1:22" ht="15">
      <c r="A1066" s="2">
        <v>1065</v>
      </c>
      <c r="B1066" s="2" t="s">
        <v>78</v>
      </c>
      <c r="C1066" s="2" t="s">
        <v>81</v>
      </c>
      <c r="D1066" s="2">
        <v>1067.0015899464488</v>
      </c>
      <c r="E1066" s="2">
        <v>846.63517068838701</v>
      </c>
      <c r="F1066" s="2">
        <v>541.34416598826647</v>
      </c>
      <c r="G1066" s="2">
        <v>106.44925523782149</v>
      </c>
      <c r="H1066" s="2">
        <v>8.4920720662921667</v>
      </c>
      <c r="I1066" s="2">
        <v>0.82643067390890801</v>
      </c>
      <c r="J1066" s="2">
        <v>7</v>
      </c>
      <c r="K1066" s="2">
        <v>184.44232937629275</v>
      </c>
      <c r="L1066" s="2">
        <v>14310</v>
      </c>
      <c r="M1066" s="2">
        <v>1200</v>
      </c>
      <c r="N1066" s="2">
        <v>249.99402009805257</v>
      </c>
      <c r="O1066" s="2">
        <v>2503.4993677192524</v>
      </c>
      <c r="P1066" s="2">
        <v>1067.0015899464488</v>
      </c>
      <c r="Q1066" s="2">
        <v>251.67967828574038</v>
      </c>
      <c r="R1066" s="2">
        <v>2526.1224604643339</v>
      </c>
      <c r="S1066" s="2">
        <v>1076.8413304420692</v>
      </c>
      <c r="T1066" s="2">
        <v>1.6856581876878067</v>
      </c>
      <c r="U1066" s="2">
        <v>22.623092745081522</v>
      </c>
      <c r="V1066" s="2">
        <v>9.83974049562039</v>
      </c>
    </row>
    <row r="1067" spans="1:22" ht="15">
      <c r="A1067" s="2">
        <v>1066</v>
      </c>
      <c r="B1067" s="2" t="s">
        <v>78</v>
      </c>
      <c r="C1067" s="2" t="s">
        <v>81</v>
      </c>
      <c r="D1067" s="2">
        <v>1010.7908990816213</v>
      </c>
      <c r="E1067" s="2">
        <v>1062.3841371620074</v>
      </c>
      <c r="F1067" s="2">
        <v>386.52539858594537</v>
      </c>
      <c r="G1067" s="2">
        <v>288.44278740696609</v>
      </c>
      <c r="H1067" s="2">
        <v>11.49585046293214</v>
      </c>
      <c r="I1067" s="2">
        <v>0.79536234211642298</v>
      </c>
      <c r="J1067" s="2">
        <v>7</v>
      </c>
      <c r="K1067" s="2">
        <v>181.55083818095372</v>
      </c>
      <c r="L1067" s="2">
        <v>12310</v>
      </c>
      <c r="M1067" s="2">
        <v>1200</v>
      </c>
      <c r="N1067" s="2">
        <v>250.0120534671112</v>
      </c>
      <c r="O1067" s="2">
        <v>2504.9134753435492</v>
      </c>
      <c r="P1067" s="2">
        <v>1010.7908990816213</v>
      </c>
      <c r="Q1067" s="2">
        <v>255.07715848140651</v>
      </c>
      <c r="R1067" s="2">
        <v>2536.1921137193617</v>
      </c>
      <c r="S1067" s="2">
        <v>1017.3913913614896</v>
      </c>
      <c r="T1067" s="2">
        <v>5.0651050142953125</v>
      </c>
      <c r="U1067" s="2">
        <v>31.278638375812534</v>
      </c>
      <c r="V1067" s="2">
        <v>6.6004922798682628</v>
      </c>
    </row>
    <row r="1068" spans="1:22" ht="15">
      <c r="A1068" s="2">
        <v>1067</v>
      </c>
      <c r="B1068" s="2" t="s">
        <v>78</v>
      </c>
      <c r="C1068" s="2" t="s">
        <v>81</v>
      </c>
      <c r="D1068" s="2">
        <v>993.1523873237893</v>
      </c>
      <c r="E1068" s="2">
        <v>655.98808067152277</v>
      </c>
      <c r="F1068" s="2">
        <v>727.49166078865528</v>
      </c>
      <c r="G1068" s="2">
        <v>80.688390980940312</v>
      </c>
      <c r="H1068" s="2">
        <v>21.465279773809016</v>
      </c>
      <c r="I1068" s="2">
        <v>0.81548316544620325</v>
      </c>
      <c r="J1068" s="2">
        <v>7</v>
      </c>
      <c r="K1068" s="2">
        <v>173.98141186298551</v>
      </c>
      <c r="L1068" s="2">
        <v>14605</v>
      </c>
      <c r="M1068" s="2">
        <v>1200</v>
      </c>
      <c r="N1068" s="2">
        <v>249.98145075510391</v>
      </c>
      <c r="O1068" s="2">
        <v>2503.3232155325663</v>
      </c>
      <c r="P1068" s="2">
        <v>993.1523873237893</v>
      </c>
      <c r="Q1068" s="2">
        <v>249.26170519272748</v>
      </c>
      <c r="R1068" s="2">
        <v>2478.2261291717728</v>
      </c>
      <c r="S1068" s="2">
        <v>995.59979316828606</v>
      </c>
      <c r="T1068" s="2">
        <v>-0.71974556237643128</v>
      </c>
      <c r="U1068" s="2">
        <v>-25.097086360793583</v>
      </c>
      <c r="V1068" s="2">
        <v>2.4474058444967568</v>
      </c>
    </row>
    <row r="1069" spans="1:22" ht="15">
      <c r="A1069" s="2">
        <v>1068</v>
      </c>
      <c r="B1069" s="2" t="s">
        <v>78</v>
      </c>
      <c r="C1069" s="2" t="s">
        <v>81</v>
      </c>
      <c r="D1069" s="2">
        <v>1027.5419725454412</v>
      </c>
      <c r="E1069" s="2">
        <v>978.13271819613874</v>
      </c>
      <c r="F1069" s="2">
        <v>513.8151447288692</v>
      </c>
      <c r="G1069" s="2">
        <v>141.37938133906573</v>
      </c>
      <c r="H1069" s="2">
        <v>14.489155340474099</v>
      </c>
      <c r="I1069" s="2">
        <v>0.80427553925663231</v>
      </c>
      <c r="J1069" s="2">
        <v>7</v>
      </c>
      <c r="K1069" s="2">
        <v>182.514204645972</v>
      </c>
      <c r="L1069" s="2">
        <v>13095</v>
      </c>
      <c r="M1069" s="2">
        <v>1200</v>
      </c>
      <c r="N1069" s="2">
        <v>250.03096284529329</v>
      </c>
      <c r="O1069" s="2">
        <v>2504.3079245543099</v>
      </c>
      <c r="P1069" s="2">
        <v>1027.5419725454412</v>
      </c>
      <c r="Q1069" s="2">
        <v>249.79461381659561</v>
      </c>
      <c r="R1069" s="2">
        <v>2540.3756333752285</v>
      </c>
      <c r="S1069" s="2">
        <v>1032.8064545020097</v>
      </c>
      <c r="T1069" s="2">
        <v>-0.23634902869767416</v>
      </c>
      <c r="U1069" s="2">
        <v>36.067708820918597</v>
      </c>
      <c r="V1069" s="2">
        <v>5.2644819565684884</v>
      </c>
    </row>
    <row r="1070" spans="1:22" ht="15">
      <c r="A1070" s="2">
        <v>1069</v>
      </c>
      <c r="B1070" s="2" t="s">
        <v>78</v>
      </c>
      <c r="C1070" s="2" t="s">
        <v>81</v>
      </c>
      <c r="D1070" s="2">
        <v>1091.9552785810083</v>
      </c>
      <c r="E1070" s="2">
        <v>797.1244114334695</v>
      </c>
      <c r="F1070" s="2">
        <v>728.08337118476629</v>
      </c>
      <c r="G1070" s="2">
        <v>153.65532015683129</v>
      </c>
      <c r="H1070" s="2">
        <v>23.910491768270731</v>
      </c>
      <c r="I1070" s="2">
        <v>0.8361493334942498</v>
      </c>
      <c r="J1070" s="2">
        <v>7</v>
      </c>
      <c r="K1070" s="2">
        <v>186.56190345086378</v>
      </c>
      <c r="L1070" s="2">
        <v>12740</v>
      </c>
      <c r="M1070" s="2">
        <v>1200</v>
      </c>
      <c r="N1070" s="2">
        <v>250.03464890349642</v>
      </c>
      <c r="O1070" s="2">
        <v>2504.5729978938739</v>
      </c>
      <c r="P1070" s="2">
        <v>1091.9552785810083</v>
      </c>
      <c r="Q1070" s="2">
        <v>251.98559003340546</v>
      </c>
      <c r="R1070" s="2">
        <v>2467.4437877541932</v>
      </c>
      <c r="S1070" s="2">
        <v>1081.532548016364</v>
      </c>
      <c r="T1070" s="2">
        <v>1.9509411299090402</v>
      </c>
      <c r="U1070" s="2">
        <v>-37.129210139680708</v>
      </c>
      <c r="V1070" s="2">
        <v>-10.422730564644326</v>
      </c>
    </row>
    <row r="1071" spans="1:22" ht="15">
      <c r="A1071" s="2">
        <v>1070</v>
      </c>
      <c r="B1071" s="2" t="s">
        <v>78</v>
      </c>
      <c r="C1071" s="2" t="s">
        <v>81</v>
      </c>
      <c r="D1071" s="2">
        <v>995.20677534164861</v>
      </c>
      <c r="E1071" s="2">
        <v>786.92159883212298</v>
      </c>
      <c r="F1071" s="2">
        <v>551.68629037216306</v>
      </c>
      <c r="G1071" s="2">
        <v>309.31807115674019</v>
      </c>
      <c r="H1071" s="2">
        <v>27.484006623271853</v>
      </c>
      <c r="I1071" s="2">
        <v>0.83237576312851169</v>
      </c>
      <c r="J1071" s="2">
        <v>6</v>
      </c>
      <c r="K1071" s="2">
        <v>199.27033346917167</v>
      </c>
      <c r="L1071" s="2">
        <v>15140</v>
      </c>
      <c r="M1071" s="2">
        <v>1200</v>
      </c>
      <c r="N1071" s="2">
        <v>249.9956139601629</v>
      </c>
      <c r="O1071" s="2">
        <v>2503.0224913718166</v>
      </c>
      <c r="P1071" s="2">
        <v>995.20677534164861</v>
      </c>
      <c r="Q1071" s="2">
        <v>248.65233551636067</v>
      </c>
      <c r="R1071" s="2">
        <v>2523.7366036244293</v>
      </c>
      <c r="S1071" s="2">
        <v>991.13272038574519</v>
      </c>
      <c r="T1071" s="2">
        <v>-1.3432784438022338</v>
      </c>
      <c r="U1071" s="2">
        <v>20.714112252612722</v>
      </c>
      <c r="V1071" s="2">
        <v>-4.0740549559034207</v>
      </c>
    </row>
    <row r="1072" spans="1:22" ht="15">
      <c r="A1072" s="2">
        <v>1071</v>
      </c>
      <c r="B1072" s="2" t="s">
        <v>78</v>
      </c>
      <c r="C1072" s="2" t="s">
        <v>81</v>
      </c>
      <c r="D1072" s="2">
        <v>1088.0231121787801</v>
      </c>
      <c r="E1072" s="2">
        <v>1060.2415130590089</v>
      </c>
      <c r="F1072" s="2">
        <v>447.21152558922768</v>
      </c>
      <c r="G1072" s="2">
        <v>273.16162395989522</v>
      </c>
      <c r="H1072" s="2">
        <v>22.180217727087438</v>
      </c>
      <c r="I1072" s="2">
        <v>0.84124533151974901</v>
      </c>
      <c r="J1072" s="2">
        <v>7</v>
      </c>
      <c r="K1072" s="2">
        <v>184.76402464855553</v>
      </c>
      <c r="L1072" s="2">
        <v>12010</v>
      </c>
      <c r="M1072" s="2">
        <v>1200</v>
      </c>
      <c r="N1072" s="2">
        <v>249.99332946998157</v>
      </c>
      <c r="O1072" s="2">
        <v>2505.1653140739745</v>
      </c>
      <c r="P1072" s="2">
        <v>1088.0231121787801</v>
      </c>
      <c r="Q1072" s="2">
        <v>249.04543088277555</v>
      </c>
      <c r="R1072" s="2">
        <v>2544.4235817247177</v>
      </c>
      <c r="S1072" s="2">
        <v>1085.5869337094787</v>
      </c>
      <c r="T1072" s="2">
        <v>-0.94789858720602638</v>
      </c>
      <c r="U1072" s="2">
        <v>39.258267650743164</v>
      </c>
      <c r="V1072" s="2">
        <v>-2.436178469301467</v>
      </c>
    </row>
    <row r="1073" spans="1:22" ht="15">
      <c r="A1073" s="2">
        <v>1072</v>
      </c>
      <c r="B1073" s="2" t="s">
        <v>78</v>
      </c>
      <c r="C1073" s="2" t="s">
        <v>81</v>
      </c>
      <c r="D1073" s="2">
        <v>1087.0535287889652</v>
      </c>
      <c r="E1073" s="2">
        <v>861.80980894714594</v>
      </c>
      <c r="F1073" s="2">
        <v>673.49657258018851</v>
      </c>
      <c r="G1073" s="2">
        <v>221.81326713878661</v>
      </c>
      <c r="H1073" s="2">
        <v>11.300104015972465</v>
      </c>
      <c r="I1073" s="2">
        <v>0.84991580626927321</v>
      </c>
      <c r="J1073" s="2">
        <v>7</v>
      </c>
      <c r="K1073" s="2">
        <v>182.71617036660439</v>
      </c>
      <c r="L1073" s="2">
        <v>12170</v>
      </c>
      <c r="M1073" s="2">
        <v>1200</v>
      </c>
      <c r="N1073" s="2">
        <v>249.98094509083546</v>
      </c>
      <c r="O1073" s="2">
        <v>2505.0285448988152</v>
      </c>
      <c r="P1073" s="2">
        <v>1087.0535287889652</v>
      </c>
      <c r="Q1073" s="2">
        <v>254.72903365680386</v>
      </c>
      <c r="R1073" s="2">
        <v>2497.82409114035</v>
      </c>
      <c r="S1073" s="2">
        <v>1089.5878547297282</v>
      </c>
      <c r="T1073" s="2">
        <v>4.748088565968402</v>
      </c>
      <c r="U1073" s="2">
        <v>-7.2044537584652062</v>
      </c>
      <c r="V1073" s="2">
        <v>2.534325940762983</v>
      </c>
    </row>
    <row r="1074" spans="1:22" ht="15">
      <c r="A1074" s="2">
        <v>1073</v>
      </c>
      <c r="B1074" s="2" t="s">
        <v>78</v>
      </c>
      <c r="C1074" s="2" t="s">
        <v>81</v>
      </c>
      <c r="D1074" s="2">
        <v>979.66810362413526</v>
      </c>
      <c r="E1074" s="2">
        <v>754.24569187453017</v>
      </c>
      <c r="F1074" s="2">
        <v>666.13023672252893</v>
      </c>
      <c r="G1074" s="2">
        <v>315.44234788278118</v>
      </c>
      <c r="H1074" s="2">
        <v>28.515139000490308</v>
      </c>
      <c r="I1074" s="2">
        <v>0.81207636623876178</v>
      </c>
      <c r="J1074" s="2">
        <v>7</v>
      </c>
      <c r="K1074" s="2">
        <v>172.33919376354723</v>
      </c>
      <c r="L1074" s="2">
        <v>12320</v>
      </c>
      <c r="M1074" s="2">
        <v>1200</v>
      </c>
      <c r="N1074" s="2">
        <v>249.99462706133787</v>
      </c>
      <c r="O1074" s="2">
        <v>2504.9045453510444</v>
      </c>
      <c r="P1074" s="2">
        <v>979.66810362413526</v>
      </c>
      <c r="Q1074" s="2">
        <v>249.65587636308734</v>
      </c>
      <c r="R1074" s="2">
        <v>2524.8042688925102</v>
      </c>
      <c r="S1074" s="2">
        <v>970.60713681426068</v>
      </c>
      <c r="T1074" s="2">
        <v>-0.33875069825052151</v>
      </c>
      <c r="U1074" s="2">
        <v>19.899723541465846</v>
      </c>
      <c r="V1074" s="2">
        <v>-9.0609668098745715</v>
      </c>
    </row>
    <row r="1075" spans="1:22" ht="15">
      <c r="A1075" s="2">
        <v>1074</v>
      </c>
      <c r="B1075" s="2" t="s">
        <v>78</v>
      </c>
      <c r="C1075" s="2" t="s">
        <v>81</v>
      </c>
      <c r="D1075" s="2">
        <v>982.22779404604807</v>
      </c>
      <c r="E1075" s="2">
        <v>1051.9436744274572</v>
      </c>
      <c r="F1075" s="2">
        <v>379.6126433648169</v>
      </c>
      <c r="G1075" s="2">
        <v>254.765006871894</v>
      </c>
      <c r="H1075" s="2">
        <v>10.823078066576272</v>
      </c>
      <c r="I1075" s="2">
        <v>0.8574935649568215</v>
      </c>
      <c r="J1075" s="2">
        <v>6</v>
      </c>
      <c r="K1075" s="2">
        <v>190.91062490859773</v>
      </c>
      <c r="L1075" s="2">
        <v>14795</v>
      </c>
      <c r="M1075" s="2">
        <v>1200</v>
      </c>
      <c r="N1075" s="2">
        <v>249.99047697753815</v>
      </c>
      <c r="O1075" s="2">
        <v>2503.2140688815439</v>
      </c>
      <c r="P1075" s="2">
        <v>982.22779404604807</v>
      </c>
      <c r="Q1075" s="2">
        <v>254.29341112500222</v>
      </c>
      <c r="R1075" s="2">
        <v>2537.594952122141</v>
      </c>
      <c r="S1075" s="2">
        <v>980.51948516891537</v>
      </c>
      <c r="T1075" s="2">
        <v>4.3029341474640717</v>
      </c>
      <c r="U1075" s="2">
        <v>34.380883240597086</v>
      </c>
      <c r="V1075" s="2">
        <v>-1.7083088771327084</v>
      </c>
    </row>
    <row r="1076" spans="1:22" ht="15">
      <c r="A1076" s="2">
        <v>1075</v>
      </c>
      <c r="B1076" s="2" t="s">
        <v>79</v>
      </c>
      <c r="C1076" s="2" t="s">
        <v>81</v>
      </c>
      <c r="D1076" s="2">
        <v>1024.624472646974</v>
      </c>
      <c r="E1076" s="2">
        <v>971.5525682666339</v>
      </c>
      <c r="F1076" s="2">
        <v>714.39273916184902</v>
      </c>
      <c r="G1076" s="2">
        <v>154.11285367561504</v>
      </c>
      <c r="H1076" s="2">
        <v>8.5967628778889775</v>
      </c>
      <c r="I1076" s="2">
        <v>0.8215725885774009</v>
      </c>
      <c r="J1076" s="2">
        <v>7</v>
      </c>
      <c r="K1076" s="2">
        <v>178.1643237602533</v>
      </c>
      <c r="L1076" s="2">
        <v>11620</v>
      </c>
      <c r="M1076" s="2">
        <v>1195</v>
      </c>
      <c r="N1076" s="2">
        <v>249.94967310261984</v>
      </c>
      <c r="O1076" s="2">
        <v>2495.0717159567216</v>
      </c>
      <c r="P1076" s="2">
        <v>1024.624472646974</v>
      </c>
      <c r="Q1076" s="2">
        <v>253.07778193437528</v>
      </c>
      <c r="R1076" s="2">
        <v>2493.4830736464146</v>
      </c>
      <c r="S1076" s="2">
        <v>1030.2041654084328</v>
      </c>
      <c r="T1076" s="2">
        <v>3.1281088317554406</v>
      </c>
      <c r="U1076" s="2">
        <v>-1.5886423103070229</v>
      </c>
      <c r="V1076" s="2">
        <v>5.579692761458773</v>
      </c>
    </row>
    <row r="1077" spans="1:22" ht="15">
      <c r="A1077" s="2">
        <v>1076</v>
      </c>
      <c r="B1077" s="2" t="s">
        <v>79</v>
      </c>
      <c r="C1077" s="2" t="s">
        <v>81</v>
      </c>
      <c r="D1077" s="2">
        <v>1006.8282739608549</v>
      </c>
      <c r="E1077" s="2">
        <v>678.54118072427809</v>
      </c>
      <c r="F1077" s="2">
        <v>388.33185313269496</v>
      </c>
      <c r="G1077" s="2">
        <v>93.914305134676397</v>
      </c>
      <c r="H1077" s="2">
        <v>9.5638735587708652</v>
      </c>
      <c r="I1077" s="2">
        <v>0.80854652697220453</v>
      </c>
      <c r="J1077" s="2">
        <v>7</v>
      </c>
      <c r="K1077" s="2">
        <v>177.89033255074628</v>
      </c>
      <c r="L1077" s="2">
        <v>18425</v>
      </c>
      <c r="M1077" s="2">
        <v>1200</v>
      </c>
      <c r="N1077" s="2">
        <v>250.02010836175208</v>
      </c>
      <c r="O1077" s="2">
        <v>2501.5571752577375</v>
      </c>
      <c r="P1077" s="2">
        <v>1006.8282739608549</v>
      </c>
      <c r="Q1077" s="2">
        <v>251.06292604091513</v>
      </c>
      <c r="R1077" s="2">
        <v>2499.0343379895417</v>
      </c>
      <c r="S1077" s="2">
        <v>1025.3935976055711</v>
      </c>
      <c r="T1077" s="2">
        <v>1.0428176791630506</v>
      </c>
      <c r="U1077" s="2">
        <v>-2.5228372681958717</v>
      </c>
      <c r="V1077" s="2">
        <v>18.565323644716273</v>
      </c>
    </row>
    <row r="1078" spans="1:22" ht="15">
      <c r="A1078" s="2">
        <v>1077</v>
      </c>
      <c r="B1078" s="2" t="s">
        <v>79</v>
      </c>
      <c r="C1078" s="2" t="s">
        <v>81</v>
      </c>
      <c r="D1078" s="2">
        <v>978.21782720275223</v>
      </c>
      <c r="E1078" s="2">
        <v>1095.0177140417509</v>
      </c>
      <c r="F1078" s="2">
        <v>512.40586321800947</v>
      </c>
      <c r="G1078" s="2">
        <v>276.18759147124365</v>
      </c>
      <c r="H1078" s="2">
        <v>26.454538524150848</v>
      </c>
      <c r="I1078" s="2">
        <v>0.84705129688838499</v>
      </c>
      <c r="J1078" s="2">
        <v>6</v>
      </c>
      <c r="K1078" s="2">
        <v>192.4751253350305</v>
      </c>
      <c r="L1078" s="2">
        <v>13245</v>
      </c>
      <c r="M1078" s="2">
        <v>1200</v>
      </c>
      <c r="N1078" s="2">
        <v>249.98396279789176</v>
      </c>
      <c r="O1078" s="2">
        <v>2504.1984662874993</v>
      </c>
      <c r="P1078" s="2">
        <v>978.21782720275223</v>
      </c>
      <c r="Q1078" s="2">
        <v>252.71108040669651</v>
      </c>
      <c r="R1078" s="2">
        <v>2515.8502588698102</v>
      </c>
      <c r="S1078" s="2">
        <v>961.03152124064434</v>
      </c>
      <c r="T1078" s="2">
        <v>2.7271176088047469</v>
      </c>
      <c r="U1078" s="2">
        <v>11.651792582310918</v>
      </c>
      <c r="V1078" s="2">
        <v>-17.186305962107895</v>
      </c>
    </row>
    <row r="1079" spans="1:22" ht="15">
      <c r="A1079" s="2">
        <v>1078</v>
      </c>
      <c r="B1079" s="2" t="s">
        <v>80</v>
      </c>
      <c r="C1079" s="2" t="s">
        <v>81</v>
      </c>
      <c r="D1079" s="2">
        <v>976.5901283477433</v>
      </c>
      <c r="E1079" s="2">
        <v>898.12563450541347</v>
      </c>
      <c r="F1079" s="2">
        <v>611.67341889813542</v>
      </c>
      <c r="G1079" s="2">
        <v>106.26163000240922</v>
      </c>
      <c r="H1079" s="2">
        <v>25.485314300749451</v>
      </c>
      <c r="I1079" s="2">
        <v>0.79629984212573623</v>
      </c>
      <c r="J1079" s="2">
        <v>7</v>
      </c>
      <c r="K1079" s="2">
        <v>175.20143556203277</v>
      </c>
      <c r="L1079" s="2">
        <v>13235</v>
      </c>
      <c r="M1079" s="2">
        <v>1200</v>
      </c>
      <c r="N1079" s="2">
        <v>250.03287740435303</v>
      </c>
      <c r="O1079" s="2">
        <v>2504.2074124502428</v>
      </c>
      <c r="P1079" s="2">
        <v>976.5901283477433</v>
      </c>
      <c r="Q1079" s="2">
        <v>250.17112921550373</v>
      </c>
      <c r="R1079" s="2">
        <v>2469.247474742052</v>
      </c>
      <c r="S1079" s="2">
        <v>971.80599463229794</v>
      </c>
      <c r="T1079" s="2">
        <v>0.1382518111506954</v>
      </c>
      <c r="U1079" s="2">
        <v>-34.959937708190864</v>
      </c>
      <c r="V1079" s="2">
        <v>-4.784133715445364</v>
      </c>
    </row>
    <row r="1080" spans="1:22" ht="15">
      <c r="A1080" s="2">
        <v>1079</v>
      </c>
      <c r="B1080" s="2" t="s">
        <v>80</v>
      </c>
      <c r="C1080" s="2" t="s">
        <v>81</v>
      </c>
      <c r="D1080" s="2">
        <v>1009.0484329732135</v>
      </c>
      <c r="E1080" s="2">
        <v>1155.988047842402</v>
      </c>
      <c r="F1080" s="2">
        <v>632.32557326555252</v>
      </c>
      <c r="G1080" s="2">
        <v>123.29189559211954</v>
      </c>
      <c r="H1080" s="2">
        <v>8.1344170076772571</v>
      </c>
      <c r="I1080" s="2">
        <v>0.80801927078282465</v>
      </c>
      <c r="J1080" s="2">
        <v>7</v>
      </c>
      <c r="K1080" s="2">
        <v>178.39893348010798</v>
      </c>
      <c r="L1080" s="2">
        <v>11185</v>
      </c>
      <c r="M1080" s="2">
        <v>1195</v>
      </c>
      <c r="N1080" s="2">
        <v>249.94770394275201</v>
      </c>
      <c r="O1080" s="2">
        <v>2495.4864720420069</v>
      </c>
      <c r="P1080" s="2">
        <v>1009.0484329732135</v>
      </c>
      <c r="Q1080" s="2">
        <v>251.13471932201142</v>
      </c>
      <c r="R1080" s="2">
        <v>2531.2920699900501</v>
      </c>
      <c r="S1080" s="2">
        <v>1011.2302139221022</v>
      </c>
      <c r="T1080" s="2">
        <v>1.1870153792594067</v>
      </c>
      <c r="U1080" s="2">
        <v>35.805597948043214</v>
      </c>
      <c r="V1080" s="2">
        <v>2.1817809488886724</v>
      </c>
    </row>
    <row r="1081" spans="1:22" ht="15">
      <c r="A1081" s="2">
        <v>1080</v>
      </c>
      <c r="B1081" s="2" t="s">
        <v>80</v>
      </c>
      <c r="C1081" s="2" t="s">
        <v>81</v>
      </c>
      <c r="D1081" s="2">
        <v>998.1032929266803</v>
      </c>
      <c r="E1081" s="2">
        <v>899.29890660569072</v>
      </c>
      <c r="F1081" s="2">
        <v>421.36124288663268</v>
      </c>
      <c r="G1081" s="2">
        <v>247.02691337559372</v>
      </c>
      <c r="H1081" s="2">
        <v>10.816308294888586</v>
      </c>
      <c r="I1081" s="2">
        <v>0.84332105171866723</v>
      </c>
      <c r="J1081" s="2">
        <v>6</v>
      </c>
      <c r="K1081" s="2">
        <v>197.25648788453117</v>
      </c>
      <c r="L1081" s="2">
        <v>15915</v>
      </c>
      <c r="M1081" s="2">
        <v>1200</v>
      </c>
      <c r="N1081" s="2">
        <v>249.9966273019632</v>
      </c>
      <c r="O1081" s="2">
        <v>2502.6221313688857</v>
      </c>
      <c r="P1081" s="2">
        <v>998.1032929266803</v>
      </c>
      <c r="Q1081" s="2">
        <v>252.57861608047824</v>
      </c>
      <c r="R1081" s="2">
        <v>2544.7557671974087</v>
      </c>
      <c r="S1081" s="2">
        <v>1009.8872743201631</v>
      </c>
      <c r="T1081" s="2">
        <v>2.5819887785150399</v>
      </c>
      <c r="U1081" s="2">
        <v>42.133635828522984</v>
      </c>
      <c r="V1081" s="2">
        <v>11.783981393482804</v>
      </c>
    </row>
    <row r="1082" spans="1:22" ht="15">
      <c r="A1082" s="2">
        <v>1081</v>
      </c>
      <c r="B1082" s="2" t="s">
        <v>78</v>
      </c>
      <c r="C1082" s="2" t="s">
        <v>81</v>
      </c>
      <c r="D1082" s="2">
        <v>954.70667891204357</v>
      </c>
      <c r="E1082" s="2">
        <v>903.88048276072368</v>
      </c>
      <c r="F1082" s="2">
        <v>635.54552365094423</v>
      </c>
      <c r="G1082" s="2">
        <v>178.23892317945138</v>
      </c>
      <c r="H1082" s="2">
        <v>25.830759717151523</v>
      </c>
      <c r="I1082" s="2">
        <v>0.82980991331161935</v>
      </c>
      <c r="J1082" s="2">
        <v>6</v>
      </c>
      <c r="K1082" s="2">
        <v>191.752083538824</v>
      </c>
      <c r="L1082" s="2">
        <v>14525</v>
      </c>
      <c r="M1082" s="2">
        <v>1200</v>
      </c>
      <c r="N1082" s="2">
        <v>249.99043140740736</v>
      </c>
      <c r="O1082" s="2">
        <v>2503.3704609326878</v>
      </c>
      <c r="P1082" s="2">
        <v>954.70667891204357</v>
      </c>
      <c r="Q1082" s="2">
        <v>248.1727605277282</v>
      </c>
      <c r="R1082" s="2">
        <v>2490.1466093122003</v>
      </c>
      <c r="S1082" s="2">
        <v>950.77253552126979</v>
      </c>
      <c r="T1082" s="2">
        <v>-1.8176708796791559</v>
      </c>
      <c r="U1082" s="2">
        <v>-13.223851620487494</v>
      </c>
      <c r="V1082" s="2">
        <v>-3.9341433907737837</v>
      </c>
    </row>
    <row r="1083" spans="1:22" ht="15">
      <c r="A1083" s="2">
        <v>1082</v>
      </c>
      <c r="B1083" s="2" t="s">
        <v>78</v>
      </c>
      <c r="C1083" s="2" t="s">
        <v>81</v>
      </c>
      <c r="D1083" s="2">
        <v>1077.0460265339352</v>
      </c>
      <c r="E1083" s="2">
        <v>1131.8152426043525</v>
      </c>
      <c r="F1083" s="2">
        <v>670.08627215400338</v>
      </c>
      <c r="G1083" s="2">
        <v>140.36520726047456</v>
      </c>
      <c r="H1083" s="2">
        <v>26.095636647660285</v>
      </c>
      <c r="I1083" s="2">
        <v>0.80522322498727594</v>
      </c>
      <c r="J1083" s="2">
        <v>7</v>
      </c>
      <c r="K1083" s="2">
        <v>191.08206681284906</v>
      </c>
      <c r="L1083" s="2">
        <v>11010</v>
      </c>
      <c r="M1083" s="2">
        <v>1195</v>
      </c>
      <c r="N1083" s="2">
        <v>249.98383558351884</v>
      </c>
      <c r="O1083" s="2">
        <v>2495.6642133628734</v>
      </c>
      <c r="P1083" s="2">
        <v>1077.0460265339352</v>
      </c>
      <c r="Q1083" s="2">
        <v>248.59850850634004</v>
      </c>
      <c r="R1083" s="2">
        <v>2534.8345407174311</v>
      </c>
      <c r="S1083" s="2">
        <v>1056.7947961121743</v>
      </c>
      <c r="T1083" s="2">
        <v>-1.3853270771788004</v>
      </c>
      <c r="U1083" s="2">
        <v>39.170327354557685</v>
      </c>
      <c r="V1083" s="2">
        <v>-20.251230421760965</v>
      </c>
    </row>
    <row r="1084" spans="1:22" ht="15">
      <c r="A1084" s="2">
        <v>1083</v>
      </c>
      <c r="B1084" s="2" t="s">
        <v>78</v>
      </c>
      <c r="C1084" s="2" t="s">
        <v>81</v>
      </c>
      <c r="D1084" s="2">
        <v>1081.1620962573215</v>
      </c>
      <c r="E1084" s="2">
        <v>702.62596091488376</v>
      </c>
      <c r="F1084" s="2">
        <v>584.48371030390263</v>
      </c>
      <c r="G1084" s="2">
        <v>137.70049541024491</v>
      </c>
      <c r="H1084" s="2">
        <v>27.900296338833869</v>
      </c>
      <c r="I1084" s="2">
        <v>0.80259011360583832</v>
      </c>
      <c r="J1084" s="2">
        <v>7</v>
      </c>
      <c r="K1084" s="2">
        <v>192.44160302803496</v>
      </c>
      <c r="L1084" s="2">
        <v>15010</v>
      </c>
      <c r="M1084" s="2">
        <v>1200</v>
      </c>
      <c r="N1084" s="2">
        <v>250.00757734118474</v>
      </c>
      <c r="O1084" s="2">
        <v>2503.0941049419807</v>
      </c>
      <c r="P1084" s="2">
        <v>1081.1620962573215</v>
      </c>
      <c r="Q1084" s="2">
        <v>248.46807573747913</v>
      </c>
      <c r="R1084" s="2">
        <v>2492.5278827633292</v>
      </c>
      <c r="S1084" s="2">
        <v>1082.8608683222633</v>
      </c>
      <c r="T1084" s="2">
        <v>-1.5395016037056166</v>
      </c>
      <c r="U1084" s="2">
        <v>-10.566222178651515</v>
      </c>
      <c r="V1084" s="2">
        <v>1.6987720649417497</v>
      </c>
    </row>
    <row r="1085" spans="1:22" ht="15">
      <c r="A1085" s="2">
        <v>1084</v>
      </c>
      <c r="B1085" s="2" t="s">
        <v>78</v>
      </c>
      <c r="C1085" s="2" t="s">
        <v>81</v>
      </c>
      <c r="D1085" s="2">
        <v>988.70102058863267</v>
      </c>
      <c r="E1085" s="2">
        <v>607.39045548252761</v>
      </c>
      <c r="F1085" s="2">
        <v>658.52691484615207</v>
      </c>
      <c r="G1085" s="2">
        <v>115.85092525463551</v>
      </c>
      <c r="H1085" s="2">
        <v>14.193128954153508</v>
      </c>
      <c r="I1085" s="2">
        <v>0.84461879745125779</v>
      </c>
      <c r="J1085" s="2">
        <v>6</v>
      </c>
      <c r="K1085" s="2">
        <v>195.0980772967562</v>
      </c>
      <c r="L1085" s="2">
        <v>18055</v>
      </c>
      <c r="M1085" s="2">
        <v>1200</v>
      </c>
      <c r="N1085" s="2">
        <v>249.97749579804554</v>
      </c>
      <c r="O1085" s="2">
        <v>2501.6944710876419</v>
      </c>
      <c r="P1085" s="2">
        <v>988.70102058863267</v>
      </c>
      <c r="Q1085" s="2">
        <v>251.1963891134061</v>
      </c>
      <c r="R1085" s="2">
        <v>2453.5066793384058</v>
      </c>
      <c r="S1085" s="2">
        <v>996.7841527696952</v>
      </c>
      <c r="T1085" s="2">
        <v>1.2188933153605603</v>
      </c>
      <c r="U1085" s="2">
        <v>-48.187791749236112</v>
      </c>
      <c r="V1085" s="2">
        <v>8.0831321810625241</v>
      </c>
    </row>
    <row r="1086" spans="1:22" ht="15">
      <c r="A1086" s="2">
        <v>1085</v>
      </c>
      <c r="B1086" s="2" t="s">
        <v>78</v>
      </c>
      <c r="C1086" s="2" t="s">
        <v>81</v>
      </c>
      <c r="D1086" s="2">
        <v>1046.1372103076428</v>
      </c>
      <c r="E1086" s="2">
        <v>1143.3892753790133</v>
      </c>
      <c r="F1086" s="2">
        <v>618.9504211768508</v>
      </c>
      <c r="G1086" s="2">
        <v>326.39786669285968</v>
      </c>
      <c r="H1086" s="2">
        <v>27.190505441278219</v>
      </c>
      <c r="I1086" s="2">
        <v>0.80674635146046059</v>
      </c>
      <c r="J1086" s="2">
        <v>7</v>
      </c>
      <c r="K1086" s="2">
        <v>185.24803072309453</v>
      </c>
      <c r="L1086" s="2">
        <v>10240</v>
      </c>
      <c r="M1086" s="2">
        <v>1195</v>
      </c>
      <c r="N1086" s="2">
        <v>250.03437510516372</v>
      </c>
      <c r="O1086" s="2">
        <v>2496.5132967735867</v>
      </c>
      <c r="P1086" s="2">
        <v>1046.1372103076428</v>
      </c>
      <c r="Q1086" s="2">
        <v>251.03869383363286</v>
      </c>
      <c r="R1086" s="2">
        <v>2499.2113204254169</v>
      </c>
      <c r="S1086" s="2">
        <v>1024.7962658135752</v>
      </c>
      <c r="T1086" s="2">
        <v>1.0043187284691442</v>
      </c>
      <c r="U1086" s="2">
        <v>2.6980236518302263</v>
      </c>
      <c r="V1086" s="2">
        <v>-21.340944494067571</v>
      </c>
    </row>
    <row r="1087" spans="1:22" ht="15">
      <c r="A1087" s="2">
        <v>1086</v>
      </c>
      <c r="B1087" s="2" t="s">
        <v>78</v>
      </c>
      <c r="C1087" s="2" t="s">
        <v>81</v>
      </c>
      <c r="D1087" s="2">
        <v>1022.4178891745396</v>
      </c>
      <c r="E1087" s="2">
        <v>913.68326793890446</v>
      </c>
      <c r="F1087" s="2">
        <v>654.62165372446179</v>
      </c>
      <c r="G1087" s="2">
        <v>112.87056181579828</v>
      </c>
      <c r="H1087" s="2">
        <v>23.921262266580015</v>
      </c>
      <c r="I1087" s="2">
        <v>0.82903382796328517</v>
      </c>
      <c r="J1087" s="2">
        <v>7</v>
      </c>
      <c r="K1087" s="2">
        <v>176.18062559924167</v>
      </c>
      <c r="L1087" s="2">
        <v>12720</v>
      </c>
      <c r="M1087" s="2">
        <v>1200</v>
      </c>
      <c r="N1087" s="2">
        <v>249.98597545367085</v>
      </c>
      <c r="O1087" s="2">
        <v>2504.5864587244287</v>
      </c>
      <c r="P1087" s="2">
        <v>1022.4178891745396</v>
      </c>
      <c r="Q1087" s="2">
        <v>251.36089599544178</v>
      </c>
      <c r="R1087" s="2">
        <v>2543.6050806057337</v>
      </c>
      <c r="S1087" s="2">
        <v>1019.1632455238257</v>
      </c>
      <c r="T1087" s="2">
        <v>1.3749205417709334</v>
      </c>
      <c r="U1087" s="2">
        <v>39.01862188130508</v>
      </c>
      <c r="V1087" s="2">
        <v>-3.2546436507138878</v>
      </c>
    </row>
    <row r="1088" spans="1:22" ht="15">
      <c r="A1088" s="2">
        <v>1087</v>
      </c>
      <c r="B1088" s="2" t="s">
        <v>78</v>
      </c>
      <c r="C1088" s="2" t="s">
        <v>81</v>
      </c>
      <c r="D1088" s="2">
        <v>1085.8693011337891</v>
      </c>
      <c r="E1088" s="2">
        <v>746.81297048227862</v>
      </c>
      <c r="F1088" s="2">
        <v>358.08381363749504</v>
      </c>
      <c r="G1088" s="2">
        <v>207.70133785670623</v>
      </c>
      <c r="H1088" s="2">
        <v>19.300337589345872</v>
      </c>
      <c r="I1088" s="2">
        <v>0.81424354972084989</v>
      </c>
      <c r="J1088" s="2">
        <v>7</v>
      </c>
      <c r="K1088" s="2">
        <v>190.5132511389711</v>
      </c>
      <c r="L1088" s="2">
        <v>16295</v>
      </c>
      <c r="M1088" s="2">
        <v>1200</v>
      </c>
      <c r="N1088" s="2">
        <v>250.03526620264836</v>
      </c>
      <c r="O1088" s="2">
        <v>2502.4408961876493</v>
      </c>
      <c r="P1088" s="2">
        <v>1085.8693011337891</v>
      </c>
      <c r="Q1088" s="2">
        <v>250.68381624089798</v>
      </c>
      <c r="R1088" s="2">
        <v>2444.1893216916151</v>
      </c>
      <c r="S1088" s="2">
        <v>1093.8160941303752</v>
      </c>
      <c r="T1088" s="2">
        <v>0.64855003824962409</v>
      </c>
      <c r="U1088" s="2">
        <v>-58.251574496034209</v>
      </c>
      <c r="V1088" s="2">
        <v>7.9467929965860549</v>
      </c>
    </row>
    <row r="1089" spans="1:22" ht="15">
      <c r="A1089" s="2">
        <v>1088</v>
      </c>
      <c r="B1089" s="2" t="s">
        <v>78</v>
      </c>
      <c r="C1089" s="2" t="s">
        <v>81</v>
      </c>
      <c r="D1089" s="2">
        <v>1077.0667174714617</v>
      </c>
      <c r="E1089" s="2">
        <v>874.34065006673336</v>
      </c>
      <c r="F1089" s="2">
        <v>703.22862258180976</v>
      </c>
      <c r="G1089" s="2">
        <v>309.64386001694947</v>
      </c>
      <c r="H1089" s="2">
        <v>8.4498301311396062</v>
      </c>
      <c r="I1089" s="2">
        <v>0.82402168813161558</v>
      </c>
      <c r="J1089" s="2">
        <v>7</v>
      </c>
      <c r="K1089" s="2">
        <v>186.72648565036121</v>
      </c>
      <c r="L1089" s="2">
        <v>11330</v>
      </c>
      <c r="M1089" s="2">
        <v>1195</v>
      </c>
      <c r="N1089" s="2">
        <v>249.9572612372472</v>
      </c>
      <c r="O1089" s="2">
        <v>2495.3450707333391</v>
      </c>
      <c r="P1089" s="2">
        <v>1077.0667174714617</v>
      </c>
      <c r="Q1089" s="2">
        <v>253.08285513636397</v>
      </c>
      <c r="R1089" s="2">
        <v>2522.7844866480491</v>
      </c>
      <c r="S1089" s="2">
        <v>1072.7038963103992</v>
      </c>
      <c r="T1089" s="2">
        <v>3.1255938991167795</v>
      </c>
      <c r="U1089" s="2">
        <v>27.439415914710025</v>
      </c>
      <c r="V1089" s="2">
        <v>-4.362821161062584</v>
      </c>
    </row>
    <row r="1090" spans="1:22" ht="15">
      <c r="A1090" s="2">
        <v>1089</v>
      </c>
      <c r="B1090" s="2" t="s">
        <v>78</v>
      </c>
      <c r="C1090" s="2" t="s">
        <v>81</v>
      </c>
      <c r="D1090" s="2">
        <v>968.05182127282023</v>
      </c>
      <c r="E1090" s="2">
        <v>787.2621271177195</v>
      </c>
      <c r="F1090" s="2">
        <v>562.66757193952799</v>
      </c>
      <c r="G1090" s="2">
        <v>195.38114497670904</v>
      </c>
      <c r="H1090" s="2">
        <v>17.623622784391046</v>
      </c>
      <c r="I1090" s="2">
        <v>0.84061853970633826</v>
      </c>
      <c r="J1090" s="2">
        <v>6</v>
      </c>
      <c r="K1090" s="2">
        <v>191.93244330359394</v>
      </c>
      <c r="L1090" s="2">
        <v>16145</v>
      </c>
      <c r="M1090" s="2">
        <v>1200</v>
      </c>
      <c r="N1090" s="2">
        <v>249.98979642077975</v>
      </c>
      <c r="O1090" s="2">
        <v>2502.5104829873912</v>
      </c>
      <c r="P1090" s="2">
        <v>968.05182127282023</v>
      </c>
      <c r="Q1090" s="2">
        <v>252.25468031061311</v>
      </c>
      <c r="R1090" s="2">
        <v>2523.0092528664932</v>
      </c>
      <c r="S1090" s="2">
        <v>972.62549065271605</v>
      </c>
      <c r="T1090" s="2">
        <v>2.2648838898333565</v>
      </c>
      <c r="U1090" s="2">
        <v>20.498769879101928</v>
      </c>
      <c r="V1090" s="2">
        <v>4.5736693798958186</v>
      </c>
    </row>
    <row r="1091" spans="1:22" ht="15">
      <c r="A1091" s="2">
        <v>1090</v>
      </c>
      <c r="B1091" s="2" t="s">
        <v>78</v>
      </c>
      <c r="C1091" s="2" t="s">
        <v>81</v>
      </c>
      <c r="D1091" s="2">
        <v>1043.2675806456245</v>
      </c>
      <c r="E1091" s="2">
        <v>622.03220122028142</v>
      </c>
      <c r="F1091" s="2">
        <v>536.57253617420793</v>
      </c>
      <c r="G1091" s="2">
        <v>295.75160161592066</v>
      </c>
      <c r="H1091" s="2">
        <v>29.445312552619725</v>
      </c>
      <c r="I1091" s="2">
        <v>0.8220413696626202</v>
      </c>
      <c r="J1091" s="2">
        <v>7</v>
      </c>
      <c r="K1091" s="2">
        <v>181.30258562009553</v>
      </c>
      <c r="L1091" s="2">
        <v>14705</v>
      </c>
      <c r="M1091" s="2">
        <v>1200</v>
      </c>
      <c r="N1091" s="2">
        <v>250.00656063657041</v>
      </c>
      <c r="O1091" s="2">
        <v>2503.2660991206471</v>
      </c>
      <c r="P1091" s="2">
        <v>1043.2675806456245</v>
      </c>
      <c r="Q1091" s="2">
        <v>248.81525120004</v>
      </c>
      <c r="R1091" s="2">
        <v>2439.1882565813303</v>
      </c>
      <c r="S1091" s="2">
        <v>1037.9642464460073</v>
      </c>
      <c r="T1091" s="2">
        <v>-1.1913094365304175</v>
      </c>
      <c r="U1091" s="2">
        <v>-64.077842539316862</v>
      </c>
      <c r="V1091" s="2">
        <v>-5.3033341996172112</v>
      </c>
    </row>
    <row r="1092" spans="1:22" ht="15">
      <c r="A1092" s="2">
        <v>1091</v>
      </c>
      <c r="B1092" s="2" t="s">
        <v>78</v>
      </c>
      <c r="C1092" s="2" t="s">
        <v>81</v>
      </c>
      <c r="D1092" s="2">
        <v>1028.3077653264627</v>
      </c>
      <c r="E1092" s="2">
        <v>896.79098032647744</v>
      </c>
      <c r="F1092" s="2">
        <v>694.59822289645672</v>
      </c>
      <c r="G1092" s="2">
        <v>112.12119609816</v>
      </c>
      <c r="H1092" s="2">
        <v>16.179800902493298</v>
      </c>
      <c r="I1092" s="2">
        <v>0.84819773928029463</v>
      </c>
      <c r="J1092" s="2">
        <v>7</v>
      </c>
      <c r="K1092" s="2">
        <v>173.19205478783647</v>
      </c>
      <c r="L1092" s="2">
        <v>12555</v>
      </c>
      <c r="M1092" s="2">
        <v>1200</v>
      </c>
      <c r="N1092" s="2">
        <v>250.02111342458798</v>
      </c>
      <c r="O1092" s="2">
        <v>2504.7164747365277</v>
      </c>
      <c r="P1092" s="2">
        <v>1028.3077653264627</v>
      </c>
      <c r="Q1092" s="2">
        <v>248.95319477292799</v>
      </c>
      <c r="R1092" s="2">
        <v>2462.6947393621058</v>
      </c>
      <c r="S1092" s="2">
        <v>1033.6618188132513</v>
      </c>
      <c r="T1092" s="2">
        <v>-1.0679186516599941</v>
      </c>
      <c r="U1092" s="2">
        <v>-42.021735374421951</v>
      </c>
      <c r="V1092" s="2">
        <v>5.3540534867886436</v>
      </c>
    </row>
    <row r="1093" spans="1:22" ht="15">
      <c r="A1093" s="2">
        <v>1092</v>
      </c>
      <c r="B1093" s="2" t="s">
        <v>78</v>
      </c>
      <c r="C1093" s="2" t="s">
        <v>81</v>
      </c>
      <c r="D1093" s="2">
        <v>1019.6555546834134</v>
      </c>
      <c r="E1093" s="2">
        <v>806.13495302386582</v>
      </c>
      <c r="F1093" s="2">
        <v>433.76998929306865</v>
      </c>
      <c r="G1093" s="2">
        <v>164.90952139254659</v>
      </c>
      <c r="H1093" s="2">
        <v>15.049937121104449</v>
      </c>
      <c r="I1093" s="2">
        <v>0.79566364204511053</v>
      </c>
      <c r="J1093" s="2">
        <v>7</v>
      </c>
      <c r="K1093" s="2">
        <v>183.07369036755492</v>
      </c>
      <c r="L1093" s="2">
        <v>15225</v>
      </c>
      <c r="M1093" s="2">
        <v>1200</v>
      </c>
      <c r="N1093" s="2">
        <v>250.02952423975921</v>
      </c>
      <c r="O1093" s="2">
        <v>2502.9777059561457</v>
      </c>
      <c r="P1093" s="2">
        <v>1019.6555546834134</v>
      </c>
      <c r="Q1093" s="2">
        <v>250.33853061797853</v>
      </c>
      <c r="R1093" s="2">
        <v>2499.5079705860862</v>
      </c>
      <c r="S1093" s="2">
        <v>1030.8804136069973</v>
      </c>
      <c r="T1093" s="2">
        <v>0.30900637821932264</v>
      </c>
      <c r="U1093" s="2">
        <v>-3.4697353700594249</v>
      </c>
      <c r="V1093" s="2">
        <v>11.224858923583952</v>
      </c>
    </row>
    <row r="1094" spans="1:22" ht="15">
      <c r="A1094" s="2">
        <v>1093</v>
      </c>
      <c r="B1094" s="2" t="s">
        <v>78</v>
      </c>
      <c r="C1094" s="2" t="s">
        <v>81</v>
      </c>
      <c r="D1094" s="2">
        <v>955.1547082606703</v>
      </c>
      <c r="E1094" s="2">
        <v>713.43708204803988</v>
      </c>
      <c r="F1094" s="2">
        <v>665.34781288355589</v>
      </c>
      <c r="G1094" s="2">
        <v>87.916993752587587</v>
      </c>
      <c r="H1094" s="2">
        <v>16.187785677611828</v>
      </c>
      <c r="I1094" s="2">
        <v>0.8572907525510528</v>
      </c>
      <c r="J1094" s="2">
        <v>6</v>
      </c>
      <c r="K1094" s="2">
        <v>185.69248636249375</v>
      </c>
      <c r="L1094" s="2">
        <v>17010</v>
      </c>
      <c r="M1094" s="2">
        <v>1200</v>
      </c>
      <c r="N1094" s="2">
        <v>249.98529434686952</v>
      </c>
      <c r="O1094" s="2">
        <v>2502.1182557437783</v>
      </c>
      <c r="P1094" s="2">
        <v>955.1547082606703</v>
      </c>
      <c r="Q1094" s="2">
        <v>248.32110954398681</v>
      </c>
      <c r="R1094" s="2">
        <v>2488.9801579030063</v>
      </c>
      <c r="S1094" s="2">
        <v>957.89487786571613</v>
      </c>
      <c r="T1094" s="2">
        <v>-1.6641848028827155</v>
      </c>
      <c r="U1094" s="2">
        <v>-13.138097840771934</v>
      </c>
      <c r="V1094" s="2">
        <v>2.7401696050458213</v>
      </c>
    </row>
    <row r="1095" spans="1:22" ht="15">
      <c r="A1095" s="2">
        <v>1094</v>
      </c>
      <c r="B1095" s="2" t="s">
        <v>78</v>
      </c>
      <c r="C1095" s="2" t="s">
        <v>81</v>
      </c>
      <c r="D1095" s="2">
        <v>1059.024725027848</v>
      </c>
      <c r="E1095" s="2">
        <v>885.2944236015901</v>
      </c>
      <c r="F1095" s="2">
        <v>506.23976560309529</v>
      </c>
      <c r="G1095" s="2">
        <v>261.41730083152652</v>
      </c>
      <c r="H1095" s="2">
        <v>24.868155910167843</v>
      </c>
      <c r="I1095" s="2">
        <v>0.84221321487333634</v>
      </c>
      <c r="J1095" s="2">
        <v>7</v>
      </c>
      <c r="K1095" s="2">
        <v>179.63295251227171</v>
      </c>
      <c r="L1095" s="2">
        <v>12940</v>
      </c>
      <c r="M1095" s="2">
        <v>1200</v>
      </c>
      <c r="N1095" s="2">
        <v>250.04023087472206</v>
      </c>
      <c r="O1095" s="2">
        <v>2504.422161213799</v>
      </c>
      <c r="P1095" s="2">
        <v>1059.024725027848</v>
      </c>
      <c r="Q1095" s="2">
        <v>249.32057610513502</v>
      </c>
      <c r="R1095" s="2">
        <v>2463.9853154056605</v>
      </c>
      <c r="S1095" s="2">
        <v>1048.1317568785184</v>
      </c>
      <c r="T1095" s="2">
        <v>-0.71965476958703789</v>
      </c>
      <c r="U1095" s="2">
        <v>-40.436845808138514</v>
      </c>
      <c r="V1095" s="2">
        <v>-10.89296814932959</v>
      </c>
    </row>
    <row r="1096" spans="1:22" ht="15">
      <c r="A1096" s="2">
        <v>1095</v>
      </c>
      <c r="B1096" s="2" t="s">
        <v>79</v>
      </c>
      <c r="C1096" s="2" t="s">
        <v>81</v>
      </c>
      <c r="D1096" s="2">
        <v>1055.9505260782316</v>
      </c>
      <c r="E1096" s="2">
        <v>967.59911255212501</v>
      </c>
      <c r="F1096" s="2">
        <v>698.47077429294586</v>
      </c>
      <c r="G1096" s="2">
        <v>86.254471780266613</v>
      </c>
      <c r="H1096" s="2">
        <v>10.961819651536644</v>
      </c>
      <c r="I1096" s="2">
        <v>0.80288308456307278</v>
      </c>
      <c r="J1096" s="2">
        <v>7</v>
      </c>
      <c r="K1096" s="2">
        <v>187.88548177736908</v>
      </c>
      <c r="L1096" s="2">
        <v>12205</v>
      </c>
      <c r="M1096" s="2">
        <v>1200</v>
      </c>
      <c r="N1096" s="2">
        <v>250.01568657573699</v>
      </c>
      <c r="O1096" s="2">
        <v>2505.0006305564293</v>
      </c>
      <c r="P1096" s="2">
        <v>1055.9505260782316</v>
      </c>
      <c r="Q1096" s="2">
        <v>250.38286843964988</v>
      </c>
      <c r="R1096" s="2">
        <v>2508.8249803829976</v>
      </c>
      <c r="S1096" s="2">
        <v>1063.8243208716362</v>
      </c>
      <c r="T1096" s="2">
        <v>0.36718186391289009</v>
      </c>
      <c r="U1096" s="2">
        <v>3.8243498265683229</v>
      </c>
      <c r="V1096" s="2">
        <v>7.8737947934046133</v>
      </c>
    </row>
    <row r="1097" spans="1:22" ht="15">
      <c r="A1097" s="2">
        <v>1096</v>
      </c>
      <c r="B1097" s="2" t="s">
        <v>79</v>
      </c>
      <c r="C1097" s="2" t="s">
        <v>81</v>
      </c>
      <c r="D1097" s="2">
        <v>985.26305825216696</v>
      </c>
      <c r="E1097" s="2">
        <v>935.60533123090863</v>
      </c>
      <c r="F1097" s="2">
        <v>729.94542187079787</v>
      </c>
      <c r="G1097" s="2">
        <v>297.35417435411364</v>
      </c>
      <c r="H1097" s="2">
        <v>9.4153721309266984</v>
      </c>
      <c r="I1097" s="2">
        <v>0.83292185598053048</v>
      </c>
      <c r="J1097" s="2">
        <v>6</v>
      </c>
      <c r="K1097" s="2">
        <v>197.14995894228633</v>
      </c>
      <c r="L1097" s="2">
        <v>12710</v>
      </c>
      <c r="M1097" s="2">
        <v>1200</v>
      </c>
      <c r="N1097" s="2">
        <v>249.98444444336619</v>
      </c>
      <c r="O1097" s="2">
        <v>2504.5941104260332</v>
      </c>
      <c r="P1097" s="2">
        <v>985.26305825216696</v>
      </c>
      <c r="Q1097" s="2">
        <v>256.19660399339409</v>
      </c>
      <c r="R1097" s="2">
        <v>2491.6450199127466</v>
      </c>
      <c r="S1097" s="2">
        <v>988.63851850830099</v>
      </c>
      <c r="T1097" s="2">
        <v>6.2121595500279057</v>
      </c>
      <c r="U1097" s="2">
        <v>-12.949090513286592</v>
      </c>
      <c r="V1097" s="2">
        <v>3.3754602561340334</v>
      </c>
    </row>
    <row r="1098" spans="1:22" ht="15">
      <c r="A1098" s="2">
        <v>1097</v>
      </c>
      <c r="B1098" s="2" t="s">
        <v>79</v>
      </c>
      <c r="C1098" s="2" t="s">
        <v>81</v>
      </c>
      <c r="D1098" s="2">
        <v>1045.6349844112992</v>
      </c>
      <c r="E1098" s="2">
        <v>1067.2954596928321</v>
      </c>
      <c r="F1098" s="2">
        <v>367.53193456679583</v>
      </c>
      <c r="G1098" s="2">
        <v>103.63249059999362</v>
      </c>
      <c r="H1098" s="2">
        <v>23.878099387511611</v>
      </c>
      <c r="I1098" s="2">
        <v>0.84910702371271329</v>
      </c>
      <c r="J1098" s="2">
        <v>7</v>
      </c>
      <c r="K1098" s="2">
        <v>175.92178862368158</v>
      </c>
      <c r="L1098" s="2">
        <v>13900</v>
      </c>
      <c r="M1098" s="2">
        <v>1200</v>
      </c>
      <c r="N1098" s="2">
        <v>249.98639743727563</v>
      </c>
      <c r="O1098" s="2">
        <v>2503.7556826817449</v>
      </c>
      <c r="P1098" s="2">
        <v>1045.6349844112992</v>
      </c>
      <c r="Q1098" s="2">
        <v>251.12414351364149</v>
      </c>
      <c r="R1098" s="2">
        <v>2554.5301008647866</v>
      </c>
      <c r="S1098" s="2">
        <v>1037.2806169032374</v>
      </c>
      <c r="T1098" s="2">
        <v>1.1377460763658576</v>
      </c>
      <c r="U1098" s="2">
        <v>50.774418183041689</v>
      </c>
      <c r="V1098" s="2">
        <v>-8.3543675080618414</v>
      </c>
    </row>
    <row r="1099" spans="1:22" ht="15">
      <c r="A1099" s="2">
        <v>1098</v>
      </c>
      <c r="B1099" s="2" t="s">
        <v>80</v>
      </c>
      <c r="C1099" s="2" t="s">
        <v>81</v>
      </c>
      <c r="D1099" s="2">
        <v>997.91773637989536</v>
      </c>
      <c r="E1099" s="2">
        <v>840.75107874814421</v>
      </c>
      <c r="F1099" s="2">
        <v>530.18303820863366</v>
      </c>
      <c r="G1099" s="2">
        <v>121.31338442675769</v>
      </c>
      <c r="H1099" s="2">
        <v>27.38023490132764</v>
      </c>
      <c r="I1099" s="2">
        <v>0.80493108842987571</v>
      </c>
      <c r="J1099" s="2">
        <v>7</v>
      </c>
      <c r="K1099" s="2">
        <v>177.10792721868998</v>
      </c>
      <c r="L1099" s="2">
        <v>14330</v>
      </c>
      <c r="M1099" s="2">
        <v>1200</v>
      </c>
      <c r="N1099" s="2">
        <v>249.97843905790313</v>
      </c>
      <c r="O1099" s="2">
        <v>2503.4866711550535</v>
      </c>
      <c r="P1099" s="2">
        <v>997.91773637989536</v>
      </c>
      <c r="Q1099" s="2">
        <v>248.04271129868008</v>
      </c>
      <c r="R1099" s="2">
        <v>2496.299247492675</v>
      </c>
      <c r="S1099" s="2">
        <v>992.01511306283044</v>
      </c>
      <c r="T1099" s="2">
        <v>-1.935727759223056</v>
      </c>
      <c r="U1099" s="2">
        <v>-7.1874236623784782</v>
      </c>
      <c r="V1099" s="2">
        <v>-5.902623317064922</v>
      </c>
    </row>
    <row r="1100" spans="1:22" ht="15">
      <c r="A1100" s="2">
        <v>1099</v>
      </c>
      <c r="B1100" s="2" t="s">
        <v>80</v>
      </c>
      <c r="C1100" s="2" t="s">
        <v>81</v>
      </c>
      <c r="D1100" s="2">
        <v>1098.0804274557158</v>
      </c>
      <c r="E1100" s="2">
        <v>638.6573257506825</v>
      </c>
      <c r="F1100" s="2">
        <v>435.28574593365192</v>
      </c>
      <c r="G1100" s="2">
        <v>299.17337569175288</v>
      </c>
      <c r="H1100" s="2">
        <v>18.752747119404376</v>
      </c>
      <c r="I1100" s="2">
        <v>0.82688497899798685</v>
      </c>
      <c r="J1100" s="2">
        <v>7</v>
      </c>
      <c r="K1100" s="2">
        <v>189.71034240308239</v>
      </c>
      <c r="L1100" s="2">
        <v>15575</v>
      </c>
      <c r="M1100" s="2">
        <v>1200</v>
      </c>
      <c r="N1100" s="2">
        <v>250.00607358585023</v>
      </c>
      <c r="O1100" s="2">
        <v>2502.7931854634658</v>
      </c>
      <c r="P1100" s="2">
        <v>1098.0804274557158</v>
      </c>
      <c r="Q1100" s="2">
        <v>248.94213095235187</v>
      </c>
      <c r="R1100" s="2">
        <v>2478.56144672134</v>
      </c>
      <c r="S1100" s="2">
        <v>1099.5378202416302</v>
      </c>
      <c r="T1100" s="2">
        <v>-1.0639426334983568</v>
      </c>
      <c r="U1100" s="2">
        <v>-24.231738742125799</v>
      </c>
      <c r="V1100" s="2">
        <v>1.4573927859144078</v>
      </c>
    </row>
    <row r="1101" spans="1:22" ht="15">
      <c r="A1101" s="2">
        <v>1100</v>
      </c>
      <c r="B1101" s="2" t="s">
        <v>80</v>
      </c>
      <c r="C1101" s="2" t="s">
        <v>81</v>
      </c>
      <c r="D1101" s="2">
        <v>1047.3926628357731</v>
      </c>
      <c r="E1101" s="2">
        <v>849.23994815908372</v>
      </c>
      <c r="F1101" s="2">
        <v>675.01764995977283</v>
      </c>
      <c r="G1101" s="2">
        <v>141.39154999982566</v>
      </c>
      <c r="H1101" s="2">
        <v>14.93267986504361</v>
      </c>
      <c r="I1101" s="2">
        <v>0.81591863628476857</v>
      </c>
      <c r="J1101" s="2">
        <v>7</v>
      </c>
      <c r="K1101" s="2">
        <v>183.3853482542969</v>
      </c>
      <c r="L1101" s="2">
        <v>12840</v>
      </c>
      <c r="M1101" s="2">
        <v>1200</v>
      </c>
      <c r="N1101" s="2">
        <v>250.0136176903514</v>
      </c>
      <c r="O1101" s="2">
        <v>2504.4960768210285</v>
      </c>
      <c r="P1101" s="2">
        <v>1047.3926628357731</v>
      </c>
      <c r="Q1101" s="2">
        <v>252.10180622200406</v>
      </c>
      <c r="R1101" s="2">
        <v>2480.8792149031451</v>
      </c>
      <c r="S1101" s="2">
        <v>1048.8635152425707</v>
      </c>
      <c r="T1101" s="2">
        <v>2.088188531652662</v>
      </c>
      <c r="U1101" s="2">
        <v>-23.616861917883398</v>
      </c>
      <c r="V1101" s="2">
        <v>1.4708524067975759</v>
      </c>
    </row>
    <row r="1102" spans="1:22" ht="15">
      <c r="A1102" s="2">
        <v>1101</v>
      </c>
      <c r="B1102" s="2" t="s">
        <v>78</v>
      </c>
      <c r="C1102" s="2" t="s">
        <v>81</v>
      </c>
      <c r="D1102" s="2">
        <v>1008.4097215440124</v>
      </c>
      <c r="E1102" s="2">
        <v>717.70738725317642</v>
      </c>
      <c r="F1102" s="2">
        <v>437.51493897289038</v>
      </c>
      <c r="G1102" s="2">
        <v>141.38814968289807</v>
      </c>
      <c r="H1102" s="2">
        <v>22.860376883298159</v>
      </c>
      <c r="I1102" s="2">
        <v>0.84098916858667516</v>
      </c>
      <c r="J1102" s="2">
        <v>6</v>
      </c>
      <c r="K1102" s="2">
        <v>199.84595902281279</v>
      </c>
      <c r="L1102" s="2">
        <v>19245</v>
      </c>
      <c r="M1102" s="2">
        <v>1200</v>
      </c>
      <c r="N1102" s="2">
        <v>250.03216473700991</v>
      </c>
      <c r="O1102" s="2">
        <v>2501.2695676305948</v>
      </c>
      <c r="P1102" s="2">
        <v>1008.4097215440124</v>
      </c>
      <c r="Q1102" s="2">
        <v>244.75428122831153</v>
      </c>
      <c r="R1102" s="2">
        <v>2519.3543926574412</v>
      </c>
      <c r="S1102" s="2">
        <v>1010.7171023493516</v>
      </c>
      <c r="T1102" s="2">
        <v>-5.2778835086983804</v>
      </c>
      <c r="U1102" s="2">
        <v>18.084825026846374</v>
      </c>
      <c r="V1102" s="2">
        <v>2.3073808053392213</v>
      </c>
    </row>
    <row r="1103" spans="1:22" ht="15">
      <c r="A1103" s="2">
        <v>1102</v>
      </c>
      <c r="B1103" s="2" t="s">
        <v>78</v>
      </c>
      <c r="C1103" s="2" t="s">
        <v>81</v>
      </c>
      <c r="D1103" s="2">
        <v>1004.5513333869167</v>
      </c>
      <c r="E1103" s="2">
        <v>789.00289803277701</v>
      </c>
      <c r="F1103" s="2">
        <v>474.48750184848905</v>
      </c>
      <c r="G1103" s="2">
        <v>238.40096585452557</v>
      </c>
      <c r="H1103" s="2">
        <v>23.550127769354731</v>
      </c>
      <c r="I1103" s="2">
        <v>0.82060521095525474</v>
      </c>
      <c r="J1103" s="2">
        <v>7</v>
      </c>
      <c r="K1103" s="2">
        <v>174.87987088691926</v>
      </c>
      <c r="L1103" s="2">
        <v>14240</v>
      </c>
      <c r="M1103" s="2">
        <v>1200</v>
      </c>
      <c r="N1103" s="2">
        <v>250.0137405186575</v>
      </c>
      <c r="O1103" s="2">
        <v>2503.5428100182212</v>
      </c>
      <c r="P1103" s="2">
        <v>1004.5513333869167</v>
      </c>
      <c r="Q1103" s="2">
        <v>247.59376065742879</v>
      </c>
      <c r="R1103" s="2">
        <v>2501.5597289935836</v>
      </c>
      <c r="S1103" s="2">
        <v>997.54814839156745</v>
      </c>
      <c r="T1103" s="2">
        <v>-2.4199798612287111</v>
      </c>
      <c r="U1103" s="2">
        <v>-1.9830810246376132</v>
      </c>
      <c r="V1103" s="2">
        <v>-7.0031849953492156</v>
      </c>
    </row>
    <row r="1104" spans="1:22" ht="15">
      <c r="A1104" s="2">
        <v>1103</v>
      </c>
      <c r="B1104" s="2" t="s">
        <v>78</v>
      </c>
      <c r="C1104" s="2" t="s">
        <v>81</v>
      </c>
      <c r="D1104" s="2">
        <v>980.60640452895314</v>
      </c>
      <c r="E1104" s="2">
        <v>863.93792378949001</v>
      </c>
      <c r="F1104" s="2">
        <v>550.63992813229561</v>
      </c>
      <c r="G1104" s="2">
        <v>249.25099905347452</v>
      </c>
      <c r="H1104" s="2">
        <v>14.88305005338043</v>
      </c>
      <c r="I1104" s="2">
        <v>0.81572054056217902</v>
      </c>
      <c r="J1104" s="2">
        <v>7</v>
      </c>
      <c r="K1104" s="2">
        <v>171.73360514113921</v>
      </c>
      <c r="L1104" s="2">
        <v>12855</v>
      </c>
      <c r="M1104" s="2">
        <v>1200</v>
      </c>
      <c r="N1104" s="2">
        <v>250.03214265024749</v>
      </c>
      <c r="O1104" s="2">
        <v>2504.4854805072969</v>
      </c>
      <c r="P1104" s="2">
        <v>980.60640452895314</v>
      </c>
      <c r="Q1104" s="2">
        <v>249.0961319588892</v>
      </c>
      <c r="R1104" s="2">
        <v>2531.0590026441328</v>
      </c>
      <c r="S1104" s="2">
        <v>978.8435617191559</v>
      </c>
      <c r="T1104" s="2">
        <v>-0.93601069135829107</v>
      </c>
      <c r="U1104" s="2">
        <v>26.573522136835891</v>
      </c>
      <c r="V1104" s="2">
        <v>-1.7628428097972346</v>
      </c>
    </row>
    <row r="1105" spans="1:22" ht="15">
      <c r="A1105" s="2">
        <v>1104</v>
      </c>
      <c r="B1105" s="2" t="s">
        <v>78</v>
      </c>
      <c r="C1105" s="2" t="s">
        <v>81</v>
      </c>
      <c r="D1105" s="2">
        <v>973.25412480859086</v>
      </c>
      <c r="E1105" s="2">
        <v>849.1979343816638</v>
      </c>
      <c r="F1105" s="2">
        <v>439.33589002117515</v>
      </c>
      <c r="G1105" s="2">
        <v>277.97792856115848</v>
      </c>
      <c r="H1105" s="2">
        <v>9.8088624863885343</v>
      </c>
      <c r="I1105" s="2">
        <v>0.80280252679251141</v>
      </c>
      <c r="J1105" s="2">
        <v>7</v>
      </c>
      <c r="K1105" s="2">
        <v>173.18867206308519</v>
      </c>
      <c r="L1105" s="2">
        <v>13650</v>
      </c>
      <c r="M1105" s="2">
        <v>1200</v>
      </c>
      <c r="N1105" s="2">
        <v>249.96614494892842</v>
      </c>
      <c r="O1105" s="2">
        <v>2503.9189782163539</v>
      </c>
      <c r="P1105" s="2">
        <v>973.25412480859086</v>
      </c>
      <c r="Q1105" s="2">
        <v>251.91862327168812</v>
      </c>
      <c r="R1105" s="2">
        <v>2524.466518421234</v>
      </c>
      <c r="S1105" s="2">
        <v>977.2175851016525</v>
      </c>
      <c r="T1105" s="2">
        <v>1.9524783227597027</v>
      </c>
      <c r="U1105" s="2">
        <v>20.547540204880079</v>
      </c>
      <c r="V1105" s="2">
        <v>3.9634602930616438</v>
      </c>
    </row>
    <row r="1106" spans="1:22" ht="15">
      <c r="A1106" s="2">
        <v>1105</v>
      </c>
      <c r="B1106" s="2" t="s">
        <v>78</v>
      </c>
      <c r="C1106" s="2" t="s">
        <v>81</v>
      </c>
      <c r="D1106" s="2">
        <v>1000.005664024502</v>
      </c>
      <c r="E1106" s="2">
        <v>1091.0558474599384</v>
      </c>
      <c r="F1106" s="2">
        <v>681.03842232376337</v>
      </c>
      <c r="G1106" s="2">
        <v>220.21603210130706</v>
      </c>
      <c r="H1106" s="2">
        <v>21.186837079003453</v>
      </c>
      <c r="I1106" s="2">
        <v>0.81285316608147695</v>
      </c>
      <c r="J1106" s="2">
        <v>7</v>
      </c>
      <c r="K1106" s="2">
        <v>175.74877968695864</v>
      </c>
      <c r="L1106" s="2">
        <v>10735</v>
      </c>
      <c r="M1106" s="2">
        <v>1195</v>
      </c>
      <c r="N1106" s="2">
        <v>250.0198918124174</v>
      </c>
      <c r="O1106" s="2">
        <v>2495.9543132429603</v>
      </c>
      <c r="P1106" s="2">
        <v>1000.005664024502</v>
      </c>
      <c r="Q1106" s="2">
        <v>248.62150415460272</v>
      </c>
      <c r="R1106" s="2">
        <v>2532.9454401206631</v>
      </c>
      <c r="S1106" s="2">
        <v>994.33055553732959</v>
      </c>
      <c r="T1106" s="2">
        <v>-1.3983876578146806</v>
      </c>
      <c r="U1106" s="2">
        <v>36.991126877702754</v>
      </c>
      <c r="V1106" s="2">
        <v>-5.6751084871724515</v>
      </c>
    </row>
    <row r="1107" spans="1:22" ht="15">
      <c r="A1107" s="2">
        <v>1106</v>
      </c>
      <c r="B1107" s="2" t="s">
        <v>78</v>
      </c>
      <c r="C1107" s="2" t="s">
        <v>81</v>
      </c>
      <c r="D1107" s="2">
        <v>1087.4742883839644</v>
      </c>
      <c r="E1107" s="2">
        <v>926.22422885615379</v>
      </c>
      <c r="F1107" s="2">
        <v>650.29598260298371</v>
      </c>
      <c r="G1107" s="2">
        <v>245.54338787682354</v>
      </c>
      <c r="H1107" s="2">
        <v>22.671594337094575</v>
      </c>
      <c r="I1107" s="2">
        <v>0.81786460647825154</v>
      </c>
      <c r="J1107" s="2">
        <v>7</v>
      </c>
      <c r="K1107" s="2">
        <v>189.950107314332</v>
      </c>
      <c r="L1107" s="2">
        <v>11735</v>
      </c>
      <c r="M1107" s="2">
        <v>1195</v>
      </c>
      <c r="N1107" s="2">
        <v>249.95517813216463</v>
      </c>
      <c r="O1107" s="2">
        <v>2494.9674024718524</v>
      </c>
      <c r="P1107" s="2">
        <v>1087.4742883839644</v>
      </c>
      <c r="Q1107" s="2">
        <v>251.56871566748958</v>
      </c>
      <c r="R1107" s="2">
        <v>2472.3578459395721</v>
      </c>
      <c r="S1107" s="2">
        <v>1073.3250572581815</v>
      </c>
      <c r="T1107" s="2">
        <v>1.6135375353249515</v>
      </c>
      <c r="U1107" s="2">
        <v>-22.609556532280294</v>
      </c>
      <c r="V1107" s="2">
        <v>-14.14923112578299</v>
      </c>
    </row>
    <row r="1108" spans="1:22" ht="15">
      <c r="A1108" s="2">
        <v>1107</v>
      </c>
      <c r="B1108" s="2" t="s">
        <v>78</v>
      </c>
      <c r="C1108" s="2" t="s">
        <v>81</v>
      </c>
      <c r="D1108" s="2">
        <v>971.69031442608684</v>
      </c>
      <c r="E1108" s="2">
        <v>626.13120522582904</v>
      </c>
      <c r="F1108" s="2">
        <v>440.96781872212887</v>
      </c>
      <c r="G1108" s="2">
        <v>269.30352543247864</v>
      </c>
      <c r="H1108" s="2">
        <v>8.8524990947917104</v>
      </c>
      <c r="I1108" s="2">
        <v>0.82579307955456904</v>
      </c>
      <c r="J1108" s="2">
        <v>6</v>
      </c>
      <c r="K1108" s="2">
        <v>196.11254895116795</v>
      </c>
      <c r="L1108" s="2">
        <v>18670</v>
      </c>
      <c r="M1108" s="2">
        <v>1200</v>
      </c>
      <c r="N1108" s="2">
        <v>250.00553364810924</v>
      </c>
      <c r="O1108" s="2">
        <v>2501.4681141603878</v>
      </c>
      <c r="P1108" s="2">
        <v>971.69031442608684</v>
      </c>
      <c r="Q1108" s="2">
        <v>249.04065330218393</v>
      </c>
      <c r="R1108" s="2">
        <v>2496.6802762637999</v>
      </c>
      <c r="S1108" s="2">
        <v>979.89088646336859</v>
      </c>
      <c r="T1108" s="2">
        <v>-0.9648803459253088</v>
      </c>
      <c r="U1108" s="2">
        <v>-4.7878378965879165</v>
      </c>
      <c r="V1108" s="2">
        <v>8.200572037281745</v>
      </c>
    </row>
    <row r="1109" spans="1:22" ht="15">
      <c r="A1109" s="2">
        <v>1108</v>
      </c>
      <c r="B1109" s="2" t="s">
        <v>78</v>
      </c>
      <c r="C1109" s="2" t="s">
        <v>81</v>
      </c>
      <c r="D1109" s="2">
        <v>1005.4865447222255</v>
      </c>
      <c r="E1109" s="2">
        <v>713.81048620678484</v>
      </c>
      <c r="F1109" s="2">
        <v>351.84463439509273</v>
      </c>
      <c r="G1109" s="2">
        <v>164.05855053570122</v>
      </c>
      <c r="H1109" s="2">
        <v>18.370573952328414</v>
      </c>
      <c r="I1109" s="2">
        <v>0.80527748363092544</v>
      </c>
      <c r="J1109" s="2">
        <v>7</v>
      </c>
      <c r="K1109" s="2">
        <v>178.37445834528191</v>
      </c>
      <c r="L1109" s="2">
        <v>17390</v>
      </c>
      <c r="M1109" s="2">
        <v>1200</v>
      </c>
      <c r="N1109" s="2">
        <v>249.98770049281947</v>
      </c>
      <c r="O1109" s="2">
        <v>2501.9584092224263</v>
      </c>
      <c r="P1109" s="2">
        <v>1005.4865447222255</v>
      </c>
      <c r="Q1109" s="2">
        <v>247.83430713446322</v>
      </c>
      <c r="R1109" s="2">
        <v>2464.0423177758425</v>
      </c>
      <c r="S1109" s="2">
        <v>1020.2630125540662</v>
      </c>
      <c r="T1109" s="2">
        <v>-2.1533933583562543</v>
      </c>
      <c r="U1109" s="2">
        <v>-37.916091446583778</v>
      </c>
      <c r="V1109" s="2">
        <v>14.776467831840705</v>
      </c>
    </row>
    <row r="1110" spans="1:22" ht="15">
      <c r="A1110" s="2">
        <v>1109</v>
      </c>
      <c r="B1110" s="2" t="s">
        <v>78</v>
      </c>
      <c r="C1110" s="2" t="s">
        <v>81</v>
      </c>
      <c r="D1110" s="2">
        <v>975.29836450703442</v>
      </c>
      <c r="E1110" s="2">
        <v>1230.8954920503311</v>
      </c>
      <c r="F1110" s="2">
        <v>456.06108289211988</v>
      </c>
      <c r="G1110" s="2">
        <v>216.51762186782435</v>
      </c>
      <c r="H1110" s="2">
        <v>12.712974950671196</v>
      </c>
      <c r="I1110" s="2">
        <v>0.85943764982977888</v>
      </c>
      <c r="J1110" s="2">
        <v>6</v>
      </c>
      <c r="K1110" s="2">
        <v>189.13498547571643</v>
      </c>
      <c r="L1110" s="2">
        <v>13110</v>
      </c>
      <c r="M1110" s="2">
        <v>1200</v>
      </c>
      <c r="N1110" s="2">
        <v>250.04489551631343</v>
      </c>
      <c r="O1110" s="2">
        <v>2504.2975748524041</v>
      </c>
      <c r="P1110" s="2">
        <v>975.29836450703442</v>
      </c>
      <c r="Q1110" s="2">
        <v>250.78588070867895</v>
      </c>
      <c r="R1110" s="2">
        <v>2516.3472300966878</v>
      </c>
      <c r="S1110" s="2">
        <v>977.35535706445341</v>
      </c>
      <c r="T1110" s="2">
        <v>0.74098519236551397</v>
      </c>
      <c r="U1110" s="2">
        <v>12.049655244283713</v>
      </c>
      <c r="V1110" s="2">
        <v>2.0569925574189938</v>
      </c>
    </row>
    <row r="1111" spans="1:22" ht="15">
      <c r="A1111" s="2">
        <v>1110</v>
      </c>
      <c r="B1111" s="2" t="s">
        <v>78</v>
      </c>
      <c r="C1111" s="2" t="s">
        <v>81</v>
      </c>
      <c r="D1111" s="2">
        <v>996.58116075443104</v>
      </c>
      <c r="E1111" s="2">
        <v>998.73151609208435</v>
      </c>
      <c r="F1111" s="2">
        <v>737.85683633759618</v>
      </c>
      <c r="G1111" s="2">
        <v>264.33251651003957</v>
      </c>
      <c r="H1111" s="2">
        <v>20.413356280419976</v>
      </c>
      <c r="I1111" s="2">
        <v>0.83154233192559335</v>
      </c>
      <c r="J1111" s="2">
        <v>6</v>
      </c>
      <c r="K1111" s="2">
        <v>199.745525571873</v>
      </c>
      <c r="L1111" s="2">
        <v>12470</v>
      </c>
      <c r="M1111" s="2">
        <v>1200</v>
      </c>
      <c r="N1111" s="2">
        <v>250.01443155949048</v>
      </c>
      <c r="O1111" s="2">
        <v>2504.7837947676612</v>
      </c>
      <c r="P1111" s="2">
        <v>996.58116075443104</v>
      </c>
      <c r="Q1111" s="2">
        <v>250.87160853353595</v>
      </c>
      <c r="R1111" s="2">
        <v>2525.489042329044</v>
      </c>
      <c r="S1111" s="2">
        <v>991.69487247249299</v>
      </c>
      <c r="T1111" s="2">
        <v>0.85717697404547266</v>
      </c>
      <c r="U1111" s="2">
        <v>20.705247561382748</v>
      </c>
      <c r="V1111" s="2">
        <v>-4.8862882819380502</v>
      </c>
    </row>
    <row r="1112" spans="1:22" ht="15">
      <c r="A1112" s="2">
        <v>1111</v>
      </c>
      <c r="B1112" s="2" t="s">
        <v>78</v>
      </c>
      <c r="C1112" s="2" t="s">
        <v>81</v>
      </c>
      <c r="D1112" s="2">
        <v>951.15306426305324</v>
      </c>
      <c r="E1112" s="2">
        <v>988.71150334598497</v>
      </c>
      <c r="F1112" s="2">
        <v>607.56994336843491</v>
      </c>
      <c r="G1112" s="2">
        <v>145.25783328106627</v>
      </c>
      <c r="H1112" s="2">
        <v>17.14840608369559</v>
      </c>
      <c r="I1112" s="2">
        <v>0.84036805074429144</v>
      </c>
      <c r="J1112" s="2">
        <v>6</v>
      </c>
      <c r="K1112" s="2">
        <v>188.63819319416899</v>
      </c>
      <c r="L1112" s="2">
        <v>14325</v>
      </c>
      <c r="M1112" s="2">
        <v>1200</v>
      </c>
      <c r="N1112" s="2">
        <v>249.974869352518</v>
      </c>
      <c r="O1112" s="2">
        <v>2503.4895843914651</v>
      </c>
      <c r="P1112" s="2">
        <v>951.15306426305324</v>
      </c>
      <c r="Q1112" s="2">
        <v>251.2545264698409</v>
      </c>
      <c r="R1112" s="2">
        <v>2493.0617031541815</v>
      </c>
      <c r="S1112" s="2">
        <v>953.85569902048906</v>
      </c>
      <c r="T1112" s="2">
        <v>1.2796571173228983</v>
      </c>
      <c r="U1112" s="2">
        <v>-10.4278812372836</v>
      </c>
      <c r="V1112" s="2">
        <v>2.7026347574358169</v>
      </c>
    </row>
    <row r="1113" spans="1:22" ht="15">
      <c r="A1113" s="2">
        <v>1112</v>
      </c>
      <c r="B1113" s="2" t="s">
        <v>78</v>
      </c>
      <c r="C1113" s="2" t="s">
        <v>81</v>
      </c>
      <c r="D1113" s="2">
        <v>1070.1997491414659</v>
      </c>
      <c r="E1113" s="2">
        <v>1132.3495424352586</v>
      </c>
      <c r="F1113" s="2">
        <v>365.7330653630197</v>
      </c>
      <c r="G1113" s="2">
        <v>189.40660594496876</v>
      </c>
      <c r="H1113" s="2">
        <v>15.900423725601286</v>
      </c>
      <c r="I1113" s="2">
        <v>0.7963488468993456</v>
      </c>
      <c r="J1113" s="2">
        <v>7</v>
      </c>
      <c r="K1113" s="2">
        <v>191.98329858083514</v>
      </c>
      <c r="L1113" s="2">
        <v>12675</v>
      </c>
      <c r="M1113" s="2">
        <v>1200</v>
      </c>
      <c r="N1113" s="2">
        <v>250.03691651822999</v>
      </c>
      <c r="O1113" s="2">
        <v>2504.6232122110423</v>
      </c>
      <c r="P1113" s="2">
        <v>1070.1997491414659</v>
      </c>
      <c r="Q1113" s="2">
        <v>248.29534337322636</v>
      </c>
      <c r="R1113" s="2">
        <v>2526.1324800041207</v>
      </c>
      <c r="S1113" s="2">
        <v>1077.6916230769848</v>
      </c>
      <c r="T1113" s="2">
        <v>-1.7415731450036276</v>
      </c>
      <c r="U1113" s="2">
        <v>21.509267793078379</v>
      </c>
      <c r="V1113" s="2">
        <v>7.4918739355189246</v>
      </c>
    </row>
    <row r="1114" spans="1:22" ht="15">
      <c r="A1114" s="2">
        <v>1113</v>
      </c>
      <c r="B1114" s="2" t="s">
        <v>78</v>
      </c>
      <c r="C1114" s="2" t="s">
        <v>81</v>
      </c>
      <c r="D1114" s="2">
        <v>963.82749155163765</v>
      </c>
      <c r="E1114" s="2">
        <v>993.40247086947784</v>
      </c>
      <c r="F1114" s="2">
        <v>473.85735381394625</v>
      </c>
      <c r="G1114" s="2">
        <v>177.67771750921384</v>
      </c>
      <c r="H1114" s="2">
        <v>13.434353528544307</v>
      </c>
      <c r="I1114" s="2">
        <v>0.83613825877429926</v>
      </c>
      <c r="J1114" s="2">
        <v>6</v>
      </c>
      <c r="K1114" s="2">
        <v>192.11884347223446</v>
      </c>
      <c r="L1114" s="2">
        <v>15170</v>
      </c>
      <c r="M1114" s="2">
        <v>1200</v>
      </c>
      <c r="N1114" s="2">
        <v>250.0364073111827</v>
      </c>
      <c r="O1114" s="2">
        <v>2503.0075803605241</v>
      </c>
      <c r="P1114" s="2">
        <v>963.82749155163765</v>
      </c>
      <c r="Q1114" s="2">
        <v>252.03260120640434</v>
      </c>
      <c r="R1114" s="2">
        <v>2493.1287966902783</v>
      </c>
      <c r="S1114" s="2">
        <v>967.57548264464276</v>
      </c>
      <c r="T1114" s="2">
        <v>1.9961938952216371</v>
      </c>
      <c r="U1114" s="2">
        <v>-9.8787836702458662</v>
      </c>
      <c r="V1114" s="2">
        <v>3.7479910930051119</v>
      </c>
    </row>
    <row r="1115" spans="1:22" ht="15">
      <c r="A1115" s="2">
        <v>1114</v>
      </c>
      <c r="B1115" s="2" t="s">
        <v>78</v>
      </c>
      <c r="C1115" s="2" t="s">
        <v>81</v>
      </c>
      <c r="D1115" s="2">
        <v>1007.6917647034861</v>
      </c>
      <c r="E1115" s="2">
        <v>686.89748665783554</v>
      </c>
      <c r="F1115" s="2">
        <v>745.33742526546121</v>
      </c>
      <c r="G1115" s="2">
        <v>281.38573809526861</v>
      </c>
      <c r="H1115" s="2">
        <v>21.615361776668578</v>
      </c>
      <c r="I1115" s="2">
        <v>0.83217437848914422</v>
      </c>
      <c r="J1115" s="2">
        <v>7</v>
      </c>
      <c r="K1115" s="2">
        <v>172.98774164084676</v>
      </c>
      <c r="L1115" s="2">
        <v>12480</v>
      </c>
      <c r="M1115" s="2">
        <v>1200</v>
      </c>
      <c r="N1115" s="2">
        <v>250.00268948264028</v>
      </c>
      <c r="O1115" s="2">
        <v>2504.7753285278877</v>
      </c>
      <c r="P1115" s="2">
        <v>1007.6917647034861</v>
      </c>
      <c r="Q1115" s="2">
        <v>251.565138928382</v>
      </c>
      <c r="R1115" s="2">
        <v>2496.8952477275834</v>
      </c>
      <c r="S1115" s="2">
        <v>1004.0739771254265</v>
      </c>
      <c r="T1115" s="2">
        <v>1.56244944574172</v>
      </c>
      <c r="U1115" s="2">
        <v>-7.880080800304313</v>
      </c>
      <c r="V1115" s="2">
        <v>-3.6177875780596196</v>
      </c>
    </row>
    <row r="1116" spans="1:22" ht="15">
      <c r="A1116" s="2">
        <v>1115</v>
      </c>
      <c r="B1116" s="2" t="s">
        <v>79</v>
      </c>
      <c r="C1116" s="2" t="s">
        <v>81</v>
      </c>
      <c r="D1116" s="2">
        <v>1084.1287859482691</v>
      </c>
      <c r="E1116" s="2">
        <v>612.30986682930961</v>
      </c>
      <c r="F1116" s="2">
        <v>525.09430088102818</v>
      </c>
      <c r="G1116" s="2">
        <v>164.75073910085484</v>
      </c>
      <c r="H1116" s="2">
        <v>10.905658238567412</v>
      </c>
      <c r="I1116" s="2">
        <v>0.85991423989413307</v>
      </c>
      <c r="J1116" s="2">
        <v>7</v>
      </c>
      <c r="K1116" s="2">
        <v>180.10579853732852</v>
      </c>
      <c r="L1116" s="2">
        <v>16425</v>
      </c>
      <c r="M1116" s="2">
        <v>1200</v>
      </c>
      <c r="N1116" s="2">
        <v>250.02468289010119</v>
      </c>
      <c r="O1116" s="2">
        <v>2502.380104143529</v>
      </c>
      <c r="P1116" s="2">
        <v>1084.1287859482691</v>
      </c>
      <c r="Q1116" s="2">
        <v>252.66916252931642</v>
      </c>
      <c r="R1116" s="2">
        <v>2442.1339090296037</v>
      </c>
      <c r="S1116" s="2">
        <v>1100.1636126197247</v>
      </c>
      <c r="T1116" s="2">
        <v>2.6444796392152341</v>
      </c>
      <c r="U1116" s="2">
        <v>-60.246195113925296</v>
      </c>
      <c r="V1116" s="2">
        <v>16.034826671455676</v>
      </c>
    </row>
    <row r="1117" spans="1:22" ht="15">
      <c r="A1117" s="2">
        <v>1116</v>
      </c>
      <c r="B1117" s="2" t="s">
        <v>79</v>
      </c>
      <c r="C1117" s="2" t="s">
        <v>81</v>
      </c>
      <c r="D1117" s="2">
        <v>982.42778185522184</v>
      </c>
      <c r="E1117" s="2">
        <v>1202.3452892433852</v>
      </c>
      <c r="F1117" s="2">
        <v>624.47509421035647</v>
      </c>
      <c r="G1117" s="2">
        <v>299.13605171721429</v>
      </c>
      <c r="H1117" s="2">
        <v>29.604139860253781</v>
      </c>
      <c r="I1117" s="2">
        <v>0.81575485922396185</v>
      </c>
      <c r="J1117" s="2">
        <v>7</v>
      </c>
      <c r="K1117" s="2">
        <v>172.04534474098156</v>
      </c>
      <c r="L1117" s="2">
        <v>10060</v>
      </c>
      <c r="M1117" s="2">
        <v>1195</v>
      </c>
      <c r="N1117" s="2">
        <v>250.01633068588188</v>
      </c>
      <c r="O1117" s="2">
        <v>2496.7290525270819</v>
      </c>
      <c r="P1117" s="2">
        <v>982.42778185522184</v>
      </c>
      <c r="Q1117" s="2">
        <v>249.13321286291509</v>
      </c>
      <c r="R1117" s="2">
        <v>2558.2006336900372</v>
      </c>
      <c r="S1117" s="2">
        <v>968.81566127548729</v>
      </c>
      <c r="T1117" s="2">
        <v>-0.88311782296679553</v>
      </c>
      <c r="U1117" s="2">
        <v>61.471581162955317</v>
      </c>
      <c r="V1117" s="2">
        <v>-13.612120579734551</v>
      </c>
    </row>
    <row r="1118" spans="1:22" ht="15">
      <c r="A1118" s="2">
        <v>1117</v>
      </c>
      <c r="B1118" s="2" t="s">
        <v>79</v>
      </c>
      <c r="C1118" s="2" t="s">
        <v>81</v>
      </c>
      <c r="D1118" s="2">
        <v>1060.907059116289</v>
      </c>
      <c r="E1118" s="2">
        <v>851.27152659697458</v>
      </c>
      <c r="F1118" s="2">
        <v>467.69416090101004</v>
      </c>
      <c r="G1118" s="2">
        <v>184.7505892929621</v>
      </c>
      <c r="H1118" s="2">
        <v>10.962067764252424</v>
      </c>
      <c r="I1118" s="2">
        <v>0.85694159712875262</v>
      </c>
      <c r="J1118" s="2">
        <v>7</v>
      </c>
      <c r="K1118" s="2">
        <v>176.8593703586499</v>
      </c>
      <c r="L1118" s="2">
        <v>14220</v>
      </c>
      <c r="M1118" s="2">
        <v>1200</v>
      </c>
      <c r="N1118" s="2">
        <v>249.96569327081315</v>
      </c>
      <c r="O1118" s="2">
        <v>2503.5534331904551</v>
      </c>
      <c r="P1118" s="2">
        <v>1060.907059116289</v>
      </c>
      <c r="Q1118" s="2">
        <v>252.05321549007959</v>
      </c>
      <c r="R1118" s="2">
        <v>2485.5802347715403</v>
      </c>
      <c r="S1118" s="2">
        <v>1074.5439611941565</v>
      </c>
      <c r="T1118" s="2">
        <v>2.0875222192664467</v>
      </c>
      <c r="U1118" s="2">
        <v>-17.973198418914762</v>
      </c>
      <c r="V1118" s="2">
        <v>13.636902077867489</v>
      </c>
    </row>
    <row r="1119" spans="1:22" ht="15">
      <c r="A1119" s="2">
        <v>1118</v>
      </c>
      <c r="B1119" s="2" t="s">
        <v>80</v>
      </c>
      <c r="C1119" s="2" t="s">
        <v>81</v>
      </c>
      <c r="D1119" s="2">
        <v>1029.1521214065142</v>
      </c>
      <c r="E1119" s="2">
        <v>687.94228720944375</v>
      </c>
      <c r="F1119" s="2">
        <v>558.65321950986981</v>
      </c>
      <c r="G1119" s="2">
        <v>201.64490949362516</v>
      </c>
      <c r="H1119" s="2">
        <v>12.575284528080374</v>
      </c>
      <c r="I1119" s="2">
        <v>0.81123099486809225</v>
      </c>
      <c r="J1119" s="2">
        <v>7</v>
      </c>
      <c r="K1119" s="2">
        <v>181.23288256929587</v>
      </c>
      <c r="L1119" s="2">
        <v>14765</v>
      </c>
      <c r="M1119" s="2">
        <v>1200</v>
      </c>
      <c r="N1119" s="2">
        <v>249.97067731118509</v>
      </c>
      <c r="O1119" s="2">
        <v>2503.2304971108588</v>
      </c>
      <c r="P1119" s="2">
        <v>1029.1521214065142</v>
      </c>
      <c r="Q1119" s="2">
        <v>250.73665143029137</v>
      </c>
      <c r="R1119" s="2">
        <v>2458.2189517879383</v>
      </c>
      <c r="S1119" s="2">
        <v>1033.7161299168022</v>
      </c>
      <c r="T1119" s="2">
        <v>0.76597411910628921</v>
      </c>
      <c r="U1119" s="2">
        <v>-45.011545322920483</v>
      </c>
      <c r="V1119" s="2">
        <v>4.5640085102879766</v>
      </c>
    </row>
    <row r="1120" spans="1:22" ht="15">
      <c r="A1120" s="2">
        <v>1119</v>
      </c>
      <c r="B1120" s="2" t="s">
        <v>80</v>
      </c>
      <c r="C1120" s="2" t="s">
        <v>81</v>
      </c>
      <c r="D1120" s="2">
        <v>1066.9358078623191</v>
      </c>
      <c r="E1120" s="2">
        <v>864.29963103728369</v>
      </c>
      <c r="F1120" s="2">
        <v>655.72093352675438</v>
      </c>
      <c r="G1120" s="2">
        <v>224.5661312318407</v>
      </c>
      <c r="H1120" s="2">
        <v>29.877299210987985</v>
      </c>
      <c r="I1120" s="2">
        <v>0.83665393465897075</v>
      </c>
      <c r="J1120" s="2">
        <v>7</v>
      </c>
      <c r="K1120" s="2">
        <v>182.17735530678672</v>
      </c>
      <c r="L1120" s="2">
        <v>12260</v>
      </c>
      <c r="M1120" s="2">
        <v>1200</v>
      </c>
      <c r="N1120" s="2">
        <v>250.03384522880305</v>
      </c>
      <c r="O1120" s="2">
        <v>2504.955588073567</v>
      </c>
      <c r="P1120" s="2">
        <v>1066.9358078623191</v>
      </c>
      <c r="Q1120" s="2">
        <v>251.25638136162286</v>
      </c>
      <c r="R1120" s="2">
        <v>2522.4862811237831</v>
      </c>
      <c r="S1120" s="2">
        <v>1052.0867012738684</v>
      </c>
      <c r="T1120" s="2">
        <v>1.2225361328198119</v>
      </c>
      <c r="U1120" s="2">
        <v>17.530693050216087</v>
      </c>
      <c r="V1120" s="2">
        <v>-14.849106588450695</v>
      </c>
    </row>
    <row r="1121" spans="1:22" ht="15">
      <c r="A1121" s="2">
        <v>1120</v>
      </c>
      <c r="B1121" s="2" t="s">
        <v>80</v>
      </c>
      <c r="C1121" s="2" t="s">
        <v>81</v>
      </c>
      <c r="D1121" s="2">
        <v>957.58825446246192</v>
      </c>
      <c r="E1121" s="2">
        <v>1140.2337431907654</v>
      </c>
      <c r="F1121" s="2">
        <v>734.51002528890967</v>
      </c>
      <c r="G1121" s="2">
        <v>232.66950719524175</v>
      </c>
      <c r="H1121" s="2">
        <v>9.8023414625786245</v>
      </c>
      <c r="I1121" s="2">
        <v>0.84605248118750753</v>
      </c>
      <c r="J1121" s="2">
        <v>6</v>
      </c>
      <c r="K1121" s="2">
        <v>188.63846624077115</v>
      </c>
      <c r="L1121" s="2">
        <v>11840</v>
      </c>
      <c r="M1121" s="2">
        <v>1195</v>
      </c>
      <c r="N1121" s="2">
        <v>250.01705534379286</v>
      </c>
      <c r="O1121" s="2">
        <v>2494.876336158306</v>
      </c>
      <c r="P1121" s="2">
        <v>957.58825446246192</v>
      </c>
      <c r="Q1121" s="2">
        <v>251.96464704699838</v>
      </c>
      <c r="R1121" s="2">
        <v>2551.8853658584994</v>
      </c>
      <c r="S1121" s="2">
        <v>957.63116242984643</v>
      </c>
      <c r="T1121" s="2">
        <v>1.9475917032055179</v>
      </c>
      <c r="U1121" s="2">
        <v>57.009029700193423</v>
      </c>
      <c r="V1121" s="2">
        <v>4.2907967384508083E-2</v>
      </c>
    </row>
    <row r="1122" spans="1:22" ht="15">
      <c r="A1122" s="2">
        <v>1121</v>
      </c>
      <c r="B1122" s="2" t="s">
        <v>78</v>
      </c>
      <c r="C1122" s="2" t="s">
        <v>81</v>
      </c>
      <c r="D1122" s="2">
        <v>1070.2493279241025</v>
      </c>
      <c r="E1122" s="2">
        <v>1241.2166050984524</v>
      </c>
      <c r="F1122" s="2">
        <v>610.33580545336008</v>
      </c>
      <c r="G1122" s="2">
        <v>299.37465207884088</v>
      </c>
      <c r="H1122" s="2">
        <v>21.355630272999406</v>
      </c>
      <c r="I1122" s="2">
        <v>0.80805255371378737</v>
      </c>
      <c r="J1122" s="2">
        <v>7</v>
      </c>
      <c r="K1122" s="2">
        <v>189.21140763595599</v>
      </c>
      <c r="L1122" s="2">
        <v>9945</v>
      </c>
      <c r="M1122" s="2">
        <v>1195</v>
      </c>
      <c r="N1122" s="2">
        <v>250.06107544326397</v>
      </c>
      <c r="O1122" s="2">
        <v>2496.8738058810814</v>
      </c>
      <c r="P1122" s="2">
        <v>1070.2493279241025</v>
      </c>
      <c r="Q1122" s="2">
        <v>252.67634230020727</v>
      </c>
      <c r="R1122" s="2">
        <v>2528.5640020653732</v>
      </c>
      <c r="S1122" s="2">
        <v>1052.7294278232005</v>
      </c>
      <c r="T1122" s="2">
        <v>2.6152668569432933</v>
      </c>
      <c r="U1122" s="2">
        <v>31.690196184291835</v>
      </c>
      <c r="V1122" s="2">
        <v>-17.519900100902078</v>
      </c>
    </row>
    <row r="1123" spans="1:22" ht="15">
      <c r="A1123" s="2">
        <v>1122</v>
      </c>
      <c r="B1123" s="2" t="s">
        <v>78</v>
      </c>
      <c r="C1123" s="2" t="s">
        <v>81</v>
      </c>
      <c r="D1123" s="2">
        <v>1032.8006455325522</v>
      </c>
      <c r="E1123" s="2">
        <v>729.63282496202737</v>
      </c>
      <c r="F1123" s="2">
        <v>738.56252366676927</v>
      </c>
      <c r="G1123" s="2">
        <v>160.70851140655577</v>
      </c>
      <c r="H1123" s="2">
        <v>20.669007160235196</v>
      </c>
      <c r="I1123" s="2">
        <v>0.80379918238613757</v>
      </c>
      <c r="J1123" s="2">
        <v>7</v>
      </c>
      <c r="K1123" s="2">
        <v>183.55697865205707</v>
      </c>
      <c r="L1123" s="2">
        <v>13130</v>
      </c>
      <c r="M1123" s="2">
        <v>1200</v>
      </c>
      <c r="N1123" s="2">
        <v>250.02043424873142</v>
      </c>
      <c r="O1123" s="2">
        <v>2504.2821751500378</v>
      </c>
      <c r="P1123" s="2">
        <v>1032.8006455325522</v>
      </c>
      <c r="Q1123" s="2">
        <v>246.77956052961471</v>
      </c>
      <c r="R1123" s="2">
        <v>2506.6886332915951</v>
      </c>
      <c r="S1123" s="2">
        <v>1030.3937526518598</v>
      </c>
      <c r="T1123" s="2">
        <v>-3.2408737191167063</v>
      </c>
      <c r="U1123" s="2">
        <v>2.406458141557323</v>
      </c>
      <c r="V1123" s="2">
        <v>-2.4068928806923395</v>
      </c>
    </row>
    <row r="1124" spans="1:22" ht="15">
      <c r="A1124" s="2">
        <v>1123</v>
      </c>
      <c r="B1124" s="2" t="s">
        <v>78</v>
      </c>
      <c r="C1124" s="2" t="s">
        <v>81</v>
      </c>
      <c r="D1124" s="2">
        <v>1050.6331734126434</v>
      </c>
      <c r="E1124" s="2">
        <v>1113.0011299275793</v>
      </c>
      <c r="F1124" s="2">
        <v>540.29962234199047</v>
      </c>
      <c r="G1124" s="2">
        <v>188.31624426646158</v>
      </c>
      <c r="H1124" s="2">
        <v>21.684407015331089</v>
      </c>
      <c r="I1124" s="2">
        <v>0.83066582985920834</v>
      </c>
      <c r="J1124" s="2">
        <v>7</v>
      </c>
      <c r="K1124" s="2">
        <v>180.68692360934429</v>
      </c>
      <c r="L1124" s="2">
        <v>11610</v>
      </c>
      <c r="M1124" s="2">
        <v>1195</v>
      </c>
      <c r="N1124" s="2">
        <v>249.94647320989952</v>
      </c>
      <c r="O1124" s="2">
        <v>2495.0807524399843</v>
      </c>
      <c r="P1124" s="2">
        <v>1050.6331734126434</v>
      </c>
      <c r="Q1124" s="2">
        <v>248.12327716058073</v>
      </c>
      <c r="R1124" s="2">
        <v>2551.0443635075753</v>
      </c>
      <c r="S1124" s="2">
        <v>1041.6958617819034</v>
      </c>
      <c r="T1124" s="2">
        <v>-1.8231960493187955</v>
      </c>
      <c r="U1124" s="2">
        <v>55.963611067591046</v>
      </c>
      <c r="V1124" s="2">
        <v>-8.9373116307399414</v>
      </c>
    </row>
    <row r="1125" spans="1:22" ht="15">
      <c r="A1125" s="2">
        <v>1124</v>
      </c>
      <c r="B1125" s="2" t="s">
        <v>78</v>
      </c>
      <c r="C1125" s="2" t="s">
        <v>81</v>
      </c>
      <c r="D1125" s="2">
        <v>1025.0413063331507</v>
      </c>
      <c r="E1125" s="2">
        <v>668.61566235311329</v>
      </c>
      <c r="F1125" s="2">
        <v>650.81384507939219</v>
      </c>
      <c r="G1125" s="2">
        <v>242.44247776921839</v>
      </c>
      <c r="H1125" s="2">
        <v>18.940670527052134</v>
      </c>
      <c r="I1125" s="2">
        <v>0.84982625363394626</v>
      </c>
      <c r="J1125" s="2">
        <v>7</v>
      </c>
      <c r="K1125" s="2">
        <v>172.31107147742031</v>
      </c>
      <c r="L1125" s="2">
        <v>13690</v>
      </c>
      <c r="M1125" s="2">
        <v>1200</v>
      </c>
      <c r="N1125" s="2">
        <v>249.95631380216662</v>
      </c>
      <c r="O1125" s="2">
        <v>2503.8919692002564</v>
      </c>
      <c r="P1125" s="2">
        <v>1025.0413063331507</v>
      </c>
      <c r="Q1125" s="2">
        <v>249.41431431227397</v>
      </c>
      <c r="R1125" s="2">
        <v>2510.8821576527121</v>
      </c>
      <c r="S1125" s="2">
        <v>1030.9702520279291</v>
      </c>
      <c r="T1125" s="2">
        <v>-0.54199948989264612</v>
      </c>
      <c r="U1125" s="2">
        <v>6.9901884524556408</v>
      </c>
      <c r="V1125" s="2">
        <v>5.9289456947783492</v>
      </c>
    </row>
    <row r="1126" spans="1:22" ht="15">
      <c r="A1126" s="2">
        <v>1125</v>
      </c>
      <c r="B1126" s="2" t="s">
        <v>78</v>
      </c>
      <c r="C1126" s="2" t="s">
        <v>81</v>
      </c>
      <c r="D1126" s="2">
        <v>972.32112870551646</v>
      </c>
      <c r="E1126" s="2">
        <v>652.73123140214011</v>
      </c>
      <c r="F1126" s="2">
        <v>661.62697207182646</v>
      </c>
      <c r="G1126" s="2">
        <v>192.57190379546955</v>
      </c>
      <c r="H1126" s="2">
        <v>13.032028950750828</v>
      </c>
      <c r="I1126" s="2">
        <v>0.83830873066792266</v>
      </c>
      <c r="J1126" s="2">
        <v>6</v>
      </c>
      <c r="K1126" s="2">
        <v>193.31007243811385</v>
      </c>
      <c r="L1126" s="2">
        <v>16555</v>
      </c>
      <c r="M1126" s="2">
        <v>1200</v>
      </c>
      <c r="N1126" s="2">
        <v>249.97149769541292</v>
      </c>
      <c r="O1126" s="2">
        <v>2502.3189784632314</v>
      </c>
      <c r="P1126" s="2">
        <v>972.32112870551646</v>
      </c>
      <c r="Q1126" s="2">
        <v>248.25817763204884</v>
      </c>
      <c r="R1126" s="2">
        <v>2463.9309579191563</v>
      </c>
      <c r="S1126" s="2">
        <v>975.37497557950815</v>
      </c>
      <c r="T1126" s="2">
        <v>-1.7133200633640797</v>
      </c>
      <c r="U1126" s="2">
        <v>-38.388020544075061</v>
      </c>
      <c r="V1126" s="2">
        <v>3.053846873991688</v>
      </c>
    </row>
    <row r="1127" spans="1:22" ht="15">
      <c r="A1127" s="2">
        <v>1126</v>
      </c>
      <c r="B1127" s="2" t="s">
        <v>78</v>
      </c>
      <c r="C1127" s="2" t="s">
        <v>81</v>
      </c>
      <c r="D1127" s="2">
        <v>1049.1433161427267</v>
      </c>
      <c r="E1127" s="2">
        <v>659.42156163509935</v>
      </c>
      <c r="F1127" s="2">
        <v>521.27682836726308</v>
      </c>
      <c r="G1127" s="2">
        <v>240.72825482115149</v>
      </c>
      <c r="H1127" s="2">
        <v>8.6488389954902232</v>
      </c>
      <c r="I1127" s="2">
        <v>0.82793511198367931</v>
      </c>
      <c r="J1127" s="2">
        <v>7</v>
      </c>
      <c r="K1127" s="2">
        <v>181.02580072092965</v>
      </c>
      <c r="L1127" s="2">
        <v>15045</v>
      </c>
      <c r="M1127" s="2">
        <v>1200</v>
      </c>
      <c r="N1127" s="2">
        <v>249.99507508911145</v>
      </c>
      <c r="O1127" s="2">
        <v>2503.0744087848466</v>
      </c>
      <c r="P1127" s="2">
        <v>1049.1433161427267</v>
      </c>
      <c r="Q1127" s="2">
        <v>250.85930875490573</v>
      </c>
      <c r="R1127" s="2">
        <v>2451.6389519423196</v>
      </c>
      <c r="S1127" s="2">
        <v>1059.552137358148</v>
      </c>
      <c r="T1127" s="2">
        <v>0.86423366579427352</v>
      </c>
      <c r="U1127" s="2">
        <v>-51.435456842526946</v>
      </c>
      <c r="V1127" s="2">
        <v>10.408821215421312</v>
      </c>
    </row>
    <row r="1128" spans="1:22" ht="15">
      <c r="A1128" s="2">
        <v>1127</v>
      </c>
      <c r="B1128" s="2" t="s">
        <v>78</v>
      </c>
      <c r="C1128" s="2" t="s">
        <v>81</v>
      </c>
      <c r="D1128" s="2">
        <v>1085.2314564632252</v>
      </c>
      <c r="E1128" s="2">
        <v>710.41179859312251</v>
      </c>
      <c r="F1128" s="2">
        <v>597.69070744514465</v>
      </c>
      <c r="G1128" s="2">
        <v>248.27332408865914</v>
      </c>
      <c r="H1128" s="2">
        <v>26.814018833450973</v>
      </c>
      <c r="I1128" s="2">
        <v>0.80238441712921493</v>
      </c>
      <c r="J1128" s="2">
        <v>7</v>
      </c>
      <c r="K1128" s="2">
        <v>193.21544872931628</v>
      </c>
      <c r="L1128" s="2">
        <v>13740</v>
      </c>
      <c r="M1128" s="2">
        <v>1200</v>
      </c>
      <c r="N1128" s="2">
        <v>249.98660163385949</v>
      </c>
      <c r="O1128" s="2">
        <v>2503.8599749823347</v>
      </c>
      <c r="P1128" s="2">
        <v>1085.2314564632252</v>
      </c>
      <c r="Q1128" s="2">
        <v>247.73259353828919</v>
      </c>
      <c r="R1128" s="2">
        <v>2512.3966641991437</v>
      </c>
      <c r="S1128" s="2">
        <v>1074.6948177975592</v>
      </c>
      <c r="T1128" s="2">
        <v>-2.254008095570299</v>
      </c>
      <c r="U1128" s="2">
        <v>8.5366892168090089</v>
      </c>
      <c r="V1128" s="2">
        <v>-10.536638665666032</v>
      </c>
    </row>
    <row r="1129" spans="1:22" ht="15">
      <c r="A1129" s="2">
        <v>1128</v>
      </c>
      <c r="B1129" s="2" t="s">
        <v>78</v>
      </c>
      <c r="C1129" s="2" t="s">
        <v>81</v>
      </c>
      <c r="D1129" s="2">
        <v>977.34192394418642</v>
      </c>
      <c r="E1129" s="2">
        <v>605.90803558006883</v>
      </c>
      <c r="F1129" s="2">
        <v>581.61113625392318</v>
      </c>
      <c r="G1129" s="2">
        <v>218.12515663448721</v>
      </c>
      <c r="H1129" s="2">
        <v>15.512033147271723</v>
      </c>
      <c r="I1129" s="2">
        <v>0.81598895684815942</v>
      </c>
      <c r="J1129" s="2">
        <v>6</v>
      </c>
      <c r="K1129" s="2">
        <v>199.62319255709644</v>
      </c>
      <c r="L1129" s="2">
        <v>17750</v>
      </c>
      <c r="M1129" s="2">
        <v>1200</v>
      </c>
      <c r="N1129" s="2">
        <v>250.00117608999145</v>
      </c>
      <c r="O1129" s="2">
        <v>2501.8136029413263</v>
      </c>
      <c r="P1129" s="2">
        <v>977.34192394418642</v>
      </c>
      <c r="Q1129" s="2">
        <v>251.47205411636321</v>
      </c>
      <c r="R1129" s="2">
        <v>2430.4346728326741</v>
      </c>
      <c r="S1129" s="2">
        <v>983.5504190171107</v>
      </c>
      <c r="T1129" s="2">
        <v>1.4708780263717642</v>
      </c>
      <c r="U1129" s="2">
        <v>-71.378930108652185</v>
      </c>
      <c r="V1129" s="2">
        <v>6.2084950729242792</v>
      </c>
    </row>
    <row r="1130" spans="1:22" ht="15">
      <c r="A1130" s="2">
        <v>1129</v>
      </c>
      <c r="B1130" s="2" t="s">
        <v>78</v>
      </c>
      <c r="C1130" s="2" t="s">
        <v>81</v>
      </c>
      <c r="D1130" s="2">
        <v>1030.1513573154807</v>
      </c>
      <c r="E1130" s="2">
        <v>918.26490130042657</v>
      </c>
      <c r="F1130" s="2">
        <v>527.4038614705205</v>
      </c>
      <c r="G1130" s="2">
        <v>115.58837954187766</v>
      </c>
      <c r="H1130" s="2">
        <v>12.969706466421485</v>
      </c>
      <c r="I1130" s="2">
        <v>0.81497573153348646</v>
      </c>
      <c r="J1130" s="2">
        <v>7</v>
      </c>
      <c r="K1130" s="2">
        <v>180.57529067716837</v>
      </c>
      <c r="L1130" s="2">
        <v>13700</v>
      </c>
      <c r="M1130" s="2">
        <v>1200</v>
      </c>
      <c r="N1130" s="2">
        <v>250.04029743031239</v>
      </c>
      <c r="O1130" s="2">
        <v>2503.888390076831</v>
      </c>
      <c r="P1130" s="2">
        <v>1030.1513573154807</v>
      </c>
      <c r="Q1130" s="2">
        <v>250.30925017548066</v>
      </c>
      <c r="R1130" s="2">
        <v>2544.6727201356007</v>
      </c>
      <c r="S1130" s="2">
        <v>1038.3900509157602</v>
      </c>
      <c r="T1130" s="2">
        <v>0.26895274516826362</v>
      </c>
      <c r="U1130" s="2">
        <v>40.784330058769683</v>
      </c>
      <c r="V1130" s="2">
        <v>8.2386936002794755</v>
      </c>
    </row>
    <row r="1131" spans="1:22" ht="15">
      <c r="A1131" s="2">
        <v>1130</v>
      </c>
      <c r="B1131" s="2" t="s">
        <v>78</v>
      </c>
      <c r="C1131" s="2" t="s">
        <v>81</v>
      </c>
      <c r="D1131" s="2">
        <v>954.08158196369186</v>
      </c>
      <c r="E1131" s="2">
        <v>1166.0560105228797</v>
      </c>
      <c r="F1131" s="2">
        <v>678.83678684011102</v>
      </c>
      <c r="G1131" s="2">
        <v>296.90139058046043</v>
      </c>
      <c r="H1131" s="2">
        <v>16.463218201417476</v>
      </c>
      <c r="I1131" s="2">
        <v>0.80740521308500324</v>
      </c>
      <c r="J1131" s="2">
        <v>6</v>
      </c>
      <c r="K1131" s="2">
        <v>196.94398106048365</v>
      </c>
      <c r="L1131" s="2">
        <v>11650</v>
      </c>
      <c r="M1131" s="2">
        <v>1195</v>
      </c>
      <c r="N1131" s="2">
        <v>250.01855259977515</v>
      </c>
      <c r="O1131" s="2">
        <v>2495.0471683789947</v>
      </c>
      <c r="P1131" s="2">
        <v>954.08158196369186</v>
      </c>
      <c r="Q1131" s="2">
        <v>253.39538253142126</v>
      </c>
      <c r="R1131" s="2">
        <v>2536.6002131305081</v>
      </c>
      <c r="S1131" s="2">
        <v>952.10862963712327</v>
      </c>
      <c r="T1131" s="2">
        <v>3.3768299316461139</v>
      </c>
      <c r="U1131" s="2">
        <v>41.553044751513426</v>
      </c>
      <c r="V1131" s="2">
        <v>-1.9729523265685884</v>
      </c>
    </row>
    <row r="1132" spans="1:22" ht="15">
      <c r="A1132" s="2">
        <v>1131</v>
      </c>
      <c r="B1132" s="2" t="s">
        <v>78</v>
      </c>
      <c r="C1132" s="2" t="s">
        <v>81</v>
      </c>
      <c r="D1132" s="2">
        <v>1065.0266236392781</v>
      </c>
      <c r="E1132" s="2">
        <v>929.86791642615572</v>
      </c>
      <c r="F1132" s="2">
        <v>563.55903334915638</v>
      </c>
      <c r="G1132" s="2">
        <v>107.75793353794143</v>
      </c>
      <c r="H1132" s="2">
        <v>15.333852694369853</v>
      </c>
      <c r="I1132" s="2">
        <v>0.80383960894076156</v>
      </c>
      <c r="J1132" s="2">
        <v>7</v>
      </c>
      <c r="K1132" s="2">
        <v>189.27489865843279</v>
      </c>
      <c r="L1132" s="2">
        <v>13355</v>
      </c>
      <c r="M1132" s="2">
        <v>1200</v>
      </c>
      <c r="N1132" s="2">
        <v>249.97724632502837</v>
      </c>
      <c r="O1132" s="2">
        <v>2504.1208174427429</v>
      </c>
      <c r="P1132" s="2">
        <v>1065.0266236392781</v>
      </c>
      <c r="Q1132" s="2">
        <v>249.66432702795689</v>
      </c>
      <c r="R1132" s="2">
        <v>2541.9463373441386</v>
      </c>
      <c r="S1132" s="2">
        <v>1069.8390270267105</v>
      </c>
      <c r="T1132" s="2">
        <v>-0.31291929707148824</v>
      </c>
      <c r="U1132" s="2">
        <v>37.825519901395637</v>
      </c>
      <c r="V1132" s="2">
        <v>4.8124033874323686</v>
      </c>
    </row>
    <row r="1133" spans="1:22" ht="15">
      <c r="A1133" s="2">
        <v>1132</v>
      </c>
      <c r="B1133" s="2" t="s">
        <v>78</v>
      </c>
      <c r="C1133" s="2" t="s">
        <v>81</v>
      </c>
      <c r="D1133" s="2">
        <v>1026.2793695903383</v>
      </c>
      <c r="E1133" s="2">
        <v>1046.6693998780102</v>
      </c>
      <c r="F1133" s="2">
        <v>618.47761673852801</v>
      </c>
      <c r="G1133" s="2">
        <v>204.64305467437953</v>
      </c>
      <c r="H1133" s="2">
        <v>11.484700101893395</v>
      </c>
      <c r="I1133" s="2">
        <v>0.82064281661063432</v>
      </c>
      <c r="J1133" s="2">
        <v>7</v>
      </c>
      <c r="K1133" s="2">
        <v>178.65426412727294</v>
      </c>
      <c r="L1133" s="2">
        <v>11440</v>
      </c>
      <c r="M1133" s="2">
        <v>1195</v>
      </c>
      <c r="N1133" s="2">
        <v>250.05405685732563</v>
      </c>
      <c r="O1133" s="2">
        <v>2495.2440702048198</v>
      </c>
      <c r="P1133" s="2">
        <v>1026.2793695903383</v>
      </c>
      <c r="Q1133" s="2">
        <v>253.36351902640365</v>
      </c>
      <c r="R1133" s="2">
        <v>2526.1963967600036</v>
      </c>
      <c r="S1133" s="2">
        <v>1022.5462350181697</v>
      </c>
      <c r="T1133" s="2">
        <v>3.3094621690780173</v>
      </c>
      <c r="U1133" s="2">
        <v>30.952326555183845</v>
      </c>
      <c r="V1133" s="2">
        <v>-3.7331345721686375</v>
      </c>
    </row>
    <row r="1134" spans="1:22" ht="15">
      <c r="A1134" s="2">
        <v>1133</v>
      </c>
      <c r="B1134" s="2" t="s">
        <v>78</v>
      </c>
      <c r="C1134" s="2" t="s">
        <v>81</v>
      </c>
      <c r="D1134" s="2">
        <v>981.80839172564447</v>
      </c>
      <c r="E1134" s="2">
        <v>1027.4717385764234</v>
      </c>
      <c r="F1134" s="2">
        <v>410.98344828933477</v>
      </c>
      <c r="G1134" s="2">
        <v>185.43187131406739</v>
      </c>
      <c r="H1134" s="2">
        <v>11.926211629062891</v>
      </c>
      <c r="I1134" s="2">
        <v>0.81101705871755259</v>
      </c>
      <c r="J1134" s="2">
        <v>7</v>
      </c>
      <c r="K1134" s="2">
        <v>172.94129657011183</v>
      </c>
      <c r="L1134" s="2">
        <v>13170</v>
      </c>
      <c r="M1134" s="2">
        <v>1200</v>
      </c>
      <c r="N1134" s="2">
        <v>250.00953703278427</v>
      </c>
      <c r="O1134" s="2">
        <v>2504.2529713430763</v>
      </c>
      <c r="P1134" s="2">
        <v>981.80839172564447</v>
      </c>
      <c r="Q1134" s="2">
        <v>250.75524388233904</v>
      </c>
      <c r="R1134" s="2">
        <v>2503.9186053285725</v>
      </c>
      <c r="S1134" s="2">
        <v>991.88630272095679</v>
      </c>
      <c r="T1134" s="2">
        <v>0.74570684955477873</v>
      </c>
      <c r="U1134" s="2">
        <v>-0.33436601450375747</v>
      </c>
      <c r="V1134" s="2">
        <v>10.077910995312322</v>
      </c>
    </row>
    <row r="1135" spans="1:22" ht="15">
      <c r="A1135" s="2">
        <v>1134</v>
      </c>
      <c r="B1135" s="2" t="s">
        <v>78</v>
      </c>
      <c r="C1135" s="2" t="s">
        <v>81</v>
      </c>
      <c r="D1135" s="2">
        <v>1062.0367510360666</v>
      </c>
      <c r="E1135" s="2">
        <v>853.1901866896078</v>
      </c>
      <c r="F1135" s="2">
        <v>595.5038164742291</v>
      </c>
      <c r="G1135" s="2">
        <v>164.0899720788002</v>
      </c>
      <c r="H1135" s="2">
        <v>22.94164831424132</v>
      </c>
      <c r="I1135" s="2">
        <v>0.84203468434046957</v>
      </c>
      <c r="J1135" s="2">
        <v>7</v>
      </c>
      <c r="K1135" s="2">
        <v>180.18205031676428</v>
      </c>
      <c r="L1135" s="2">
        <v>13260</v>
      </c>
      <c r="M1135" s="2">
        <v>1200</v>
      </c>
      <c r="N1135" s="2">
        <v>249.99719228372601</v>
      </c>
      <c r="O1135" s="2">
        <v>2504.1883380766822</v>
      </c>
      <c r="P1135" s="2">
        <v>1062.0367510360666</v>
      </c>
      <c r="Q1135" s="2">
        <v>247.79046597944071</v>
      </c>
      <c r="R1135" s="2">
        <v>2489.7772055829082</v>
      </c>
      <c r="S1135" s="2">
        <v>1056.7945907726873</v>
      </c>
      <c r="T1135" s="2">
        <v>-2.2067263042852971</v>
      </c>
      <c r="U1135" s="2">
        <v>-14.411132493773948</v>
      </c>
      <c r="V1135" s="2">
        <v>-5.242160263379219</v>
      </c>
    </row>
    <row r="1136" spans="1:22" ht="15">
      <c r="A1136" s="2">
        <v>1135</v>
      </c>
      <c r="B1136" s="2" t="s">
        <v>79</v>
      </c>
      <c r="C1136" s="2" t="s">
        <v>81</v>
      </c>
      <c r="D1136" s="2">
        <v>1093.0256935069337</v>
      </c>
      <c r="E1136" s="2">
        <v>937.54424090730026</v>
      </c>
      <c r="F1136" s="2">
        <v>399.87101927399635</v>
      </c>
      <c r="G1136" s="2">
        <v>112.99014869844541</v>
      </c>
      <c r="H1136" s="2">
        <v>28.792576028965414</v>
      </c>
      <c r="I1136" s="2">
        <v>0.80848034700145943</v>
      </c>
      <c r="J1136" s="2">
        <v>7</v>
      </c>
      <c r="K1136" s="2">
        <v>193.13583592102557</v>
      </c>
      <c r="L1136" s="2">
        <v>14745</v>
      </c>
      <c r="M1136" s="2">
        <v>1200</v>
      </c>
      <c r="N1136" s="2">
        <v>250.00558476611403</v>
      </c>
      <c r="O1136" s="2">
        <v>2503.243099966171</v>
      </c>
      <c r="P1136" s="2">
        <v>1093.0256935069337</v>
      </c>
      <c r="Q1136" s="2">
        <v>245.23557805016023</v>
      </c>
      <c r="R1136" s="2">
        <v>2512.7084911921906</v>
      </c>
      <c r="S1136" s="2">
        <v>1080.6320250887634</v>
      </c>
      <c r="T1136" s="2">
        <v>-4.770006715953798</v>
      </c>
      <c r="U1136" s="2">
        <v>9.4653912260196194</v>
      </c>
      <c r="V1136" s="2">
        <v>-12.393668418170364</v>
      </c>
    </row>
    <row r="1137" spans="1:22" ht="15">
      <c r="A1137" s="2">
        <v>1136</v>
      </c>
      <c r="B1137" s="2" t="s">
        <v>79</v>
      </c>
      <c r="C1137" s="2" t="s">
        <v>81</v>
      </c>
      <c r="D1137" s="2">
        <v>974.2974694701843</v>
      </c>
      <c r="E1137" s="2">
        <v>733.38023591786623</v>
      </c>
      <c r="F1137" s="2">
        <v>498.08330377563834</v>
      </c>
      <c r="G1137" s="2">
        <v>114.77770846802741</v>
      </c>
      <c r="H1137" s="2">
        <v>23.330016815569252</v>
      </c>
      <c r="I1137" s="2">
        <v>0.84547000712715092</v>
      </c>
      <c r="J1137" s="2">
        <v>6</v>
      </c>
      <c r="K1137" s="2">
        <v>192.06229695850482</v>
      </c>
      <c r="L1137" s="2">
        <v>18535</v>
      </c>
      <c r="M1137" s="2">
        <v>1200</v>
      </c>
      <c r="N1137" s="2">
        <v>250.02530489998944</v>
      </c>
      <c r="O1137" s="2">
        <v>2501.5172053318261</v>
      </c>
      <c r="P1137" s="2">
        <v>974.2974694701843</v>
      </c>
      <c r="Q1137" s="2">
        <v>248.1266173466513</v>
      </c>
      <c r="R1137" s="2">
        <v>2506.1737438768209</v>
      </c>
      <c r="S1137" s="2">
        <v>975.5241850358384</v>
      </c>
      <c r="T1137" s="2">
        <v>-1.8986875533381351</v>
      </c>
      <c r="U1137" s="2">
        <v>4.6565385449948735</v>
      </c>
      <c r="V1137" s="2">
        <v>1.2267155656541036</v>
      </c>
    </row>
    <row r="1138" spans="1:22" ht="15">
      <c r="A1138" s="2">
        <v>1137</v>
      </c>
      <c r="B1138" s="2" t="s">
        <v>79</v>
      </c>
      <c r="C1138" s="2" t="s">
        <v>81</v>
      </c>
      <c r="D1138" s="2">
        <v>956.26618089154363</v>
      </c>
      <c r="E1138" s="2">
        <v>600.68766785552725</v>
      </c>
      <c r="F1138" s="2">
        <v>438.48086390644312</v>
      </c>
      <c r="G1138" s="2">
        <v>270.26316335657611</v>
      </c>
      <c r="H1138" s="2">
        <v>16.888272630050778</v>
      </c>
      <c r="I1138" s="2">
        <v>0.85743237032787878</v>
      </c>
      <c r="J1138" s="2">
        <v>6</v>
      </c>
      <c r="K1138" s="2">
        <v>185.87786317690788</v>
      </c>
      <c r="L1138" s="2">
        <v>19055</v>
      </c>
      <c r="M1138" s="2">
        <v>1200</v>
      </c>
      <c r="N1138" s="2">
        <v>250.01154227902558</v>
      </c>
      <c r="O1138" s="2">
        <v>2501.3335403859633</v>
      </c>
      <c r="P1138" s="2">
        <v>956.26618089154363</v>
      </c>
      <c r="Q1138" s="2">
        <v>250.52154702195816</v>
      </c>
      <c r="R1138" s="2">
        <v>2459.7410273757582</v>
      </c>
      <c r="S1138" s="2">
        <v>966.14753760648671</v>
      </c>
      <c r="T1138" s="2">
        <v>0.5100047429325798</v>
      </c>
      <c r="U1138" s="2">
        <v>-41.592513010205039</v>
      </c>
      <c r="V1138" s="2">
        <v>9.881356714943081</v>
      </c>
    </row>
    <row r="1139" spans="1:22" ht="15">
      <c r="A1139" s="2">
        <v>1138</v>
      </c>
      <c r="B1139" s="2" t="s">
        <v>80</v>
      </c>
      <c r="C1139" s="2" t="s">
        <v>81</v>
      </c>
      <c r="D1139" s="2">
        <v>977.81461473787203</v>
      </c>
      <c r="E1139" s="2">
        <v>847.0292602898553</v>
      </c>
      <c r="F1139" s="2">
        <v>616.41732538118958</v>
      </c>
      <c r="G1139" s="2">
        <v>325.59832108207047</v>
      </c>
      <c r="H1139" s="2">
        <v>17.188619137275964</v>
      </c>
      <c r="I1139" s="2">
        <v>0.80738217624370012</v>
      </c>
      <c r="J1139" s="2">
        <v>7</v>
      </c>
      <c r="K1139" s="2">
        <v>173.01323489118857</v>
      </c>
      <c r="L1139" s="2">
        <v>11955</v>
      </c>
      <c r="M1139" s="2">
        <v>1200</v>
      </c>
      <c r="N1139" s="2">
        <v>250.02652121128077</v>
      </c>
      <c r="O1139" s="2">
        <v>2505.2143882111909</v>
      </c>
      <c r="P1139" s="2">
        <v>977.81461473787203</v>
      </c>
      <c r="Q1139" s="2">
        <v>253.0187710048867</v>
      </c>
      <c r="R1139" s="2">
        <v>2468.572653089534</v>
      </c>
      <c r="S1139" s="2">
        <v>975.01627356957556</v>
      </c>
      <c r="T1139" s="2">
        <v>2.9922497936059358</v>
      </c>
      <c r="U1139" s="2">
        <v>-36.641735121656893</v>
      </c>
      <c r="V1139" s="2">
        <v>-2.7983411682964743</v>
      </c>
    </row>
    <row r="1140" spans="1:22" ht="15">
      <c r="A1140" s="2">
        <v>1139</v>
      </c>
      <c r="B1140" s="2" t="s">
        <v>80</v>
      </c>
      <c r="C1140" s="2" t="s">
        <v>81</v>
      </c>
      <c r="D1140" s="2">
        <v>1019.9329426279292</v>
      </c>
      <c r="E1140" s="2">
        <v>889.1977820196189</v>
      </c>
      <c r="F1140" s="2">
        <v>406.34485445916653</v>
      </c>
      <c r="G1140" s="2">
        <v>275.80989581299946</v>
      </c>
      <c r="H1140" s="2">
        <v>10.27437109965831</v>
      </c>
      <c r="I1140" s="2">
        <v>0.83692594502819706</v>
      </c>
      <c r="J1140" s="2">
        <v>7</v>
      </c>
      <c r="K1140" s="2">
        <v>174.09509999692409</v>
      </c>
      <c r="L1140" s="2">
        <v>13610</v>
      </c>
      <c r="M1140" s="2">
        <v>1200</v>
      </c>
      <c r="N1140" s="2">
        <v>250.00382723075498</v>
      </c>
      <c r="O1140" s="2">
        <v>2503.9471573609767</v>
      </c>
      <c r="P1140" s="2">
        <v>1019.9329426279292</v>
      </c>
      <c r="Q1140" s="2">
        <v>253.91962812214317</v>
      </c>
      <c r="R1140" s="2">
        <v>2459.0198869752649</v>
      </c>
      <c r="S1140" s="2">
        <v>1022.4245022380317</v>
      </c>
      <c r="T1140" s="2">
        <v>3.9158008913881872</v>
      </c>
      <c r="U1140" s="2">
        <v>-44.927270385711836</v>
      </c>
      <c r="V1140" s="2">
        <v>2.491559610102513</v>
      </c>
    </row>
    <row r="1141" spans="1:22" ht="15">
      <c r="A1141" s="2">
        <v>1140</v>
      </c>
      <c r="B1141" s="2" t="s">
        <v>80</v>
      </c>
      <c r="C1141" s="2" t="s">
        <v>81</v>
      </c>
      <c r="D1141" s="2">
        <v>997.38951114704832</v>
      </c>
      <c r="E1141" s="2">
        <v>1082.9596916679293</v>
      </c>
      <c r="F1141" s="2">
        <v>401.82630298659205</v>
      </c>
      <c r="G1141" s="2">
        <v>249.62871642317623</v>
      </c>
      <c r="H1141" s="2">
        <v>12.243472694884986</v>
      </c>
      <c r="I1141" s="2">
        <v>0.81412120083346962</v>
      </c>
      <c r="J1141" s="2">
        <v>7</v>
      </c>
      <c r="K1141" s="2">
        <v>175.01597517946871</v>
      </c>
      <c r="L1141" s="2">
        <v>12330</v>
      </c>
      <c r="M1141" s="2">
        <v>1200</v>
      </c>
      <c r="N1141" s="2">
        <v>249.99484342225844</v>
      </c>
      <c r="O1141" s="2">
        <v>2504.8963749161253</v>
      </c>
      <c r="P1141" s="2">
        <v>997.38951114704832</v>
      </c>
      <c r="Q1141" s="2">
        <v>252.33965030755462</v>
      </c>
      <c r="R1141" s="2">
        <v>2482.3067276933634</v>
      </c>
      <c r="S1141" s="2">
        <v>1001.3990884107504</v>
      </c>
      <c r="T1141" s="2">
        <v>2.3448068852961796</v>
      </c>
      <c r="U1141" s="2">
        <v>-22.589647222761869</v>
      </c>
      <c r="V1141" s="2">
        <v>4.0095772637021128</v>
      </c>
    </row>
    <row r="1142" spans="1:22" ht="15">
      <c r="A1142" s="2">
        <v>1141</v>
      </c>
      <c r="B1142" s="2" t="s">
        <v>78</v>
      </c>
      <c r="C1142" s="2" t="s">
        <v>81</v>
      </c>
      <c r="D1142" s="2">
        <v>1086.8777554947883</v>
      </c>
      <c r="E1142" s="2">
        <v>1169.2923530819826</v>
      </c>
      <c r="F1142" s="2">
        <v>539.20490425080061</v>
      </c>
      <c r="G1142" s="2">
        <v>322.29703313903883</v>
      </c>
      <c r="H1142" s="2">
        <v>10.473042160272598</v>
      </c>
      <c r="I1142" s="2">
        <v>0.80175784638384362</v>
      </c>
      <c r="J1142" s="2">
        <v>7</v>
      </c>
      <c r="K1142" s="2">
        <v>193.65978329401304</v>
      </c>
      <c r="L1142" s="2">
        <v>10530</v>
      </c>
      <c r="M1142" s="2">
        <v>1195</v>
      </c>
      <c r="N1142" s="2">
        <v>249.98234134267059</v>
      </c>
      <c r="O1142" s="2">
        <v>2496.1774028081791</v>
      </c>
      <c r="P1142" s="2">
        <v>1086.8777554947883</v>
      </c>
      <c r="Q1142" s="2">
        <v>251.89394531670987</v>
      </c>
      <c r="R1142" s="2">
        <v>2499.6899859621003</v>
      </c>
      <c r="S1142" s="2">
        <v>1082.3019264355091</v>
      </c>
      <c r="T1142" s="2">
        <v>1.9116039740392807</v>
      </c>
      <c r="U1142" s="2">
        <v>3.5125831539212413</v>
      </c>
      <c r="V1142" s="2">
        <v>-4.5758290592791582</v>
      </c>
    </row>
    <row r="1143" spans="1:22" ht="15">
      <c r="A1143" s="2">
        <v>1142</v>
      </c>
      <c r="B1143" s="2" t="s">
        <v>78</v>
      </c>
      <c r="C1143" s="2" t="s">
        <v>81</v>
      </c>
      <c r="D1143" s="2">
        <v>1097.0540561829694</v>
      </c>
      <c r="E1143" s="2">
        <v>982.53866301383823</v>
      </c>
      <c r="F1143" s="2">
        <v>424.76756395772099</v>
      </c>
      <c r="G1143" s="2">
        <v>188.63994667306542</v>
      </c>
      <c r="H1143" s="2">
        <v>27.030262014362961</v>
      </c>
      <c r="I1143" s="2">
        <v>0.80295939562376595</v>
      </c>
      <c r="J1143" s="2">
        <v>7</v>
      </c>
      <c r="K1143" s="2">
        <v>195.18048967394117</v>
      </c>
      <c r="L1143" s="2">
        <v>13400</v>
      </c>
      <c r="M1143" s="2">
        <v>1200</v>
      </c>
      <c r="N1143" s="2">
        <v>249.99918586901802</v>
      </c>
      <c r="O1143" s="2">
        <v>2504.0903218660201</v>
      </c>
      <c r="P1143" s="2">
        <v>1097.0540561829694</v>
      </c>
      <c r="Q1143" s="2">
        <v>250.18291464835698</v>
      </c>
      <c r="R1143" s="2">
        <v>2557.6102862780513</v>
      </c>
      <c r="S1143" s="2">
        <v>1084.8631637547394</v>
      </c>
      <c r="T1143" s="2">
        <v>0.18372877933896348</v>
      </c>
      <c r="U1143" s="2">
        <v>53.519964412031186</v>
      </c>
      <c r="V1143" s="2">
        <v>-12.190892428229972</v>
      </c>
    </row>
    <row r="1144" spans="1:22" ht="15">
      <c r="A1144" s="2">
        <v>1143</v>
      </c>
      <c r="B1144" s="2" t="s">
        <v>78</v>
      </c>
      <c r="C1144" s="2" t="s">
        <v>81</v>
      </c>
      <c r="D1144" s="2">
        <v>950.66540848929435</v>
      </c>
      <c r="E1144" s="2">
        <v>706.06196728767827</v>
      </c>
      <c r="F1144" s="2">
        <v>565.1038184762001</v>
      </c>
      <c r="G1144" s="2">
        <v>191.17267882218584</v>
      </c>
      <c r="H1144" s="2">
        <v>9.0765473050996661</v>
      </c>
      <c r="I1144" s="2">
        <v>0.79348891589557757</v>
      </c>
      <c r="J1144" s="2">
        <v>6</v>
      </c>
      <c r="K1144" s="2">
        <v>199.68046380255529</v>
      </c>
      <c r="L1144" s="2">
        <v>17060</v>
      </c>
      <c r="M1144" s="2">
        <v>1200</v>
      </c>
      <c r="N1144" s="2">
        <v>249.9740770468905</v>
      </c>
      <c r="O1144" s="2">
        <v>2502.0964840028987</v>
      </c>
      <c r="P1144" s="2">
        <v>950.66540848929435</v>
      </c>
      <c r="Q1144" s="2">
        <v>253.24137697356613</v>
      </c>
      <c r="R1144" s="2">
        <v>2469.8276944335439</v>
      </c>
      <c r="S1144" s="2">
        <v>960.68303137172779</v>
      </c>
      <c r="T1144" s="2">
        <v>3.2672999266756335</v>
      </c>
      <c r="U1144" s="2">
        <v>-32.268789569354794</v>
      </c>
      <c r="V1144" s="2">
        <v>10.017622882433443</v>
      </c>
    </row>
    <row r="1145" spans="1:22" ht="15">
      <c r="A1145" s="2">
        <v>1144</v>
      </c>
      <c r="B1145" s="2" t="s">
        <v>78</v>
      </c>
      <c r="C1145" s="2" t="s">
        <v>81</v>
      </c>
      <c r="D1145" s="2">
        <v>1023.061500384938</v>
      </c>
      <c r="E1145" s="2">
        <v>943.79988415166736</v>
      </c>
      <c r="F1145" s="2">
        <v>599.60722243413329</v>
      </c>
      <c r="G1145" s="2">
        <v>302.71835303399712</v>
      </c>
      <c r="H1145" s="2">
        <v>14.652879839297384</v>
      </c>
      <c r="I1145" s="2">
        <v>0.83457091507501902</v>
      </c>
      <c r="J1145" s="2">
        <v>7</v>
      </c>
      <c r="K1145" s="2">
        <v>175.12189829787744</v>
      </c>
      <c r="L1145" s="2">
        <v>11585</v>
      </c>
      <c r="M1145" s="2">
        <v>1195</v>
      </c>
      <c r="N1145" s="2">
        <v>250.01865591250618</v>
      </c>
      <c r="O1145" s="2">
        <v>2495.1068877525154</v>
      </c>
      <c r="P1145" s="2">
        <v>1023.061500384938</v>
      </c>
      <c r="Q1145" s="2">
        <v>254.31998955524881</v>
      </c>
      <c r="R1145" s="2">
        <v>2489.4403032681289</v>
      </c>
      <c r="S1145" s="2">
        <v>1025.4099051201106</v>
      </c>
      <c r="T1145" s="2">
        <v>4.3013336427426339</v>
      </c>
      <c r="U1145" s="2">
        <v>-5.6665844843864761</v>
      </c>
      <c r="V1145" s="2">
        <v>2.3484047351726076</v>
      </c>
    </row>
    <row r="1146" spans="1:22" ht="15">
      <c r="A1146" s="2">
        <v>1145</v>
      </c>
      <c r="B1146" s="2" t="s">
        <v>78</v>
      </c>
      <c r="C1146" s="2" t="s">
        <v>81</v>
      </c>
      <c r="D1146" s="2">
        <v>1034.1749105602503</v>
      </c>
      <c r="E1146" s="2">
        <v>723.11215162044391</v>
      </c>
      <c r="F1146" s="2">
        <v>662.38166261464357</v>
      </c>
      <c r="G1146" s="2">
        <v>318.36926795775071</v>
      </c>
      <c r="H1146" s="2">
        <v>22.499264402315021</v>
      </c>
      <c r="I1146" s="2">
        <v>0.85132241440238432</v>
      </c>
      <c r="J1146" s="2">
        <v>7</v>
      </c>
      <c r="K1146" s="2">
        <v>173.54091756281241</v>
      </c>
      <c r="L1146" s="2">
        <v>12550</v>
      </c>
      <c r="M1146" s="2">
        <v>1200</v>
      </c>
      <c r="N1146" s="2">
        <v>249.97343548604485</v>
      </c>
      <c r="O1146" s="2">
        <v>2504.7185277740609</v>
      </c>
      <c r="P1146" s="2">
        <v>1034.1749105602503</v>
      </c>
      <c r="Q1146" s="2">
        <v>249.96378993062208</v>
      </c>
      <c r="R1146" s="2">
        <v>2502.9080291072519</v>
      </c>
      <c r="S1146" s="2">
        <v>1026.6022227710605</v>
      </c>
      <c r="T1146" s="2">
        <v>-9.6455554227645734E-3</v>
      </c>
      <c r="U1146" s="2">
        <v>-1.8104986668090532</v>
      </c>
      <c r="V1146" s="2">
        <v>-7.5726877891897857</v>
      </c>
    </row>
    <row r="1147" spans="1:22" ht="15">
      <c r="A1147" s="2">
        <v>1146</v>
      </c>
      <c r="B1147" s="2" t="s">
        <v>78</v>
      </c>
      <c r="C1147" s="2" t="s">
        <v>81</v>
      </c>
      <c r="D1147" s="2">
        <v>982.60339299449697</v>
      </c>
      <c r="E1147" s="2">
        <v>1025.2488976577297</v>
      </c>
      <c r="F1147" s="2">
        <v>703.73410144820809</v>
      </c>
      <c r="G1147" s="2">
        <v>173.52516732178628</v>
      </c>
      <c r="H1147" s="2">
        <v>11.357489478308707</v>
      </c>
      <c r="I1147" s="2">
        <v>0.83571438201237469</v>
      </c>
      <c r="J1147" s="2">
        <v>6</v>
      </c>
      <c r="K1147" s="2">
        <v>195.96076804542125</v>
      </c>
      <c r="L1147" s="2">
        <v>13115</v>
      </c>
      <c r="M1147" s="2">
        <v>1200</v>
      </c>
      <c r="N1147" s="2">
        <v>250.01327521203513</v>
      </c>
      <c r="O1147" s="2">
        <v>2504.2927547472073</v>
      </c>
      <c r="P1147" s="2">
        <v>982.60339299449697</v>
      </c>
      <c r="Q1147" s="2">
        <v>251.54694601590637</v>
      </c>
      <c r="R1147" s="2">
        <v>2542.6261877995053</v>
      </c>
      <c r="S1147" s="2">
        <v>980.55874023095714</v>
      </c>
      <c r="T1147" s="2">
        <v>1.5336708038712459</v>
      </c>
      <c r="U1147" s="2">
        <v>38.333433052298005</v>
      </c>
      <c r="V1147" s="2">
        <v>-2.0446527635398297</v>
      </c>
    </row>
    <row r="1148" spans="1:22" ht="15">
      <c r="A1148" s="2">
        <v>1147</v>
      </c>
      <c r="B1148" s="2" t="s">
        <v>78</v>
      </c>
      <c r="C1148" s="2" t="s">
        <v>81</v>
      </c>
      <c r="D1148" s="2">
        <v>1098.8664393080398</v>
      </c>
      <c r="E1148" s="2">
        <v>796.29744744161144</v>
      </c>
      <c r="F1148" s="2">
        <v>449.78272654116154</v>
      </c>
      <c r="G1148" s="2">
        <v>165.82694752840325</v>
      </c>
      <c r="H1148" s="2">
        <v>21.978950359858572</v>
      </c>
      <c r="I1148" s="2">
        <v>0.84581303315935663</v>
      </c>
      <c r="J1148" s="2">
        <v>7</v>
      </c>
      <c r="K1148" s="2">
        <v>185.59766017648056</v>
      </c>
      <c r="L1148" s="2">
        <v>15145</v>
      </c>
      <c r="M1148" s="2">
        <v>1200</v>
      </c>
      <c r="N1148" s="2">
        <v>249.97159970186334</v>
      </c>
      <c r="O1148" s="2">
        <v>2503.0189937357404</v>
      </c>
      <c r="P1148" s="2">
        <v>1098.8664393080398</v>
      </c>
      <c r="Q1148" s="2">
        <v>247.41656609066817</v>
      </c>
      <c r="R1148" s="2">
        <v>2462.9023644601407</v>
      </c>
      <c r="S1148" s="2">
        <v>1098.6534065025896</v>
      </c>
      <c r="T1148" s="2">
        <v>-2.5550336111951708</v>
      </c>
      <c r="U1148" s="2">
        <v>-40.116629275599735</v>
      </c>
      <c r="V1148" s="2">
        <v>-0.21303280545021153</v>
      </c>
    </row>
    <row r="1149" spans="1:22" ht="15">
      <c r="A1149" s="2">
        <v>1148</v>
      </c>
      <c r="B1149" s="2" t="s">
        <v>78</v>
      </c>
      <c r="C1149" s="2" t="s">
        <v>81</v>
      </c>
      <c r="D1149" s="2">
        <v>974.4575273594819</v>
      </c>
      <c r="E1149" s="2">
        <v>821.59902933053672</v>
      </c>
      <c r="F1149" s="2">
        <v>643.99421168491244</v>
      </c>
      <c r="G1149" s="2">
        <v>86.020011263899505</v>
      </c>
      <c r="H1149" s="2">
        <v>9.6074111270718277</v>
      </c>
      <c r="I1149" s="2">
        <v>0.81290840566158296</v>
      </c>
      <c r="J1149" s="2">
        <v>6</v>
      </c>
      <c r="K1149" s="2">
        <v>199.78829934852308</v>
      </c>
      <c r="L1149" s="2">
        <v>16080</v>
      </c>
      <c r="M1149" s="2">
        <v>1200</v>
      </c>
      <c r="N1149" s="2">
        <v>249.99861766016036</v>
      </c>
      <c r="O1149" s="2">
        <v>2502.5419294835724</v>
      </c>
      <c r="P1149" s="2">
        <v>974.4575273594819</v>
      </c>
      <c r="Q1149" s="2">
        <v>251.7035498455744</v>
      </c>
      <c r="R1149" s="2">
        <v>2494.1200911785677</v>
      </c>
      <c r="S1149" s="2">
        <v>976.99441910978283</v>
      </c>
      <c r="T1149" s="2">
        <v>1.7049321854140373</v>
      </c>
      <c r="U1149" s="2">
        <v>-8.4218383050047123</v>
      </c>
      <c r="V1149" s="2">
        <v>2.5368917503009243</v>
      </c>
    </row>
    <row r="1150" spans="1:22" ht="15">
      <c r="A1150" s="2">
        <v>1149</v>
      </c>
      <c r="B1150" s="2" t="s">
        <v>78</v>
      </c>
      <c r="C1150" s="2" t="s">
        <v>81</v>
      </c>
      <c r="D1150" s="2">
        <v>967.21280994825065</v>
      </c>
      <c r="E1150" s="2">
        <v>1197.5203339825384</v>
      </c>
      <c r="F1150" s="2">
        <v>711.45628746598959</v>
      </c>
      <c r="G1150" s="2">
        <v>280.82594716222957</v>
      </c>
      <c r="H1150" s="2">
        <v>18.447113897651434</v>
      </c>
      <c r="I1150" s="2">
        <v>0.80735358435893434</v>
      </c>
      <c r="J1150" s="2">
        <v>6</v>
      </c>
      <c r="K1150" s="2">
        <v>199.66733054065151</v>
      </c>
      <c r="L1150" s="2">
        <v>11395</v>
      </c>
      <c r="M1150" s="2">
        <v>1195</v>
      </c>
      <c r="N1150" s="2">
        <v>250.02762193255748</v>
      </c>
      <c r="O1150" s="2">
        <v>2495.2857129009385</v>
      </c>
      <c r="P1150" s="2">
        <v>967.21280994825065</v>
      </c>
      <c r="Q1150" s="2">
        <v>255.01338927447233</v>
      </c>
      <c r="R1150" s="2">
        <v>2503.9318361531427</v>
      </c>
      <c r="S1150" s="2">
        <v>959.77995356540453</v>
      </c>
      <c r="T1150" s="2">
        <v>4.9857673419148512</v>
      </c>
      <c r="U1150" s="2">
        <v>8.6461232522042337</v>
      </c>
      <c r="V1150" s="2">
        <v>-7.4328563828461256</v>
      </c>
    </row>
    <row r="1151" spans="1:22" ht="15">
      <c r="A1151" s="2">
        <v>1150</v>
      </c>
      <c r="B1151" s="2" t="s">
        <v>78</v>
      </c>
      <c r="C1151" s="2" t="s">
        <v>81</v>
      </c>
      <c r="D1151" s="2">
        <v>1031.6682044533081</v>
      </c>
      <c r="E1151" s="2">
        <v>1048.1873008189723</v>
      </c>
      <c r="F1151" s="2">
        <v>639.4399275071919</v>
      </c>
      <c r="G1151" s="2">
        <v>136.1006860807538</v>
      </c>
      <c r="H1151" s="2">
        <v>12.709369274321944</v>
      </c>
      <c r="I1151" s="2">
        <v>0.8029972058860585</v>
      </c>
      <c r="J1151" s="2">
        <v>7</v>
      </c>
      <c r="K1151" s="2">
        <v>183.53883548340889</v>
      </c>
      <c r="L1151" s="2">
        <v>11725</v>
      </c>
      <c r="M1151" s="2">
        <v>1195</v>
      </c>
      <c r="N1151" s="2">
        <v>249.97004577074105</v>
      </c>
      <c r="O1151" s="2">
        <v>2494.9770504147814</v>
      </c>
      <c r="P1151" s="2">
        <v>1031.6682044533081</v>
      </c>
      <c r="Q1151" s="2">
        <v>254.6243966662864</v>
      </c>
      <c r="R1151" s="2">
        <v>2533.1311259682138</v>
      </c>
      <c r="S1151" s="2">
        <v>1027.9656878166072</v>
      </c>
      <c r="T1151" s="2">
        <v>4.654350895545349</v>
      </c>
      <c r="U1151" s="2">
        <v>38.154075553432449</v>
      </c>
      <c r="V1151" s="2">
        <v>-3.7025166367009206</v>
      </c>
    </row>
    <row r="1152" spans="1:22" ht="15">
      <c r="A1152" s="2">
        <v>1151</v>
      </c>
      <c r="B1152" s="2" t="s">
        <v>78</v>
      </c>
      <c r="C1152" s="2" t="s">
        <v>81</v>
      </c>
      <c r="D1152" s="2">
        <v>1057.3860407108441</v>
      </c>
      <c r="E1152" s="2">
        <v>750.90579270618036</v>
      </c>
      <c r="F1152" s="2">
        <v>730.33749982714653</v>
      </c>
      <c r="G1152" s="2">
        <v>187.07935638492927</v>
      </c>
      <c r="H1152" s="2">
        <v>14.57391834910959</v>
      </c>
      <c r="I1152" s="2">
        <v>0.81747037695487967</v>
      </c>
      <c r="J1152" s="2">
        <v>7</v>
      </c>
      <c r="K1152" s="2">
        <v>184.78363611861525</v>
      </c>
      <c r="L1152" s="2">
        <v>12820</v>
      </c>
      <c r="M1152" s="2">
        <v>1200</v>
      </c>
      <c r="N1152" s="2">
        <v>250.02484745133503</v>
      </c>
      <c r="O1152" s="2">
        <v>2504.5116398038831</v>
      </c>
      <c r="P1152" s="2">
        <v>1057.3860407108441</v>
      </c>
      <c r="Q1152" s="2">
        <v>250.58033023000149</v>
      </c>
      <c r="R1152" s="2">
        <v>2528.5033030273289</v>
      </c>
      <c r="S1152" s="2">
        <v>1062.5447619843801</v>
      </c>
      <c r="T1152" s="2">
        <v>0.5554827786664589</v>
      </c>
      <c r="U1152" s="2">
        <v>23.991663223445812</v>
      </c>
      <c r="V1152" s="2">
        <v>5.1587212735360026</v>
      </c>
    </row>
    <row r="1153" spans="1:22" ht="15">
      <c r="A1153" s="2">
        <v>1152</v>
      </c>
      <c r="B1153" s="2" t="s">
        <v>78</v>
      </c>
      <c r="C1153" s="2" t="s">
        <v>81</v>
      </c>
      <c r="D1153" s="2">
        <v>1039.2409922438674</v>
      </c>
      <c r="E1153" s="2">
        <v>1024.7746501117945</v>
      </c>
      <c r="F1153" s="2">
        <v>521.02862587198615</v>
      </c>
      <c r="G1153" s="2">
        <v>278.69172305334359</v>
      </c>
      <c r="H1153" s="2">
        <v>21.141247676219791</v>
      </c>
      <c r="I1153" s="2">
        <v>0.79153285729698841</v>
      </c>
      <c r="J1153" s="2">
        <v>7</v>
      </c>
      <c r="K1153" s="2">
        <v>187.56391162202473</v>
      </c>
      <c r="L1153" s="2">
        <v>11720</v>
      </c>
      <c r="M1153" s="2">
        <v>1195</v>
      </c>
      <c r="N1153" s="2">
        <v>249.96875937053775</v>
      </c>
      <c r="O1153" s="2">
        <v>2494.9814971621931</v>
      </c>
      <c r="P1153" s="2">
        <v>1039.2409922438674</v>
      </c>
      <c r="Q1153" s="2">
        <v>253.22968030168019</v>
      </c>
      <c r="R1153" s="2">
        <v>2520.6359845774768</v>
      </c>
      <c r="S1153" s="2">
        <v>1035.7094658462709</v>
      </c>
      <c r="T1153" s="2">
        <v>3.2609209311424365</v>
      </c>
      <c r="U1153" s="2">
        <v>25.654487415283711</v>
      </c>
      <c r="V1153" s="2">
        <v>-3.5315263975965081</v>
      </c>
    </row>
    <row r="1154" spans="1:22" ht="15">
      <c r="A1154" s="2">
        <v>1153</v>
      </c>
      <c r="B1154" s="2" t="s">
        <v>78</v>
      </c>
      <c r="C1154" s="2" t="s">
        <v>81</v>
      </c>
      <c r="D1154" s="2">
        <v>1090.1782627217472</v>
      </c>
      <c r="E1154" s="2">
        <v>635.3908191784285</v>
      </c>
      <c r="F1154" s="2">
        <v>477.22286526113749</v>
      </c>
      <c r="G1154" s="2">
        <v>163.89124000677839</v>
      </c>
      <c r="H1154" s="2">
        <v>19.025456288829446</v>
      </c>
      <c r="I1154" s="2">
        <v>0.84352664302336056</v>
      </c>
      <c r="J1154" s="2">
        <v>7</v>
      </c>
      <c r="K1154" s="2">
        <v>184.62932155787212</v>
      </c>
      <c r="L1154" s="2">
        <v>16755</v>
      </c>
      <c r="M1154" s="2">
        <v>1200</v>
      </c>
      <c r="N1154" s="2">
        <v>250.02418833119077</v>
      </c>
      <c r="O1154" s="2">
        <v>2502.230790466187</v>
      </c>
      <c r="P1154" s="2">
        <v>1090.1782627217472</v>
      </c>
      <c r="Q1154" s="2">
        <v>248.08242365939898</v>
      </c>
      <c r="R1154" s="2">
        <v>2471.3898401637471</v>
      </c>
      <c r="S1154" s="2">
        <v>1096.3592632766179</v>
      </c>
      <c r="T1154" s="2">
        <v>-1.9417646717917876</v>
      </c>
      <c r="U1154" s="2">
        <v>-30.840950302439978</v>
      </c>
      <c r="V1154" s="2">
        <v>6.1810005548707068</v>
      </c>
    </row>
    <row r="1155" spans="1:22" ht="15">
      <c r="A1155" s="2">
        <v>1154</v>
      </c>
      <c r="B1155" s="2" t="s">
        <v>78</v>
      </c>
      <c r="C1155" s="2" t="s">
        <v>81</v>
      </c>
      <c r="D1155" s="2">
        <v>986.07439302140847</v>
      </c>
      <c r="E1155" s="2">
        <v>1095.9680087165907</v>
      </c>
      <c r="F1155" s="2">
        <v>721.17117876186967</v>
      </c>
      <c r="G1155" s="2">
        <v>205.47236890532076</v>
      </c>
      <c r="H1155" s="2">
        <v>25.940482758451253</v>
      </c>
      <c r="I1155" s="2">
        <v>0.80672683878336104</v>
      </c>
      <c r="J1155" s="2">
        <v>7</v>
      </c>
      <c r="K1155" s="2">
        <v>174.61644221986583</v>
      </c>
      <c r="L1155" s="2">
        <v>10575</v>
      </c>
      <c r="M1155" s="2">
        <v>1195</v>
      </c>
      <c r="N1155" s="2">
        <v>250.03951168917825</v>
      </c>
      <c r="O1155" s="2">
        <v>2496.1299679487211</v>
      </c>
      <c r="P1155" s="2">
        <v>986.07439302140847</v>
      </c>
      <c r="Q1155" s="2">
        <v>250.94676047738218</v>
      </c>
      <c r="R1155" s="2">
        <v>2535.8244746936566</v>
      </c>
      <c r="S1155" s="2">
        <v>975.83440040731466</v>
      </c>
      <c r="T1155" s="2">
        <v>0.90724878820392973</v>
      </c>
      <c r="U1155" s="2">
        <v>39.694506744935552</v>
      </c>
      <c r="V1155" s="2">
        <v>-10.239992614093808</v>
      </c>
    </row>
    <row r="1156" spans="1:22" ht="15">
      <c r="A1156" s="2">
        <v>1155</v>
      </c>
      <c r="B1156" s="2" t="s">
        <v>79</v>
      </c>
      <c r="C1156" s="2" t="s">
        <v>81</v>
      </c>
      <c r="D1156" s="2">
        <v>990.19676928874105</v>
      </c>
      <c r="E1156" s="2">
        <v>655.51232971483842</v>
      </c>
      <c r="F1156" s="2">
        <v>604.80786077678204</v>
      </c>
      <c r="G1156" s="2">
        <v>173.05416390998289</v>
      </c>
      <c r="H1156" s="2">
        <v>11.625534658320248</v>
      </c>
      <c r="I1156" s="2">
        <v>0.79086111427051953</v>
      </c>
      <c r="J1156" s="2">
        <v>7</v>
      </c>
      <c r="K1156" s="2">
        <v>178.86412515987828</v>
      </c>
      <c r="L1156" s="2">
        <v>14920</v>
      </c>
      <c r="M1156" s="2">
        <v>1200</v>
      </c>
      <c r="N1156" s="2">
        <v>250.00193371396293</v>
      </c>
      <c r="O1156" s="2">
        <v>2503.1439587918426</v>
      </c>
      <c r="P1156" s="2">
        <v>990.19676928874105</v>
      </c>
      <c r="Q1156" s="2">
        <v>251.17911458541127</v>
      </c>
      <c r="R1156" s="2">
        <v>2486.9975445984842</v>
      </c>
      <c r="S1156" s="2">
        <v>993.88518982474159</v>
      </c>
      <c r="T1156" s="2">
        <v>1.1771808714483427</v>
      </c>
      <c r="U1156" s="2">
        <v>-16.146414193358396</v>
      </c>
      <c r="V1156" s="2">
        <v>3.6884205360005353</v>
      </c>
    </row>
    <row r="1157" spans="1:22" ht="15">
      <c r="A1157" s="2">
        <v>1156</v>
      </c>
      <c r="B1157" s="2" t="s">
        <v>79</v>
      </c>
      <c r="C1157" s="2" t="s">
        <v>81</v>
      </c>
      <c r="D1157" s="2">
        <v>1009.3254401697777</v>
      </c>
      <c r="E1157" s="2">
        <v>1092.738112481311</v>
      </c>
      <c r="F1157" s="2">
        <v>663.9213147573173</v>
      </c>
      <c r="G1157" s="2">
        <v>311.79600795265287</v>
      </c>
      <c r="H1157" s="2">
        <v>13.205585680436343</v>
      </c>
      <c r="I1157" s="2">
        <v>0.79222162088379267</v>
      </c>
      <c r="J1157" s="2">
        <v>7</v>
      </c>
      <c r="K1157" s="2">
        <v>182.00632852562984</v>
      </c>
      <c r="L1157" s="2">
        <v>10340</v>
      </c>
      <c r="M1157" s="2">
        <v>1195</v>
      </c>
      <c r="N1157" s="2">
        <v>250.02410420646584</v>
      </c>
      <c r="O1157" s="2">
        <v>2496.3957223927546</v>
      </c>
      <c r="P1157" s="2">
        <v>1009.3254401697777</v>
      </c>
      <c r="Q1157" s="2">
        <v>250.45926340415465</v>
      </c>
      <c r="R1157" s="2">
        <v>2551.089336275174</v>
      </c>
      <c r="S1157" s="2">
        <v>1004.3384447990132</v>
      </c>
      <c r="T1157" s="2">
        <v>0.43515919768881872</v>
      </c>
      <c r="U1157" s="2">
        <v>54.693613882419413</v>
      </c>
      <c r="V1157" s="2">
        <v>-4.9869953707644754</v>
      </c>
    </row>
    <row r="1158" spans="1:22" ht="15">
      <c r="A1158" s="2">
        <v>1157</v>
      </c>
      <c r="B1158" s="2" t="s">
        <v>79</v>
      </c>
      <c r="C1158" s="2" t="s">
        <v>81</v>
      </c>
      <c r="D1158" s="2">
        <v>1038.4804213885218</v>
      </c>
      <c r="E1158" s="2">
        <v>1071.5616756933741</v>
      </c>
      <c r="F1158" s="2">
        <v>351.03242825716734</v>
      </c>
      <c r="G1158" s="2">
        <v>203.16996912704781</v>
      </c>
      <c r="H1158" s="2">
        <v>12.565280936658382</v>
      </c>
      <c r="I1158" s="2">
        <v>0.82005095767090097</v>
      </c>
      <c r="J1158" s="2">
        <v>7</v>
      </c>
      <c r="K1158" s="2">
        <v>180.90869174032821</v>
      </c>
      <c r="L1158" s="2">
        <v>13155</v>
      </c>
      <c r="M1158" s="2">
        <v>1200</v>
      </c>
      <c r="N1158" s="2">
        <v>250.01345424343523</v>
      </c>
      <c r="O1158" s="2">
        <v>2504.2638978221989</v>
      </c>
      <c r="P1158" s="2">
        <v>1038.4804213885218</v>
      </c>
      <c r="Q1158" s="2">
        <v>253.32459163020997</v>
      </c>
      <c r="R1158" s="2">
        <v>2482.9827244836238</v>
      </c>
      <c r="S1158" s="2">
        <v>1045.88300667674</v>
      </c>
      <c r="T1158" s="2">
        <v>3.3111373867747318</v>
      </c>
      <c r="U1158" s="2">
        <v>-21.281173338575172</v>
      </c>
      <c r="V1158" s="2">
        <v>7.4025852882182335</v>
      </c>
    </row>
    <row r="1159" spans="1:22" ht="15">
      <c r="A1159" s="2">
        <v>1158</v>
      </c>
      <c r="B1159" s="2" t="s">
        <v>80</v>
      </c>
      <c r="C1159" s="2" t="s">
        <v>81</v>
      </c>
      <c r="D1159" s="2">
        <v>1025.4902302403934</v>
      </c>
      <c r="E1159" s="2">
        <v>1080.5713761365041</v>
      </c>
      <c r="F1159" s="2">
        <v>395.11249037459493</v>
      </c>
      <c r="G1159" s="2">
        <v>181.54247609898448</v>
      </c>
      <c r="H1159" s="2">
        <v>12.316017671022564</v>
      </c>
      <c r="I1159" s="2">
        <v>0.79797794529702515</v>
      </c>
      <c r="J1159" s="2">
        <v>7</v>
      </c>
      <c r="K1159" s="2">
        <v>183.58728481590575</v>
      </c>
      <c r="L1159" s="2">
        <v>12905</v>
      </c>
      <c r="M1159" s="2">
        <v>1200</v>
      </c>
      <c r="N1159" s="2">
        <v>250.0085391753357</v>
      </c>
      <c r="O1159" s="2">
        <v>2504.4470459856016</v>
      </c>
      <c r="P1159" s="2">
        <v>1025.4902302403934</v>
      </c>
      <c r="Q1159" s="2">
        <v>250.01229490301915</v>
      </c>
      <c r="R1159" s="2">
        <v>2536.8193225377613</v>
      </c>
      <c r="S1159" s="2">
        <v>1029.2398868923926</v>
      </c>
      <c r="T1159" s="2">
        <v>3.7557276834547793E-3</v>
      </c>
      <c r="U1159" s="2">
        <v>32.372276552159747</v>
      </c>
      <c r="V1159" s="2">
        <v>3.7496566519992029</v>
      </c>
    </row>
    <row r="1160" spans="1:22" ht="15">
      <c r="A1160" s="2">
        <v>1159</v>
      </c>
      <c r="B1160" s="2" t="s">
        <v>80</v>
      </c>
      <c r="C1160" s="2" t="s">
        <v>81</v>
      </c>
      <c r="D1160" s="2">
        <v>988.71392302680761</v>
      </c>
      <c r="E1160" s="2">
        <v>721.92436904879287</v>
      </c>
      <c r="F1160" s="2">
        <v>389.28315341472626</v>
      </c>
      <c r="G1160" s="2">
        <v>258.35302272578701</v>
      </c>
      <c r="H1160" s="2">
        <v>18.926927777938545</v>
      </c>
      <c r="I1160" s="2">
        <v>0.79525976359611383</v>
      </c>
      <c r="J1160" s="2">
        <v>7</v>
      </c>
      <c r="K1160" s="2">
        <v>177.60844017555553</v>
      </c>
      <c r="L1160" s="2">
        <v>15615</v>
      </c>
      <c r="M1160" s="2">
        <v>1200</v>
      </c>
      <c r="N1160" s="2">
        <v>249.99905316951387</v>
      </c>
      <c r="O1160" s="2">
        <v>2502.7724858456563</v>
      </c>
      <c r="P1160" s="2">
        <v>988.71392302680761</v>
      </c>
      <c r="Q1160" s="2">
        <v>250.44560209584662</v>
      </c>
      <c r="R1160" s="2">
        <v>2467.2677267638983</v>
      </c>
      <c r="S1160" s="2">
        <v>990.96421894272896</v>
      </c>
      <c r="T1160" s="2">
        <v>0.44654892633275267</v>
      </c>
      <c r="U1160" s="2">
        <v>-35.504759081758039</v>
      </c>
      <c r="V1160" s="2">
        <v>2.250295915921356</v>
      </c>
    </row>
    <row r="1161" spans="1:22" ht="15">
      <c r="A1161" s="2">
        <v>1160</v>
      </c>
      <c r="B1161" s="2" t="s">
        <v>80</v>
      </c>
      <c r="C1161" s="2" t="s">
        <v>81</v>
      </c>
      <c r="D1161" s="2">
        <v>1075.0487555633299</v>
      </c>
      <c r="E1161" s="2">
        <v>882.81173976138234</v>
      </c>
      <c r="F1161" s="2">
        <v>635.88953679427505</v>
      </c>
      <c r="G1161" s="2">
        <v>314.78729987982661</v>
      </c>
      <c r="H1161" s="2">
        <v>20.262752620037645</v>
      </c>
      <c r="I1161" s="2">
        <v>0.85204024770297115</v>
      </c>
      <c r="J1161" s="2">
        <v>7</v>
      </c>
      <c r="K1161" s="2">
        <v>180.24781583491944</v>
      </c>
      <c r="L1161" s="2">
        <v>11665</v>
      </c>
      <c r="M1161" s="2">
        <v>1195</v>
      </c>
      <c r="N1161" s="2">
        <v>250.02207922799582</v>
      </c>
      <c r="O1161" s="2">
        <v>2495.0336324357245</v>
      </c>
      <c r="P1161" s="2">
        <v>1075.0487555633299</v>
      </c>
      <c r="Q1161" s="2">
        <v>253.02304552120799</v>
      </c>
      <c r="R1161" s="2">
        <v>2454.9233206184263</v>
      </c>
      <c r="S1161" s="2">
        <v>1063.3757745167625</v>
      </c>
      <c r="T1161" s="2">
        <v>3.0009662932121728</v>
      </c>
      <c r="U1161" s="2">
        <v>-40.110311817298225</v>
      </c>
      <c r="V1161" s="2">
        <v>-11.672981046567429</v>
      </c>
    </row>
    <row r="1162" spans="1:22" ht="15">
      <c r="A1162" s="2">
        <v>1161</v>
      </c>
      <c r="B1162" s="2" t="s">
        <v>78</v>
      </c>
      <c r="C1162" s="2" t="s">
        <v>81</v>
      </c>
      <c r="D1162" s="2">
        <v>956.04265201836824</v>
      </c>
      <c r="E1162" s="2">
        <v>949.96463808929548</v>
      </c>
      <c r="F1162" s="2">
        <v>499.32908732444048</v>
      </c>
      <c r="G1162" s="2">
        <v>138.44118964159861</v>
      </c>
      <c r="H1162" s="2">
        <v>19.458055412396789</v>
      </c>
      <c r="I1162" s="2">
        <v>0.81188713916810229</v>
      </c>
      <c r="J1162" s="2">
        <v>6</v>
      </c>
      <c r="K1162" s="2">
        <v>196.25934974943573</v>
      </c>
      <c r="L1162" s="2">
        <v>15715</v>
      </c>
      <c r="M1162" s="2">
        <v>1200</v>
      </c>
      <c r="N1162" s="2">
        <v>250.01199776909044</v>
      </c>
      <c r="O1162" s="2">
        <v>2502.7221621321596</v>
      </c>
      <c r="P1162" s="2">
        <v>956.04265201836824</v>
      </c>
      <c r="Q1162" s="2">
        <v>252.52343362416798</v>
      </c>
      <c r="R1162" s="2">
        <v>2551.2859303345936</v>
      </c>
      <c r="S1162" s="2">
        <v>952.42765311580422</v>
      </c>
      <c r="T1162" s="2">
        <v>2.5114358550775364</v>
      </c>
      <c r="U1162" s="2">
        <v>48.563768202433948</v>
      </c>
      <c r="V1162" s="2">
        <v>-3.6149989025640252</v>
      </c>
    </row>
    <row r="1163" spans="1:22" ht="15">
      <c r="A1163" s="2">
        <v>1162</v>
      </c>
      <c r="B1163" s="2" t="s">
        <v>78</v>
      </c>
      <c r="C1163" s="2" t="s">
        <v>81</v>
      </c>
      <c r="D1163" s="2">
        <v>1020.9511370048858</v>
      </c>
      <c r="E1163" s="2">
        <v>715.84409850183874</v>
      </c>
      <c r="F1163" s="2">
        <v>627.84797260537744</v>
      </c>
      <c r="G1163" s="2">
        <v>199.3925968836993</v>
      </c>
      <c r="H1163" s="2">
        <v>9.878345285076648</v>
      </c>
      <c r="I1163" s="2">
        <v>0.8087063469411806</v>
      </c>
      <c r="J1163" s="2">
        <v>7</v>
      </c>
      <c r="K1163" s="2">
        <v>180.34996631463</v>
      </c>
      <c r="L1163" s="2">
        <v>13860</v>
      </c>
      <c r="M1163" s="2">
        <v>1200</v>
      </c>
      <c r="N1163" s="2">
        <v>250.01603693994625</v>
      </c>
      <c r="O1163" s="2">
        <v>2503.7826044693084</v>
      </c>
      <c r="P1163" s="2">
        <v>1020.9511370048858</v>
      </c>
      <c r="Q1163" s="2">
        <v>248.94635119015905</v>
      </c>
      <c r="R1163" s="2">
        <v>2515.2553680867391</v>
      </c>
      <c r="S1163" s="2">
        <v>1023.9284514413858</v>
      </c>
      <c r="T1163" s="2">
        <v>-1.0696857497871974</v>
      </c>
      <c r="U1163" s="2">
        <v>11.472763617430701</v>
      </c>
      <c r="V1163" s="2">
        <v>2.9773144365000235</v>
      </c>
    </row>
    <row r="1164" spans="1:22" ht="15">
      <c r="A1164" s="2">
        <v>1163</v>
      </c>
      <c r="B1164" s="2" t="s">
        <v>78</v>
      </c>
      <c r="C1164" s="2" t="s">
        <v>81</v>
      </c>
      <c r="D1164" s="2">
        <v>1022.9887786088511</v>
      </c>
      <c r="E1164" s="2">
        <v>955.87107340106741</v>
      </c>
      <c r="F1164" s="2">
        <v>597.32128866016865</v>
      </c>
      <c r="G1164" s="2">
        <v>181.52141022263095</v>
      </c>
      <c r="H1164" s="2">
        <v>28.624367983080447</v>
      </c>
      <c r="I1164" s="2">
        <v>0.83235169394640252</v>
      </c>
      <c r="J1164" s="2">
        <v>7</v>
      </c>
      <c r="K1164" s="2">
        <v>175.57632807123136</v>
      </c>
      <c r="L1164" s="2">
        <v>12330</v>
      </c>
      <c r="M1164" s="2">
        <v>1200</v>
      </c>
      <c r="N1164" s="2">
        <v>250.03834560542856</v>
      </c>
      <c r="O1164" s="2">
        <v>2504.8981158112188</v>
      </c>
      <c r="P1164" s="2">
        <v>1022.9887786088511</v>
      </c>
      <c r="Q1164" s="2">
        <v>247.11109520147915</v>
      </c>
      <c r="R1164" s="2">
        <v>2474.3113374665013</v>
      </c>
      <c r="S1164" s="2">
        <v>1008.6851353649874</v>
      </c>
      <c r="T1164" s="2">
        <v>-2.9272504039494152</v>
      </c>
      <c r="U1164" s="2">
        <v>-30.586778344717459</v>
      </c>
      <c r="V1164" s="2">
        <v>-14.303643243863689</v>
      </c>
    </row>
    <row r="1165" spans="1:22" ht="15">
      <c r="A1165" s="2">
        <v>1164</v>
      </c>
      <c r="B1165" s="2" t="s">
        <v>78</v>
      </c>
      <c r="C1165" s="2" t="s">
        <v>81</v>
      </c>
      <c r="D1165" s="2">
        <v>1094.884465856012</v>
      </c>
      <c r="E1165" s="2">
        <v>604.06975499354303</v>
      </c>
      <c r="F1165" s="2">
        <v>388.38449819013476</v>
      </c>
      <c r="G1165" s="2">
        <v>112.04820200335234</v>
      </c>
      <c r="H1165" s="2">
        <v>16.136182847898453</v>
      </c>
      <c r="I1165" s="2">
        <v>0.83756307046860456</v>
      </c>
      <c r="J1165" s="2">
        <v>7</v>
      </c>
      <c r="K1165" s="2">
        <v>186.74661296056013</v>
      </c>
      <c r="L1165" s="2">
        <v>19360</v>
      </c>
      <c r="M1165" s="2">
        <v>1200</v>
      </c>
      <c r="N1165" s="2">
        <v>249.96947700967439</v>
      </c>
      <c r="O1165" s="2">
        <v>2501.2295296921347</v>
      </c>
      <c r="P1165" s="2">
        <v>1094.884465856012</v>
      </c>
      <c r="Q1165" s="2">
        <v>245.85775586102545</v>
      </c>
      <c r="R1165" s="2">
        <v>2466.6736892936965</v>
      </c>
      <c r="S1165" s="2">
        <v>1114.3558585890289</v>
      </c>
      <c r="T1165" s="2">
        <v>-4.1117211486489396</v>
      </c>
      <c r="U1165" s="2">
        <v>-34.555840398438249</v>
      </c>
      <c r="V1165" s="2">
        <v>19.471392733016955</v>
      </c>
    </row>
    <row r="1166" spans="1:22" ht="15">
      <c r="A1166" s="2">
        <v>1165</v>
      </c>
      <c r="B1166" s="2" t="s">
        <v>78</v>
      </c>
      <c r="C1166" s="2" t="s">
        <v>81</v>
      </c>
      <c r="D1166" s="2">
        <v>1003.0143262352794</v>
      </c>
      <c r="E1166" s="2">
        <v>846.07688923133537</v>
      </c>
      <c r="F1166" s="2">
        <v>680.76428975909948</v>
      </c>
      <c r="G1166" s="2">
        <v>282.39903387846425</v>
      </c>
      <c r="H1166" s="2">
        <v>13.357751864939928</v>
      </c>
      <c r="I1166" s="2">
        <v>0.85718881443375727</v>
      </c>
      <c r="J1166" s="2">
        <v>6</v>
      </c>
      <c r="K1166" s="2">
        <v>195.02010707288019</v>
      </c>
      <c r="L1166" s="2">
        <v>13790</v>
      </c>
      <c r="M1166" s="2">
        <v>1200</v>
      </c>
      <c r="N1166" s="2">
        <v>249.99355081630722</v>
      </c>
      <c r="O1166" s="2">
        <v>2503.8273849661305</v>
      </c>
      <c r="P1166" s="2">
        <v>1003.0143262352794</v>
      </c>
      <c r="Q1166" s="2">
        <v>250.81760539403197</v>
      </c>
      <c r="R1166" s="2">
        <v>2475.7507350172386</v>
      </c>
      <c r="S1166" s="2">
        <v>1007.3087440809487</v>
      </c>
      <c r="T1166" s="2">
        <v>0.82405457772475188</v>
      </c>
      <c r="U1166" s="2">
        <v>-28.076649948891827</v>
      </c>
      <c r="V1166" s="2">
        <v>4.2944178456692725</v>
      </c>
    </row>
    <row r="1167" spans="1:22" ht="15">
      <c r="A1167" s="2">
        <v>1166</v>
      </c>
      <c r="B1167" s="2" t="s">
        <v>78</v>
      </c>
      <c r="C1167" s="2" t="s">
        <v>81</v>
      </c>
      <c r="D1167" s="2">
        <v>1063.5309482109733</v>
      </c>
      <c r="E1167" s="2">
        <v>760.25128706824034</v>
      </c>
      <c r="F1167" s="2">
        <v>735.87781237438321</v>
      </c>
      <c r="G1167" s="2">
        <v>180.04353709518909</v>
      </c>
      <c r="H1167" s="2">
        <v>10.42883192980662</v>
      </c>
      <c r="I1167" s="2">
        <v>0.8048319078935311</v>
      </c>
      <c r="J1167" s="2">
        <v>7</v>
      </c>
      <c r="K1167" s="2">
        <v>188.77605511344413</v>
      </c>
      <c r="L1167" s="2">
        <v>12760</v>
      </c>
      <c r="M1167" s="2">
        <v>1200</v>
      </c>
      <c r="N1167" s="2">
        <v>250.02552935795933</v>
      </c>
      <c r="O1167" s="2">
        <v>2504.5573361518141</v>
      </c>
      <c r="P1167" s="2">
        <v>1063.5309482109733</v>
      </c>
      <c r="Q1167" s="2">
        <v>249.60313738439578</v>
      </c>
      <c r="R1167" s="2">
        <v>2524.5056611161053</v>
      </c>
      <c r="S1167" s="2">
        <v>1073.6384987710949</v>
      </c>
      <c r="T1167" s="2">
        <v>-0.42239197356354907</v>
      </c>
      <c r="U1167" s="2">
        <v>19.94832496429126</v>
      </c>
      <c r="V1167" s="2">
        <v>10.107550560121581</v>
      </c>
    </row>
    <row r="1168" spans="1:22" ht="15">
      <c r="A1168" s="2">
        <v>1167</v>
      </c>
      <c r="B1168" s="2" t="s">
        <v>78</v>
      </c>
      <c r="C1168" s="2" t="s">
        <v>81</v>
      </c>
      <c r="D1168" s="2">
        <v>955.74362559709698</v>
      </c>
      <c r="E1168" s="2">
        <v>789.83121636556461</v>
      </c>
      <c r="F1168" s="2">
        <v>540.07081463932991</v>
      </c>
      <c r="G1168" s="2">
        <v>153.2279498479329</v>
      </c>
      <c r="H1168" s="2">
        <v>13.47691088821739</v>
      </c>
      <c r="I1168" s="2">
        <v>0.82910360825946561</v>
      </c>
      <c r="J1168" s="2">
        <v>6</v>
      </c>
      <c r="K1168" s="2">
        <v>192.1238825634604</v>
      </c>
      <c r="L1168" s="2">
        <v>16825</v>
      </c>
      <c r="M1168" s="2">
        <v>1200</v>
      </c>
      <c r="N1168" s="2">
        <v>250.03597119991591</v>
      </c>
      <c r="O1168" s="2">
        <v>2502.2002253524629</v>
      </c>
      <c r="P1168" s="2">
        <v>955.74362559709698</v>
      </c>
      <c r="Q1168" s="2">
        <v>248.44062058188459</v>
      </c>
      <c r="R1168" s="2">
        <v>2527.0136312005388</v>
      </c>
      <c r="S1168" s="2">
        <v>961.17875206336134</v>
      </c>
      <c r="T1168" s="2">
        <v>-1.5953506180313184</v>
      </c>
      <c r="U1168" s="2">
        <v>24.813405848075945</v>
      </c>
      <c r="V1168" s="2">
        <v>5.4351264662643644</v>
      </c>
    </row>
    <row r="1169" spans="1:22" ht="15">
      <c r="A1169" s="2">
        <v>1168</v>
      </c>
      <c r="B1169" s="2" t="s">
        <v>78</v>
      </c>
      <c r="C1169" s="2" t="s">
        <v>81</v>
      </c>
      <c r="D1169" s="2">
        <v>1099.2839045706205</v>
      </c>
      <c r="E1169" s="2">
        <v>1148.8843014463782</v>
      </c>
      <c r="F1169" s="2">
        <v>500.9595169685781</v>
      </c>
      <c r="G1169" s="2">
        <v>320.25581975001842</v>
      </c>
      <c r="H1169" s="2">
        <v>19.210002550389618</v>
      </c>
      <c r="I1169" s="2">
        <v>0.83037308125756681</v>
      </c>
      <c r="J1169" s="2">
        <v>7</v>
      </c>
      <c r="K1169" s="2">
        <v>189.12048251608937</v>
      </c>
      <c r="L1169" s="2">
        <v>10855</v>
      </c>
      <c r="M1169" s="2">
        <v>1195</v>
      </c>
      <c r="N1169" s="2">
        <v>249.99622282672831</v>
      </c>
      <c r="O1169" s="2">
        <v>2495.8255592469623</v>
      </c>
      <c r="P1169" s="2">
        <v>1099.2839045706205</v>
      </c>
      <c r="Q1169" s="2">
        <v>253.85587582015003</v>
      </c>
      <c r="R1169" s="2">
        <v>2521.0824040224074</v>
      </c>
      <c r="S1169" s="2">
        <v>1097.7365400943131</v>
      </c>
      <c r="T1169" s="2">
        <v>3.8596529934217187</v>
      </c>
      <c r="U1169" s="2">
        <v>25.256844775445188</v>
      </c>
      <c r="V1169" s="2">
        <v>-1.5473644763073935</v>
      </c>
    </row>
    <row r="1170" spans="1:22" ht="15">
      <c r="A1170" s="2">
        <v>1169</v>
      </c>
      <c r="B1170" s="2" t="s">
        <v>78</v>
      </c>
      <c r="C1170" s="2" t="s">
        <v>81</v>
      </c>
      <c r="D1170" s="2">
        <v>1030.621285084635</v>
      </c>
      <c r="E1170" s="2">
        <v>729.85135813942179</v>
      </c>
      <c r="F1170" s="2">
        <v>587.13920209556818</v>
      </c>
      <c r="G1170" s="2">
        <v>220.49707172671333</v>
      </c>
      <c r="H1170" s="2">
        <v>25.365295263007283</v>
      </c>
      <c r="I1170" s="2">
        <v>0.81956275827484204</v>
      </c>
      <c r="J1170" s="2">
        <v>7</v>
      </c>
      <c r="K1170" s="2">
        <v>179.64653794770584</v>
      </c>
      <c r="L1170" s="2">
        <v>13910</v>
      </c>
      <c r="M1170" s="2">
        <v>1200</v>
      </c>
      <c r="N1170" s="2">
        <v>250.00817891121957</v>
      </c>
      <c r="O1170" s="2">
        <v>2503.7500230031751</v>
      </c>
      <c r="P1170" s="2">
        <v>1030.621285084635</v>
      </c>
      <c r="Q1170" s="2">
        <v>251.06335995957909</v>
      </c>
      <c r="R1170" s="2">
        <v>2530.2307280329314</v>
      </c>
      <c r="S1170" s="2">
        <v>1021.6445730225732</v>
      </c>
      <c r="T1170" s="2">
        <v>1.0551810483595148</v>
      </c>
      <c r="U1170" s="2">
        <v>26.480705029756336</v>
      </c>
      <c r="V1170" s="2">
        <v>-8.9767120620617789</v>
      </c>
    </row>
    <row r="1171" spans="1:22" ht="15">
      <c r="A1171" s="2">
        <v>1170</v>
      </c>
      <c r="B1171" s="2" t="s">
        <v>78</v>
      </c>
      <c r="C1171" s="2" t="s">
        <v>81</v>
      </c>
      <c r="D1171" s="2">
        <v>1020.5034117796458</v>
      </c>
      <c r="E1171" s="2">
        <v>1149.9117472441867</v>
      </c>
      <c r="F1171" s="2">
        <v>537.40049982443452</v>
      </c>
      <c r="G1171" s="2">
        <v>149.62341000325978</v>
      </c>
      <c r="H1171" s="2">
        <v>26.968634888995439</v>
      </c>
      <c r="I1171" s="2">
        <v>0.82239759261254219</v>
      </c>
      <c r="J1171" s="2">
        <v>7</v>
      </c>
      <c r="K1171" s="2">
        <v>177.26973302497385</v>
      </c>
      <c r="L1171" s="2">
        <v>11640</v>
      </c>
      <c r="M1171" s="2">
        <v>1195</v>
      </c>
      <c r="N1171" s="2">
        <v>249.95546488446772</v>
      </c>
      <c r="O1171" s="2">
        <v>2495.0536149725849</v>
      </c>
      <c r="P1171" s="2">
        <v>1020.5034117796458</v>
      </c>
      <c r="Q1171" s="2">
        <v>248.39022307905216</v>
      </c>
      <c r="R1171" s="2">
        <v>2483.5340507314022</v>
      </c>
      <c r="S1171" s="2">
        <v>1010.8408546265183</v>
      </c>
      <c r="T1171" s="2">
        <v>-1.5652418054155532</v>
      </c>
      <c r="U1171" s="2">
        <v>-11.519564241182707</v>
      </c>
      <c r="V1171" s="2">
        <v>-9.6625571531275227</v>
      </c>
    </row>
    <row r="1172" spans="1:22" ht="15">
      <c r="A1172" s="2">
        <v>1171</v>
      </c>
      <c r="B1172" s="2" t="s">
        <v>78</v>
      </c>
      <c r="C1172" s="2" t="s">
        <v>81</v>
      </c>
      <c r="D1172" s="2">
        <v>1024.717347486876</v>
      </c>
      <c r="E1172" s="2">
        <v>722.35508185112849</v>
      </c>
      <c r="F1172" s="2">
        <v>378.346111997962</v>
      </c>
      <c r="G1172" s="2">
        <v>146.5628730203025</v>
      </c>
      <c r="H1172" s="2">
        <v>19.020337876863778</v>
      </c>
      <c r="I1172" s="2">
        <v>0.82531176117016003</v>
      </c>
      <c r="J1172" s="2">
        <v>7</v>
      </c>
      <c r="K1172" s="2">
        <v>177.37320535765792</v>
      </c>
      <c r="L1172" s="2">
        <v>17145</v>
      </c>
      <c r="M1172" s="2">
        <v>1200</v>
      </c>
      <c r="N1172" s="2">
        <v>249.98329379855596</v>
      </c>
      <c r="O1172" s="2">
        <v>2502.0605735860599</v>
      </c>
      <c r="P1172" s="2">
        <v>1024.717347486876</v>
      </c>
      <c r="Q1172" s="2">
        <v>245.6688868281002</v>
      </c>
      <c r="R1172" s="2">
        <v>2478.9172743641966</v>
      </c>
      <c r="S1172" s="2">
        <v>1037.8450692552462</v>
      </c>
      <c r="T1172" s="2">
        <v>-4.3144069704557637</v>
      </c>
      <c r="U1172" s="2">
        <v>-23.143299221863344</v>
      </c>
      <c r="V1172" s="2">
        <v>13.127721768370293</v>
      </c>
    </row>
    <row r="1173" spans="1:22" ht="15">
      <c r="A1173" s="2">
        <v>1172</v>
      </c>
      <c r="B1173" s="2" t="s">
        <v>78</v>
      </c>
      <c r="C1173" s="2" t="s">
        <v>81</v>
      </c>
      <c r="D1173" s="2">
        <v>1024.7429837821983</v>
      </c>
      <c r="E1173" s="2">
        <v>1035.4577912483364</v>
      </c>
      <c r="F1173" s="2">
        <v>709.02881203219295</v>
      </c>
      <c r="G1173" s="2">
        <v>159.85942193772644</v>
      </c>
      <c r="H1173" s="2">
        <v>13.571974083315581</v>
      </c>
      <c r="I1173" s="2">
        <v>0.79430985631421214</v>
      </c>
      <c r="J1173" s="2">
        <v>7</v>
      </c>
      <c r="K1173" s="2">
        <v>184.30069029398877</v>
      </c>
      <c r="L1173" s="2">
        <v>11230</v>
      </c>
      <c r="M1173" s="2">
        <v>1195</v>
      </c>
      <c r="N1173" s="2">
        <v>250.00043094630865</v>
      </c>
      <c r="O1173" s="2">
        <v>2495.4443891691585</v>
      </c>
      <c r="P1173" s="2">
        <v>1024.7429837821983</v>
      </c>
      <c r="Q1173" s="2">
        <v>249.72062598076005</v>
      </c>
      <c r="R1173" s="2">
        <v>2545.2444656338103</v>
      </c>
      <c r="S1173" s="2">
        <v>1019.7005378117411</v>
      </c>
      <c r="T1173" s="2">
        <v>-0.27980496554860679</v>
      </c>
      <c r="U1173" s="2">
        <v>49.800076464651738</v>
      </c>
      <c r="V1173" s="2">
        <v>-5.0424459704571518</v>
      </c>
    </row>
    <row r="1174" spans="1:22" ht="15">
      <c r="A1174" s="2">
        <v>1173</v>
      </c>
      <c r="B1174" s="2" t="s">
        <v>78</v>
      </c>
      <c r="C1174" s="2" t="s">
        <v>81</v>
      </c>
      <c r="D1174" s="2">
        <v>997.37372477538884</v>
      </c>
      <c r="E1174" s="2">
        <v>966.78178346483037</v>
      </c>
      <c r="F1174" s="2">
        <v>689.42521791905165</v>
      </c>
      <c r="G1174" s="2">
        <v>239.55243661301211</v>
      </c>
      <c r="H1174" s="2">
        <v>14.914183512330055</v>
      </c>
      <c r="I1174" s="2">
        <v>0.85524113459745421</v>
      </c>
      <c r="J1174" s="2">
        <v>6</v>
      </c>
      <c r="K1174" s="2">
        <v>194.36501286560812</v>
      </c>
      <c r="L1174" s="2">
        <v>13160</v>
      </c>
      <c r="M1174" s="2">
        <v>1200</v>
      </c>
      <c r="N1174" s="2">
        <v>249.98130021694328</v>
      </c>
      <c r="O1174" s="2">
        <v>2504.2590812918293</v>
      </c>
      <c r="P1174" s="2">
        <v>997.37372477538884</v>
      </c>
      <c r="Q1174" s="2">
        <v>252.5059566312045</v>
      </c>
      <c r="R1174" s="2">
        <v>2528.9126990335108</v>
      </c>
      <c r="S1174" s="2">
        <v>996.60241683604295</v>
      </c>
      <c r="T1174" s="2">
        <v>2.5246564142612158</v>
      </c>
      <c r="U1174" s="2">
        <v>24.653617741681501</v>
      </c>
      <c r="V1174" s="2">
        <v>-0.77130793934588837</v>
      </c>
    </row>
    <row r="1175" spans="1:22" ht="15">
      <c r="A1175" s="2">
        <v>1174</v>
      </c>
      <c r="B1175" s="2" t="s">
        <v>78</v>
      </c>
      <c r="C1175" s="2" t="s">
        <v>81</v>
      </c>
      <c r="D1175" s="2">
        <v>958.83767205523327</v>
      </c>
      <c r="E1175" s="2">
        <v>866.44771003630012</v>
      </c>
      <c r="F1175" s="2">
        <v>582.61067988350987</v>
      </c>
      <c r="G1175" s="2">
        <v>321.47518025711179</v>
      </c>
      <c r="H1175" s="2">
        <v>10.942232674453408</v>
      </c>
      <c r="I1175" s="2">
        <v>0.80602344532962888</v>
      </c>
      <c r="J1175" s="2">
        <v>6</v>
      </c>
      <c r="K1175" s="2">
        <v>198.26504998315318</v>
      </c>
      <c r="L1175" s="2">
        <v>14090</v>
      </c>
      <c r="M1175" s="2">
        <v>1200</v>
      </c>
      <c r="N1175" s="2">
        <v>249.96738658842722</v>
      </c>
      <c r="O1175" s="2">
        <v>2503.6342543017545</v>
      </c>
      <c r="P1175" s="2">
        <v>958.83767205523327</v>
      </c>
      <c r="Q1175" s="2">
        <v>252.9157095749712</v>
      </c>
      <c r="R1175" s="2">
        <v>2467.3521071605501</v>
      </c>
      <c r="S1175" s="2">
        <v>962.73024335788477</v>
      </c>
      <c r="T1175" s="2">
        <v>2.9483229865439853</v>
      </c>
      <c r="U1175" s="2">
        <v>-36.282147141204405</v>
      </c>
      <c r="V1175" s="2">
        <v>3.8925713026515041</v>
      </c>
    </row>
    <row r="1176" spans="1:22" ht="15">
      <c r="A1176" s="2">
        <v>1175</v>
      </c>
      <c r="B1176" s="2" t="s">
        <v>79</v>
      </c>
      <c r="C1176" s="2" t="s">
        <v>81</v>
      </c>
      <c r="D1176" s="2">
        <v>986.29029963631183</v>
      </c>
      <c r="E1176" s="2">
        <v>1017.7867541206069</v>
      </c>
      <c r="F1176" s="2">
        <v>657.90571421384811</v>
      </c>
      <c r="G1176" s="2">
        <v>113.36187166860327</v>
      </c>
      <c r="H1176" s="2">
        <v>28.104143406264484</v>
      </c>
      <c r="I1176" s="2">
        <v>0.81067166115855804</v>
      </c>
      <c r="J1176" s="2">
        <v>7</v>
      </c>
      <c r="K1176" s="2">
        <v>173.80478556805096</v>
      </c>
      <c r="L1176" s="2">
        <v>11955</v>
      </c>
      <c r="M1176" s="2">
        <v>1200</v>
      </c>
      <c r="N1176" s="2">
        <v>250.0281118294474</v>
      </c>
      <c r="O1176" s="2">
        <v>2505.2144431240258</v>
      </c>
      <c r="P1176" s="2">
        <v>986.29029963631183</v>
      </c>
      <c r="Q1176" s="2">
        <v>247.67202466373209</v>
      </c>
      <c r="R1176" s="2">
        <v>2535.8067542950166</v>
      </c>
      <c r="S1176" s="2">
        <v>978.09084953348463</v>
      </c>
      <c r="T1176" s="2">
        <v>-2.3560871657153086</v>
      </c>
      <c r="U1176" s="2">
        <v>30.592311170990797</v>
      </c>
      <c r="V1176" s="2">
        <v>-8.1994501028271998</v>
      </c>
    </row>
    <row r="1177" spans="1:22" ht="15">
      <c r="A1177" s="2">
        <v>1176</v>
      </c>
      <c r="B1177" s="2" t="s">
        <v>79</v>
      </c>
      <c r="C1177" s="2" t="s">
        <v>81</v>
      </c>
      <c r="D1177" s="2">
        <v>1011.6873259539716</v>
      </c>
      <c r="E1177" s="2">
        <v>737.12283214554191</v>
      </c>
      <c r="F1177" s="2">
        <v>525.76691722497344</v>
      </c>
      <c r="G1177" s="2">
        <v>156.4506800333038</v>
      </c>
      <c r="H1177" s="2">
        <v>19.193549682851881</v>
      </c>
      <c r="I1177" s="2">
        <v>0.84243427773006263</v>
      </c>
      <c r="J1177" s="2">
        <v>7</v>
      </c>
      <c r="K1177" s="2">
        <v>171.5584997799406</v>
      </c>
      <c r="L1177" s="2">
        <v>15065</v>
      </c>
      <c r="M1177" s="2">
        <v>1200</v>
      </c>
      <c r="N1177" s="2">
        <v>249.96021006059559</v>
      </c>
      <c r="O1177" s="2">
        <v>2503.0622645076455</v>
      </c>
      <c r="P1177" s="2">
        <v>1011.6873259539716</v>
      </c>
      <c r="Q1177" s="2">
        <v>247.00017855036097</v>
      </c>
      <c r="R1177" s="2">
        <v>2449.3528932497602</v>
      </c>
      <c r="S1177" s="2">
        <v>1016.196839264389</v>
      </c>
      <c r="T1177" s="2">
        <v>-2.9600315102346144</v>
      </c>
      <c r="U1177" s="2">
        <v>-53.709371257885323</v>
      </c>
      <c r="V1177" s="2">
        <v>4.5095133104174465</v>
      </c>
    </row>
    <row r="1178" spans="1:22" ht="15">
      <c r="A1178" s="2">
        <v>1177</v>
      </c>
      <c r="B1178" s="2" t="s">
        <v>79</v>
      </c>
      <c r="C1178" s="2" t="s">
        <v>81</v>
      </c>
      <c r="D1178" s="2">
        <v>1088.3502542972565</v>
      </c>
      <c r="E1178" s="2">
        <v>1217.2587925917469</v>
      </c>
      <c r="F1178" s="2">
        <v>470.11259067803621</v>
      </c>
      <c r="G1178" s="2">
        <v>145.26596710318699</v>
      </c>
      <c r="H1178" s="2">
        <v>20.576029447838664</v>
      </c>
      <c r="I1178" s="2">
        <v>0.82375959699274981</v>
      </c>
      <c r="J1178" s="2">
        <v>7</v>
      </c>
      <c r="K1178" s="2">
        <v>188.74269668523127</v>
      </c>
      <c r="L1178" s="2">
        <v>11670</v>
      </c>
      <c r="M1178" s="2">
        <v>1195</v>
      </c>
      <c r="N1178" s="2">
        <v>250.01312820151327</v>
      </c>
      <c r="O1178" s="2">
        <v>2495.0286979250573</v>
      </c>
      <c r="P1178" s="2">
        <v>1088.3502542972565</v>
      </c>
      <c r="Q1178" s="2">
        <v>249.49515374655346</v>
      </c>
      <c r="R1178" s="2">
        <v>2559.1717581057678</v>
      </c>
      <c r="S1178" s="2">
        <v>1081.2560953102113</v>
      </c>
      <c r="T1178" s="2">
        <v>-0.51797445495981265</v>
      </c>
      <c r="U1178" s="2">
        <v>64.143060180710563</v>
      </c>
      <c r="V1178" s="2">
        <v>-7.094158987045148</v>
      </c>
    </row>
    <row r="1179" spans="1:22" ht="15">
      <c r="A1179" s="2">
        <v>1178</v>
      </c>
      <c r="B1179" s="2" t="s">
        <v>80</v>
      </c>
      <c r="C1179" s="2" t="s">
        <v>81</v>
      </c>
      <c r="D1179" s="2">
        <v>1013.3714875788428</v>
      </c>
      <c r="E1179" s="2">
        <v>646.68026661965996</v>
      </c>
      <c r="F1179" s="2">
        <v>518.76262882724404</v>
      </c>
      <c r="G1179" s="2">
        <v>148.23491095565259</v>
      </c>
      <c r="H1179" s="2">
        <v>10.127439674455673</v>
      </c>
      <c r="I1179" s="2">
        <v>0.84637424141634265</v>
      </c>
      <c r="J1179" s="2">
        <v>6</v>
      </c>
      <c r="K1179" s="2">
        <v>199.55149822042534</v>
      </c>
      <c r="L1179" s="2">
        <v>18995</v>
      </c>
      <c r="M1179" s="2">
        <v>1200</v>
      </c>
      <c r="N1179" s="2">
        <v>250.03235102119834</v>
      </c>
      <c r="O1179" s="2">
        <v>2501.3547267828258</v>
      </c>
      <c r="P1179" s="2">
        <v>1013.3714875788428</v>
      </c>
      <c r="Q1179" s="2">
        <v>248.82485980424869</v>
      </c>
      <c r="R1179" s="2">
        <v>2440.5044523578949</v>
      </c>
      <c r="S1179" s="2">
        <v>1019.63033003131</v>
      </c>
      <c r="T1179" s="2">
        <v>-1.2074912169496486</v>
      </c>
      <c r="U1179" s="2">
        <v>-60.850274424930831</v>
      </c>
      <c r="V1179" s="2">
        <v>6.2588424524672064</v>
      </c>
    </row>
    <row r="1180" spans="1:22" ht="15">
      <c r="A1180" s="2">
        <v>1179</v>
      </c>
      <c r="B1180" s="2" t="s">
        <v>80</v>
      </c>
      <c r="C1180" s="2" t="s">
        <v>81</v>
      </c>
      <c r="D1180" s="2">
        <v>950.85723407100886</v>
      </c>
      <c r="E1180" s="2">
        <v>1132.7930484549142</v>
      </c>
      <c r="F1180" s="2">
        <v>659.18375290930271</v>
      </c>
      <c r="G1180" s="2">
        <v>192.96159139601514</v>
      </c>
      <c r="H1180" s="2">
        <v>25.77031918708235</v>
      </c>
      <c r="I1180" s="2">
        <v>0.8337130070733838</v>
      </c>
      <c r="J1180" s="2">
        <v>6</v>
      </c>
      <c r="K1180" s="2">
        <v>190.08484254648596</v>
      </c>
      <c r="L1180" s="2">
        <v>12570</v>
      </c>
      <c r="M1180" s="2">
        <v>1200</v>
      </c>
      <c r="N1180" s="2">
        <v>250.00648276040229</v>
      </c>
      <c r="O1180" s="2">
        <v>2504.7040486045162</v>
      </c>
      <c r="P1180" s="2">
        <v>950.85723407100886</v>
      </c>
      <c r="Q1180" s="2">
        <v>251.79040071068442</v>
      </c>
      <c r="R1180" s="2">
        <v>2560.417974076106</v>
      </c>
      <c r="S1180" s="2">
        <v>937.02057369128806</v>
      </c>
      <c r="T1180" s="2">
        <v>1.783917950282131</v>
      </c>
      <c r="U1180" s="2">
        <v>55.713925471589846</v>
      </c>
      <c r="V1180" s="2">
        <v>-13.836660379720797</v>
      </c>
    </row>
    <row r="1181" spans="1:22" ht="15">
      <c r="A1181" s="2">
        <v>1180</v>
      </c>
      <c r="B1181" s="2" t="s">
        <v>80</v>
      </c>
      <c r="C1181" s="2" t="s">
        <v>81</v>
      </c>
      <c r="D1181" s="2">
        <v>1087.2695051482879</v>
      </c>
      <c r="E1181" s="2">
        <v>636.6909823846072</v>
      </c>
      <c r="F1181" s="2">
        <v>664.39872039481997</v>
      </c>
      <c r="G1181" s="2">
        <v>220.30773553531617</v>
      </c>
      <c r="H1181" s="2">
        <v>11.740784551482648</v>
      </c>
      <c r="I1181" s="2">
        <v>0.84917880199849605</v>
      </c>
      <c r="J1181" s="2">
        <v>7</v>
      </c>
      <c r="K1181" s="2">
        <v>182.91108380901278</v>
      </c>
      <c r="L1181" s="2">
        <v>14055</v>
      </c>
      <c r="M1181" s="2">
        <v>1200</v>
      </c>
      <c r="N1181" s="2">
        <v>249.97033634946811</v>
      </c>
      <c r="O1181" s="2">
        <v>2503.6563587679175</v>
      </c>
      <c r="P1181" s="2">
        <v>1087.2695051482879</v>
      </c>
      <c r="Q1181" s="2">
        <v>252.38545167908282</v>
      </c>
      <c r="R1181" s="2">
        <v>2453.069220673965</v>
      </c>
      <c r="S1181" s="2">
        <v>1089.3634302630271</v>
      </c>
      <c r="T1181" s="2">
        <v>2.4151153296147072</v>
      </c>
      <c r="U1181" s="2">
        <v>-50.58713809395249</v>
      </c>
      <c r="V1181" s="2">
        <v>2.0939251147392497</v>
      </c>
    </row>
    <row r="1182" spans="1:22" ht="15">
      <c r="A1182" s="2">
        <v>1181</v>
      </c>
      <c r="B1182" s="2" t="s">
        <v>78</v>
      </c>
      <c r="C1182" s="2" t="s">
        <v>81</v>
      </c>
      <c r="D1182" s="2">
        <v>986.77687491290271</v>
      </c>
      <c r="E1182" s="2">
        <v>656.87324636382982</v>
      </c>
      <c r="F1182" s="2">
        <v>623.13719149678946</v>
      </c>
      <c r="G1182" s="2">
        <v>191.31461412878707</v>
      </c>
      <c r="H1182" s="2">
        <v>9.5047747008502483</v>
      </c>
      <c r="I1182" s="2">
        <v>0.84823499869788066</v>
      </c>
      <c r="J1182" s="2">
        <v>6</v>
      </c>
      <c r="K1182" s="2">
        <v>193.88826532499772</v>
      </c>
      <c r="L1182" s="2">
        <v>16960</v>
      </c>
      <c r="M1182" s="2">
        <v>1200</v>
      </c>
      <c r="N1182" s="2">
        <v>250.0359972554769</v>
      </c>
      <c r="O1182" s="2">
        <v>2502.1413234794059</v>
      </c>
      <c r="P1182" s="2">
        <v>986.77687491290271</v>
      </c>
      <c r="Q1182" s="2">
        <v>248.50787830309727</v>
      </c>
      <c r="R1182" s="2">
        <v>2448.9198015238535</v>
      </c>
      <c r="S1182" s="2">
        <v>1000.8451406322719</v>
      </c>
      <c r="T1182" s="2">
        <v>-1.5281189523796286</v>
      </c>
      <c r="U1182" s="2">
        <v>-53.221521955552362</v>
      </c>
      <c r="V1182" s="2">
        <v>14.068265719369151</v>
      </c>
    </row>
    <row r="1183" spans="1:22" ht="15">
      <c r="A1183" s="2">
        <v>1182</v>
      </c>
      <c r="B1183" s="2" t="s">
        <v>78</v>
      </c>
      <c r="C1183" s="2" t="s">
        <v>81</v>
      </c>
      <c r="D1183" s="2">
        <v>964.50593323679641</v>
      </c>
      <c r="E1183" s="2">
        <v>703.70175603311509</v>
      </c>
      <c r="F1183" s="2">
        <v>546.24935584142804</v>
      </c>
      <c r="G1183" s="2">
        <v>113.4119638428092</v>
      </c>
      <c r="H1183" s="2">
        <v>17.515655177179724</v>
      </c>
      <c r="I1183" s="2">
        <v>0.85085956062655899</v>
      </c>
      <c r="J1183" s="2">
        <v>6</v>
      </c>
      <c r="K1183" s="2">
        <v>188.92775766005971</v>
      </c>
      <c r="L1183" s="2">
        <v>18300</v>
      </c>
      <c r="M1183" s="2">
        <v>1200</v>
      </c>
      <c r="N1183" s="2">
        <v>249.99476674659485</v>
      </c>
      <c r="O1183" s="2">
        <v>2501.6026364025984</v>
      </c>
      <c r="P1183" s="2">
        <v>964.50593323679641</v>
      </c>
      <c r="Q1183" s="2">
        <v>248.37427051663994</v>
      </c>
      <c r="R1183" s="2">
        <v>2447.9063806679155</v>
      </c>
      <c r="S1183" s="2">
        <v>970.54721572093024</v>
      </c>
      <c r="T1183" s="2">
        <v>-1.6204962299549095</v>
      </c>
      <c r="U1183" s="2">
        <v>-53.696255734682836</v>
      </c>
      <c r="V1183" s="2">
        <v>6.0412824841338306</v>
      </c>
    </row>
    <row r="1184" spans="1:22" ht="15">
      <c r="A1184" s="2">
        <v>1183</v>
      </c>
      <c r="B1184" s="2" t="s">
        <v>78</v>
      </c>
      <c r="C1184" s="2" t="s">
        <v>81</v>
      </c>
      <c r="D1184" s="2">
        <v>977.91702116373926</v>
      </c>
      <c r="E1184" s="2">
        <v>1098.6053324420936</v>
      </c>
      <c r="F1184" s="2">
        <v>592.72452816367149</v>
      </c>
      <c r="G1184" s="2">
        <v>292.29301526909694</v>
      </c>
      <c r="H1184" s="2">
        <v>15.942685238085687</v>
      </c>
      <c r="I1184" s="2">
        <v>0.83244360903045167</v>
      </c>
      <c r="J1184" s="2">
        <v>6</v>
      </c>
      <c r="K1184" s="2">
        <v>195.79244578955536</v>
      </c>
      <c r="L1184" s="2">
        <v>12580</v>
      </c>
      <c r="M1184" s="2">
        <v>1200</v>
      </c>
      <c r="N1184" s="2">
        <v>250.03927821644768</v>
      </c>
      <c r="O1184" s="2">
        <v>2504.6974847014649</v>
      </c>
      <c r="P1184" s="2">
        <v>977.91702116373926</v>
      </c>
      <c r="Q1184" s="2">
        <v>254.33536720562915</v>
      </c>
      <c r="R1184" s="2">
        <v>2517.2707771565952</v>
      </c>
      <c r="S1184" s="2">
        <v>978.05971623049402</v>
      </c>
      <c r="T1184" s="2">
        <v>4.2960889891814702</v>
      </c>
      <c r="U1184" s="2">
        <v>12.573292455130286</v>
      </c>
      <c r="V1184" s="2">
        <v>0.14269506675475441</v>
      </c>
    </row>
    <row r="1185" spans="1:22" ht="15">
      <c r="A1185" s="2">
        <v>1184</v>
      </c>
      <c r="B1185" s="2" t="s">
        <v>78</v>
      </c>
      <c r="C1185" s="2" t="s">
        <v>81</v>
      </c>
      <c r="D1185" s="2">
        <v>1041.6721476125531</v>
      </c>
      <c r="E1185" s="2">
        <v>1106.6315837204456</v>
      </c>
      <c r="F1185" s="2">
        <v>467.13012745603919</v>
      </c>
      <c r="G1185" s="2">
        <v>154.89434548188001</v>
      </c>
      <c r="H1185" s="2">
        <v>14.109859318938106</v>
      </c>
      <c r="I1185" s="2">
        <v>0.83065202544443317</v>
      </c>
      <c r="J1185" s="2">
        <v>7</v>
      </c>
      <c r="K1185" s="2">
        <v>179.14879184478437</v>
      </c>
      <c r="L1185" s="2">
        <v>12370</v>
      </c>
      <c r="M1185" s="2">
        <v>1200</v>
      </c>
      <c r="N1185" s="2">
        <v>249.97316782824709</v>
      </c>
      <c r="O1185" s="2">
        <v>2504.8628526370198</v>
      </c>
      <c r="P1185" s="2">
        <v>1041.6721476125531</v>
      </c>
      <c r="Q1185" s="2">
        <v>253.80167375840412</v>
      </c>
      <c r="R1185" s="2">
        <v>2519.3610172969175</v>
      </c>
      <c r="S1185" s="2">
        <v>1040.8819872972192</v>
      </c>
      <c r="T1185" s="2">
        <v>3.8285059301570357</v>
      </c>
      <c r="U1185" s="2">
        <v>14.498164659897611</v>
      </c>
      <c r="V1185" s="2">
        <v>-0.79016031533387832</v>
      </c>
    </row>
    <row r="1186" spans="1:22" ht="15">
      <c r="A1186" s="2">
        <v>1185</v>
      </c>
      <c r="B1186" s="2" t="s">
        <v>78</v>
      </c>
      <c r="C1186" s="2" t="s">
        <v>81</v>
      </c>
      <c r="D1186" s="2">
        <v>1084.6196315251291</v>
      </c>
      <c r="E1186" s="2">
        <v>1152.8230994357727</v>
      </c>
      <c r="F1186" s="2">
        <v>702.6353919878602</v>
      </c>
      <c r="G1186" s="2">
        <v>155.17236383864656</v>
      </c>
      <c r="H1186" s="2">
        <v>15.738325441256166</v>
      </c>
      <c r="I1186" s="2">
        <v>0.83883646193193273</v>
      </c>
      <c r="J1186" s="2">
        <v>7</v>
      </c>
      <c r="K1186" s="2">
        <v>184.71498161821683</v>
      </c>
      <c r="L1186" s="2">
        <v>10635</v>
      </c>
      <c r="M1186" s="2">
        <v>1195</v>
      </c>
      <c r="N1186" s="2">
        <v>249.96840272880607</v>
      </c>
      <c r="O1186" s="2">
        <v>2496.0605164832582</v>
      </c>
      <c r="P1186" s="2">
        <v>1084.6196315251291</v>
      </c>
      <c r="Q1186" s="2">
        <v>255.57232860575755</v>
      </c>
      <c r="R1186" s="2">
        <v>2512.1631150709773</v>
      </c>
      <c r="S1186" s="2">
        <v>1083.0069003894266</v>
      </c>
      <c r="T1186" s="2">
        <v>5.6039258769514788</v>
      </c>
      <c r="U1186" s="2">
        <v>16.102598587719058</v>
      </c>
      <c r="V1186" s="2">
        <v>-1.612731135702461</v>
      </c>
    </row>
    <row r="1187" spans="1:22" ht="15">
      <c r="A1187" s="2">
        <v>1186</v>
      </c>
      <c r="B1187" s="2" t="s">
        <v>78</v>
      </c>
      <c r="C1187" s="2" t="s">
        <v>81</v>
      </c>
      <c r="D1187" s="2">
        <v>1027.7653367840685</v>
      </c>
      <c r="E1187" s="2">
        <v>741.35635599959642</v>
      </c>
      <c r="F1187" s="2">
        <v>621.94732958450913</v>
      </c>
      <c r="G1187" s="2">
        <v>94.502402627840638</v>
      </c>
      <c r="H1187" s="2">
        <v>23.026096769142896</v>
      </c>
      <c r="I1187" s="2">
        <v>0.79928503221366554</v>
      </c>
      <c r="J1187" s="2">
        <v>7</v>
      </c>
      <c r="K1187" s="2">
        <v>183.69369326727517</v>
      </c>
      <c r="L1187" s="2">
        <v>14670</v>
      </c>
      <c r="M1187" s="2">
        <v>1200</v>
      </c>
      <c r="N1187" s="2">
        <v>250.00298709949078</v>
      </c>
      <c r="O1187" s="2">
        <v>2503.2861808006996</v>
      </c>
      <c r="P1187" s="2">
        <v>1027.7653367840685</v>
      </c>
      <c r="Q1187" s="2">
        <v>247.40284947591638</v>
      </c>
      <c r="R1187" s="2">
        <v>2466.9748630550207</v>
      </c>
      <c r="S1187" s="2">
        <v>1025.0355769584523</v>
      </c>
      <c r="T1187" s="2">
        <v>-2.6001376235743976</v>
      </c>
      <c r="U1187" s="2">
        <v>-36.311317745678934</v>
      </c>
      <c r="V1187" s="2">
        <v>-2.7297598256161564</v>
      </c>
    </row>
    <row r="1188" spans="1:22" ht="15">
      <c r="A1188" s="2">
        <v>1187</v>
      </c>
      <c r="B1188" s="2" t="s">
        <v>78</v>
      </c>
      <c r="C1188" s="2" t="s">
        <v>81</v>
      </c>
      <c r="D1188" s="2">
        <v>1036.3479181891307</v>
      </c>
      <c r="E1188" s="2">
        <v>1050.3804878913797</v>
      </c>
      <c r="F1188" s="2">
        <v>371.57020382583141</v>
      </c>
      <c r="G1188" s="2">
        <v>228.71898823184893</v>
      </c>
      <c r="H1188" s="2">
        <v>10.895517815835774</v>
      </c>
      <c r="I1188" s="2">
        <v>0.84404604368610314</v>
      </c>
      <c r="J1188" s="2">
        <v>7</v>
      </c>
      <c r="K1188" s="2">
        <v>175.40477051688694</v>
      </c>
      <c r="L1188" s="2">
        <v>12955</v>
      </c>
      <c r="M1188" s="2">
        <v>1200</v>
      </c>
      <c r="N1188" s="2">
        <v>249.98418728316165</v>
      </c>
      <c r="O1188" s="2">
        <v>2504.4088783409193</v>
      </c>
      <c r="P1188" s="2">
        <v>1036.3479181891307</v>
      </c>
      <c r="Q1188" s="2">
        <v>250.20462172240161</v>
      </c>
      <c r="R1188" s="2">
        <v>2507.2419000453419</v>
      </c>
      <c r="S1188" s="2">
        <v>1040.4096583191979</v>
      </c>
      <c r="T1188" s="2">
        <v>0.2204344392399662</v>
      </c>
      <c r="U1188" s="2">
        <v>2.8330217044226629</v>
      </c>
      <c r="V1188" s="2">
        <v>4.0617401300671645</v>
      </c>
    </row>
    <row r="1189" spans="1:22" ht="15">
      <c r="A1189" s="2">
        <v>1188</v>
      </c>
      <c r="B1189" s="2" t="s">
        <v>78</v>
      </c>
      <c r="C1189" s="2" t="s">
        <v>81</v>
      </c>
      <c r="D1189" s="2">
        <v>1044.0106417401694</v>
      </c>
      <c r="E1189" s="2">
        <v>1028.3619225490838</v>
      </c>
      <c r="F1189" s="2">
        <v>646.96935145184398</v>
      </c>
      <c r="G1189" s="2">
        <v>207.59535608347505</v>
      </c>
      <c r="H1189" s="2">
        <v>27.280961878132075</v>
      </c>
      <c r="I1189" s="2">
        <v>0.80356629652902489</v>
      </c>
      <c r="J1189" s="2">
        <v>7</v>
      </c>
      <c r="K1189" s="2">
        <v>185.60307722670356</v>
      </c>
      <c r="L1189" s="2">
        <v>11360</v>
      </c>
      <c r="M1189" s="2">
        <v>1195</v>
      </c>
      <c r="N1189" s="2">
        <v>250.05035995113133</v>
      </c>
      <c r="O1189" s="2">
        <v>2495.3202221136344</v>
      </c>
      <c r="P1189" s="2">
        <v>1044.0106417401694</v>
      </c>
      <c r="Q1189" s="2">
        <v>248.42151227052241</v>
      </c>
      <c r="R1189" s="2">
        <v>2497.8934755043824</v>
      </c>
      <c r="S1189" s="2">
        <v>1024.612050448553</v>
      </c>
      <c r="T1189" s="2">
        <v>-1.6288476806089136</v>
      </c>
      <c r="U1189" s="2">
        <v>2.5732533907480502</v>
      </c>
      <c r="V1189" s="2">
        <v>-19.398591291616412</v>
      </c>
    </row>
    <row r="1190" spans="1:22" ht="15">
      <c r="A1190" s="2">
        <v>1189</v>
      </c>
      <c r="B1190" s="2" t="s">
        <v>78</v>
      </c>
      <c r="C1190" s="2" t="s">
        <v>81</v>
      </c>
      <c r="D1190" s="2">
        <v>956.4096859190613</v>
      </c>
      <c r="E1190" s="2">
        <v>894.08002624986693</v>
      </c>
      <c r="F1190" s="2">
        <v>601.77707206457853</v>
      </c>
      <c r="G1190" s="2">
        <v>158.31592607544735</v>
      </c>
      <c r="H1190" s="2">
        <v>19.076359994709492</v>
      </c>
      <c r="I1190" s="2">
        <v>0.80054355660686272</v>
      </c>
      <c r="J1190" s="2">
        <v>6</v>
      </c>
      <c r="K1190" s="2">
        <v>199.11672888290295</v>
      </c>
      <c r="L1190" s="2">
        <v>15085</v>
      </c>
      <c r="M1190" s="2">
        <v>1200</v>
      </c>
      <c r="N1190" s="2">
        <v>250.03150470268184</v>
      </c>
      <c r="O1190" s="2">
        <v>2503.0536617224957</v>
      </c>
      <c r="P1190" s="2">
        <v>956.4096859190613</v>
      </c>
      <c r="Q1190" s="2">
        <v>251.5613818627794</v>
      </c>
      <c r="R1190" s="2">
        <v>2530.0273319764124</v>
      </c>
      <c r="S1190" s="2">
        <v>955.32839451927032</v>
      </c>
      <c r="T1190" s="2">
        <v>1.5298771600975556</v>
      </c>
      <c r="U1190" s="2">
        <v>26.97367025391668</v>
      </c>
      <c r="V1190" s="2">
        <v>-1.0812913997909845</v>
      </c>
    </row>
    <row r="1191" spans="1:22" ht="15">
      <c r="A1191" s="2">
        <v>1190</v>
      </c>
      <c r="B1191" s="2" t="s">
        <v>78</v>
      </c>
      <c r="C1191" s="2" t="s">
        <v>81</v>
      </c>
      <c r="D1191" s="2">
        <v>1045.0661997427233</v>
      </c>
      <c r="E1191" s="2">
        <v>606.66012687142938</v>
      </c>
      <c r="F1191" s="2">
        <v>566.07682975009084</v>
      </c>
      <c r="G1191" s="2">
        <v>192.16684943065047</v>
      </c>
      <c r="H1191" s="2">
        <v>15.397768108639866</v>
      </c>
      <c r="I1191" s="2">
        <v>0.79367350192274899</v>
      </c>
      <c r="J1191" s="2">
        <v>7</v>
      </c>
      <c r="K1191" s="2">
        <v>188.10653377004013</v>
      </c>
      <c r="L1191" s="2">
        <v>15670</v>
      </c>
      <c r="M1191" s="2">
        <v>1200</v>
      </c>
      <c r="N1191" s="2">
        <v>250.02651150468515</v>
      </c>
      <c r="O1191" s="2">
        <v>2502.745378035791</v>
      </c>
      <c r="P1191" s="2">
        <v>1045.0661997427233</v>
      </c>
      <c r="Q1191" s="2">
        <v>247.66769287142898</v>
      </c>
      <c r="R1191" s="2">
        <v>2479.9837512242766</v>
      </c>
      <c r="S1191" s="2">
        <v>1053.7748297046792</v>
      </c>
      <c r="T1191" s="2">
        <v>-2.3588186332561634</v>
      </c>
      <c r="U1191" s="2">
        <v>-22.761626811514361</v>
      </c>
      <c r="V1191" s="2">
        <v>8.7086299619559213</v>
      </c>
    </row>
    <row r="1192" spans="1:22" ht="15">
      <c r="A1192" s="2">
        <v>1191</v>
      </c>
      <c r="B1192" s="2" t="s">
        <v>78</v>
      </c>
      <c r="C1192" s="2" t="s">
        <v>81</v>
      </c>
      <c r="D1192" s="2">
        <v>1022.8371347533539</v>
      </c>
      <c r="E1192" s="2">
        <v>1107.5872633722611</v>
      </c>
      <c r="F1192" s="2">
        <v>591.85162782669067</v>
      </c>
      <c r="G1192" s="2">
        <v>189.52213214477524</v>
      </c>
      <c r="H1192" s="2">
        <v>19.970224219374359</v>
      </c>
      <c r="I1192" s="2">
        <v>0.79847079388564457</v>
      </c>
      <c r="J1192" s="2">
        <v>7</v>
      </c>
      <c r="K1192" s="2">
        <v>182.99929289583699</v>
      </c>
      <c r="L1192" s="2">
        <v>11320</v>
      </c>
      <c r="M1192" s="2">
        <v>1195</v>
      </c>
      <c r="N1192" s="2">
        <v>249.96824948329024</v>
      </c>
      <c r="O1192" s="2">
        <v>2495.3552031594668</v>
      </c>
      <c r="P1192" s="2">
        <v>1022.8371347533539</v>
      </c>
      <c r="Q1192" s="2">
        <v>252.00784196220818</v>
      </c>
      <c r="R1192" s="2">
        <v>2542.2215385567724</v>
      </c>
      <c r="S1192" s="2">
        <v>1012.7169116020926</v>
      </c>
      <c r="T1192" s="2">
        <v>2.0395924789179389</v>
      </c>
      <c r="U1192" s="2">
        <v>46.866335397305647</v>
      </c>
      <c r="V1192" s="2">
        <v>-10.120223151261257</v>
      </c>
    </row>
    <row r="1193" spans="1:22" ht="15">
      <c r="A1193" s="2">
        <v>1192</v>
      </c>
      <c r="B1193" s="2" t="s">
        <v>78</v>
      </c>
      <c r="C1193" s="2" t="s">
        <v>81</v>
      </c>
      <c r="D1193" s="2">
        <v>1031.4292074064724</v>
      </c>
      <c r="E1193" s="2">
        <v>976.42996916547418</v>
      </c>
      <c r="F1193" s="2">
        <v>748.68882661685348</v>
      </c>
      <c r="G1193" s="2">
        <v>88.469754480756819</v>
      </c>
      <c r="H1193" s="2">
        <v>23.584278596099466</v>
      </c>
      <c r="I1193" s="2">
        <v>0.81075712502934039</v>
      </c>
      <c r="J1193" s="2">
        <v>7</v>
      </c>
      <c r="K1193" s="2">
        <v>181.74003666531297</v>
      </c>
      <c r="L1193" s="2">
        <v>11790</v>
      </c>
      <c r="M1193" s="2">
        <v>1195</v>
      </c>
      <c r="N1193" s="2">
        <v>249.95861983494632</v>
      </c>
      <c r="O1193" s="2">
        <v>2494.9182730785046</v>
      </c>
      <c r="P1193" s="2">
        <v>1031.4292074064724</v>
      </c>
      <c r="Q1193" s="2">
        <v>249.59574086141916</v>
      </c>
      <c r="R1193" s="2">
        <v>2476.0394665298199</v>
      </c>
      <c r="S1193" s="2">
        <v>1025.0838553001677</v>
      </c>
      <c r="T1193" s="2">
        <v>-0.36287897352715959</v>
      </c>
      <c r="U1193" s="2">
        <v>-18.878806548684679</v>
      </c>
      <c r="V1193" s="2">
        <v>-6.3453521063047447</v>
      </c>
    </row>
    <row r="1194" spans="1:22" ht="15">
      <c r="A1194" s="2">
        <v>1193</v>
      </c>
      <c r="B1194" s="2" t="s">
        <v>78</v>
      </c>
      <c r="C1194" s="2" t="s">
        <v>81</v>
      </c>
      <c r="D1194" s="2">
        <v>958.01956187933683</v>
      </c>
      <c r="E1194" s="2">
        <v>1235.4720626375638</v>
      </c>
      <c r="F1194" s="2">
        <v>742.92675275355577</v>
      </c>
      <c r="G1194" s="2">
        <v>140.97143847728148</v>
      </c>
      <c r="H1194" s="2">
        <v>11.753058334812522</v>
      </c>
      <c r="I1194" s="2">
        <v>0.82378533841343604</v>
      </c>
      <c r="J1194" s="2">
        <v>6</v>
      </c>
      <c r="K1194" s="2">
        <v>193.82467681132164</v>
      </c>
      <c r="L1194" s="2">
        <v>11770</v>
      </c>
      <c r="M1194" s="2">
        <v>1195</v>
      </c>
      <c r="N1194" s="2">
        <v>249.94912605370757</v>
      </c>
      <c r="O1194" s="2">
        <v>2494.9357481111238</v>
      </c>
      <c r="P1194" s="2">
        <v>958.01956187933683</v>
      </c>
      <c r="Q1194" s="2">
        <v>253.04261682235327</v>
      </c>
      <c r="R1194" s="2">
        <v>2493.1329098666765</v>
      </c>
      <c r="S1194" s="2">
        <v>950.25658204796571</v>
      </c>
      <c r="T1194" s="2">
        <v>3.0934907686456938</v>
      </c>
      <c r="U1194" s="2">
        <v>-1.80283824444723</v>
      </c>
      <c r="V1194" s="2">
        <v>-7.7629798313711262</v>
      </c>
    </row>
    <row r="1195" spans="1:22" ht="15">
      <c r="A1195" s="2">
        <v>1194</v>
      </c>
      <c r="B1195" s="2" t="s">
        <v>78</v>
      </c>
      <c r="C1195" s="2" t="s">
        <v>81</v>
      </c>
      <c r="D1195" s="2">
        <v>1005.0388526753522</v>
      </c>
      <c r="E1195" s="2">
        <v>737.19175870064646</v>
      </c>
      <c r="F1195" s="2">
        <v>728.82792362943292</v>
      </c>
      <c r="G1195" s="2">
        <v>232.5040443520993</v>
      </c>
      <c r="H1195" s="2">
        <v>17.102911074180156</v>
      </c>
      <c r="I1195" s="2">
        <v>0.82897487085778265</v>
      </c>
      <c r="J1195" s="2">
        <v>7</v>
      </c>
      <c r="K1195" s="2">
        <v>173.19822831909889</v>
      </c>
      <c r="L1195" s="2">
        <v>12590</v>
      </c>
      <c r="M1195" s="2">
        <v>1200</v>
      </c>
      <c r="N1195" s="2">
        <v>249.98420148374964</v>
      </c>
      <c r="O1195" s="2">
        <v>2504.6874463177619</v>
      </c>
      <c r="P1195" s="2">
        <v>1005.0388526753522</v>
      </c>
      <c r="Q1195" s="2">
        <v>253.38371553739375</v>
      </c>
      <c r="R1195" s="2">
        <v>2444.9303882091244</v>
      </c>
      <c r="S1195" s="2">
        <v>1009.7813257123954</v>
      </c>
      <c r="T1195" s="2">
        <v>3.3995140536441113</v>
      </c>
      <c r="U1195" s="2">
        <v>-59.757058108637466</v>
      </c>
      <c r="V1195" s="2">
        <v>4.7424730370431689</v>
      </c>
    </row>
    <row r="1196" spans="1:22" ht="15">
      <c r="A1196" s="2">
        <v>1195</v>
      </c>
      <c r="B1196" s="2" t="s">
        <v>79</v>
      </c>
      <c r="C1196" s="2" t="s">
        <v>81</v>
      </c>
      <c r="D1196" s="2">
        <v>1018.9334450988099</v>
      </c>
      <c r="E1196" s="2">
        <v>721.82426737854257</v>
      </c>
      <c r="F1196" s="2">
        <v>652.83227749168873</v>
      </c>
      <c r="G1196" s="2">
        <v>324.44940144894645</v>
      </c>
      <c r="H1196" s="2">
        <v>25.508814469911158</v>
      </c>
      <c r="I1196" s="2">
        <v>0.7982696226867847</v>
      </c>
      <c r="J1196" s="2">
        <v>7</v>
      </c>
      <c r="K1196" s="2">
        <v>182.34681189354896</v>
      </c>
      <c r="L1196" s="2">
        <v>12585</v>
      </c>
      <c r="M1196" s="2">
        <v>1200</v>
      </c>
      <c r="N1196" s="2">
        <v>249.97077748584158</v>
      </c>
      <c r="O1196" s="2">
        <v>2504.6908355347132</v>
      </c>
      <c r="P1196" s="2">
        <v>1018.9334450988099</v>
      </c>
      <c r="Q1196" s="2">
        <v>246.18124760221681</v>
      </c>
      <c r="R1196" s="2">
        <v>2479.5189565677597</v>
      </c>
      <c r="S1196" s="2">
        <v>1013.6422489153468</v>
      </c>
      <c r="T1196" s="2">
        <v>-3.7895298836247662</v>
      </c>
      <c r="U1196" s="2">
        <v>-25.1718789669535</v>
      </c>
      <c r="V1196" s="2">
        <v>-5.2911961834630574</v>
      </c>
    </row>
    <row r="1197" spans="1:22" ht="15">
      <c r="A1197" s="2">
        <v>1196</v>
      </c>
      <c r="B1197" s="2" t="s">
        <v>79</v>
      </c>
      <c r="C1197" s="2" t="s">
        <v>81</v>
      </c>
      <c r="D1197" s="2">
        <v>992.48407467966899</v>
      </c>
      <c r="E1197" s="2">
        <v>1205.8709451463073</v>
      </c>
      <c r="F1197" s="2">
        <v>435.17774743959308</v>
      </c>
      <c r="G1197" s="2">
        <v>195.30254862736911</v>
      </c>
      <c r="H1197" s="2">
        <v>10.971844899933785</v>
      </c>
      <c r="I1197" s="2">
        <v>0.83876313809305436</v>
      </c>
      <c r="J1197" s="2">
        <v>6</v>
      </c>
      <c r="K1197" s="2">
        <v>197.2118288634903</v>
      </c>
      <c r="L1197" s="2">
        <v>13585</v>
      </c>
      <c r="M1197" s="2">
        <v>1200</v>
      </c>
      <c r="N1197" s="2">
        <v>249.96753374374043</v>
      </c>
      <c r="O1197" s="2">
        <v>2503.962658153157</v>
      </c>
      <c r="P1197" s="2">
        <v>992.48407467966899</v>
      </c>
      <c r="Q1197" s="2">
        <v>252.13657246014165</v>
      </c>
      <c r="R1197" s="2">
        <v>2542.0378762814244</v>
      </c>
      <c r="S1197" s="2">
        <v>997.64819806154821</v>
      </c>
      <c r="T1197" s="2">
        <v>2.1690387164012179</v>
      </c>
      <c r="U1197" s="2">
        <v>38.075218128267352</v>
      </c>
      <c r="V1197" s="2">
        <v>5.1641233818792216</v>
      </c>
    </row>
    <row r="1198" spans="1:22" ht="15">
      <c r="A1198" s="2">
        <v>1197</v>
      </c>
      <c r="B1198" s="2" t="s">
        <v>79</v>
      </c>
      <c r="C1198" s="2" t="s">
        <v>81</v>
      </c>
      <c r="D1198" s="2">
        <v>999.60931218229234</v>
      </c>
      <c r="E1198" s="2">
        <v>928.33851304603741</v>
      </c>
      <c r="F1198" s="2">
        <v>360.38285400718451</v>
      </c>
      <c r="G1198" s="2">
        <v>214.05843620421365</v>
      </c>
      <c r="H1198" s="2">
        <v>23.62350345030427</v>
      </c>
      <c r="I1198" s="2">
        <v>0.794053996282164</v>
      </c>
      <c r="J1198" s="2">
        <v>7</v>
      </c>
      <c r="K1198" s="2">
        <v>179.83831197924246</v>
      </c>
      <c r="L1198" s="2">
        <v>14230</v>
      </c>
      <c r="M1198" s="2">
        <v>1200</v>
      </c>
      <c r="N1198" s="2">
        <v>249.985961729053</v>
      </c>
      <c r="O1198" s="2">
        <v>2503.5479817907221</v>
      </c>
      <c r="P1198" s="2">
        <v>999.60931218229234</v>
      </c>
      <c r="Q1198" s="2">
        <v>250.93461844002172</v>
      </c>
      <c r="R1198" s="2">
        <v>2532.6505582056684</v>
      </c>
      <c r="S1198" s="2">
        <v>992.10466362777822</v>
      </c>
      <c r="T1198" s="2">
        <v>0.94865671096872006</v>
      </c>
      <c r="U1198" s="2">
        <v>29.10257641494627</v>
      </c>
      <c r="V1198" s="2">
        <v>-7.5046485545141195</v>
      </c>
    </row>
    <row r="1199" spans="1:22" ht="15">
      <c r="A1199" s="2">
        <v>1198</v>
      </c>
      <c r="B1199" s="2" t="s">
        <v>80</v>
      </c>
      <c r="C1199" s="2" t="s">
        <v>81</v>
      </c>
      <c r="D1199" s="2">
        <v>1057.2455948335119</v>
      </c>
      <c r="E1199" s="2">
        <v>1072.9852714342996</v>
      </c>
      <c r="F1199" s="2">
        <v>573.00206767395139</v>
      </c>
      <c r="G1199" s="2">
        <v>211.95135816931725</v>
      </c>
      <c r="H1199" s="2">
        <v>20.625692287925631</v>
      </c>
      <c r="I1199" s="2">
        <v>0.85888335622381429</v>
      </c>
      <c r="J1199" s="2">
        <v>7</v>
      </c>
      <c r="K1199" s="2">
        <v>175.85052019200862</v>
      </c>
      <c r="L1199" s="2">
        <v>11510</v>
      </c>
      <c r="M1199" s="2">
        <v>1195</v>
      </c>
      <c r="N1199" s="2">
        <v>249.98971619575059</v>
      </c>
      <c r="O1199" s="2">
        <v>2495.1753684414898</v>
      </c>
      <c r="P1199" s="2">
        <v>1057.2455948335119</v>
      </c>
      <c r="Q1199" s="2">
        <v>251.75311115188447</v>
      </c>
      <c r="R1199" s="2">
        <v>2498.0775024135669</v>
      </c>
      <c r="S1199" s="2">
        <v>1049.2112194285751</v>
      </c>
      <c r="T1199" s="2">
        <v>1.7633949561338795</v>
      </c>
      <c r="U1199" s="2">
        <v>2.9021339720770811</v>
      </c>
      <c r="V1199" s="2">
        <v>-8.0343754049367817</v>
      </c>
    </row>
    <row r="1200" spans="1:22" ht="15">
      <c r="A1200" s="2">
        <v>1199</v>
      </c>
      <c r="B1200" s="2" t="s">
        <v>80</v>
      </c>
      <c r="C1200" s="2" t="s">
        <v>81</v>
      </c>
      <c r="D1200" s="2">
        <v>954.69159728381783</v>
      </c>
      <c r="E1200" s="2">
        <v>670.97585211740807</v>
      </c>
      <c r="F1200" s="2">
        <v>647.65532985329628</v>
      </c>
      <c r="G1200" s="2">
        <v>100.219529455062</v>
      </c>
      <c r="H1200" s="2">
        <v>27.472919865511358</v>
      </c>
      <c r="I1200" s="2">
        <v>0.84451293175807229</v>
      </c>
      <c r="J1200" s="2">
        <v>6</v>
      </c>
      <c r="K1200" s="2">
        <v>188.41069240080199</v>
      </c>
      <c r="L1200" s="2">
        <v>17585</v>
      </c>
      <c r="M1200" s="2">
        <v>1200</v>
      </c>
      <c r="N1200" s="2">
        <v>250.00445094656124</v>
      </c>
      <c r="O1200" s="2">
        <v>2501.8794975097298</v>
      </c>
      <c r="P1200" s="2">
        <v>954.69159728381783</v>
      </c>
      <c r="Q1200" s="2">
        <v>246.63518338782129</v>
      </c>
      <c r="R1200" s="2">
        <v>2514.5400149151828</v>
      </c>
      <c r="S1200" s="2">
        <v>955.67416704733444</v>
      </c>
      <c r="T1200" s="2">
        <v>-3.3692675587399492</v>
      </c>
      <c r="U1200" s="2">
        <v>12.660517405452993</v>
      </c>
      <c r="V1200" s="2">
        <v>0.98256976351660796</v>
      </c>
    </row>
    <row r="1201" spans="1:22" ht="15">
      <c r="A1201" s="2">
        <v>1200</v>
      </c>
      <c r="B1201" s="2" t="s">
        <v>80</v>
      </c>
      <c r="C1201" s="2" t="s">
        <v>81</v>
      </c>
      <c r="D1201" s="2">
        <v>1003.4075219067745</v>
      </c>
      <c r="E1201" s="2">
        <v>993.5189688578248</v>
      </c>
      <c r="F1201" s="2">
        <v>605.43523272499442</v>
      </c>
      <c r="G1201" s="2">
        <v>95.736725297756493</v>
      </c>
      <c r="H1201" s="2">
        <v>28.389005237724632</v>
      </c>
      <c r="I1201" s="2">
        <v>0.79043533316813408</v>
      </c>
      <c r="J1201" s="2">
        <v>7</v>
      </c>
      <c r="K1201" s="2">
        <v>181.34808210866885</v>
      </c>
      <c r="L1201" s="2">
        <v>12620</v>
      </c>
      <c r="M1201" s="2">
        <v>1200</v>
      </c>
      <c r="N1201" s="2">
        <v>250.01469496223706</v>
      </c>
      <c r="O1201" s="2">
        <v>2504.6651348235569</v>
      </c>
      <c r="P1201" s="2">
        <v>1003.4075219067745</v>
      </c>
      <c r="Q1201" s="2">
        <v>251.98015958349058</v>
      </c>
      <c r="R1201" s="2">
        <v>2551.3307152722509</v>
      </c>
      <c r="S1201" s="2">
        <v>997.07273796704476</v>
      </c>
      <c r="T1201" s="2">
        <v>1.965464621253517</v>
      </c>
      <c r="U1201" s="2">
        <v>46.665580448694072</v>
      </c>
      <c r="V1201" s="2">
        <v>-6.3347839397297321</v>
      </c>
    </row>
    <row r="1202" spans="1:22" ht="15">
      <c r="A1202" s="2">
        <v>1201</v>
      </c>
      <c r="B1202" s="2" t="s">
        <v>78</v>
      </c>
      <c r="C1202" s="2" t="s">
        <v>81</v>
      </c>
      <c r="D1202" s="2">
        <v>1079.4613574631512</v>
      </c>
      <c r="E1202" s="2">
        <v>822.91337338974699</v>
      </c>
      <c r="F1202" s="2">
        <v>556.94507751613855</v>
      </c>
      <c r="G1202" s="2">
        <v>173.48733728984371</v>
      </c>
      <c r="H1202" s="2">
        <v>14.082504587247968</v>
      </c>
      <c r="I1202" s="2">
        <v>0.85408685921924188</v>
      </c>
      <c r="J1202" s="2">
        <v>7</v>
      </c>
      <c r="K1202" s="2">
        <v>180.55396086160104</v>
      </c>
      <c r="L1202" s="2">
        <v>13770</v>
      </c>
      <c r="M1202" s="2">
        <v>1200</v>
      </c>
      <c r="N1202" s="2">
        <v>250.04439585734363</v>
      </c>
      <c r="O1202" s="2">
        <v>2503.842336502245</v>
      </c>
      <c r="P1202" s="2">
        <v>1079.4613574631512</v>
      </c>
      <c r="Q1202" s="2">
        <v>248.36464067676445</v>
      </c>
      <c r="R1202" s="2">
        <v>2476.0359998377862</v>
      </c>
      <c r="S1202" s="2">
        <v>1091.673725294806</v>
      </c>
      <c r="T1202" s="2">
        <v>-1.6797551805791784</v>
      </c>
      <c r="U1202" s="2">
        <v>-27.80633666445874</v>
      </c>
      <c r="V1202" s="2">
        <v>12.212367831654774</v>
      </c>
    </row>
    <row r="1203" spans="1:22" ht="15">
      <c r="A1203" s="2">
        <v>1202</v>
      </c>
      <c r="B1203" s="2" t="s">
        <v>78</v>
      </c>
      <c r="C1203" s="2" t="s">
        <v>81</v>
      </c>
      <c r="D1203" s="2">
        <v>1022.6390681811608</v>
      </c>
      <c r="E1203" s="2">
        <v>1164.955918234773</v>
      </c>
      <c r="F1203" s="2">
        <v>628.91933405771852</v>
      </c>
      <c r="G1203" s="2">
        <v>266.84350815601647</v>
      </c>
      <c r="H1203" s="2">
        <v>29.949874014128</v>
      </c>
      <c r="I1203" s="2">
        <v>0.83848092394415297</v>
      </c>
      <c r="J1203" s="2">
        <v>7</v>
      </c>
      <c r="K1203" s="2">
        <v>174.23329652778358</v>
      </c>
      <c r="L1203" s="2">
        <v>10380</v>
      </c>
      <c r="M1203" s="2">
        <v>1195</v>
      </c>
      <c r="N1203" s="2">
        <v>250.05300842350908</v>
      </c>
      <c r="O1203" s="2">
        <v>2496.3508733147883</v>
      </c>
      <c r="P1203" s="2">
        <v>1022.6390681811608</v>
      </c>
      <c r="Q1203" s="2">
        <v>251.78594195701481</v>
      </c>
      <c r="R1203" s="2">
        <v>2514.751249202598</v>
      </c>
      <c r="S1203" s="2">
        <v>1007.3687045981461</v>
      </c>
      <c r="T1203" s="2">
        <v>1.7329335335057294</v>
      </c>
      <c r="U1203" s="2">
        <v>18.400375887809787</v>
      </c>
      <c r="V1203" s="2">
        <v>-15.270363583014728</v>
      </c>
    </row>
    <row r="1204" spans="1:22" ht="15">
      <c r="A1204" s="2">
        <v>1203</v>
      </c>
      <c r="B1204" s="2" t="s">
        <v>78</v>
      </c>
      <c r="C1204" s="2" t="s">
        <v>81</v>
      </c>
      <c r="D1204" s="2">
        <v>984.37726923730224</v>
      </c>
      <c r="E1204" s="2">
        <v>641.11213792348281</v>
      </c>
      <c r="F1204" s="2">
        <v>556.04385696351528</v>
      </c>
      <c r="G1204" s="2">
        <v>108.39961525751278</v>
      </c>
      <c r="H1204" s="2">
        <v>23.717108410783112</v>
      </c>
      <c r="I1204" s="2">
        <v>0.80613485415233299</v>
      </c>
      <c r="J1204" s="2">
        <v>7</v>
      </c>
      <c r="K1204" s="2">
        <v>174.44392021063004</v>
      </c>
      <c r="L1204" s="2">
        <v>16380</v>
      </c>
      <c r="M1204" s="2">
        <v>1200</v>
      </c>
      <c r="N1204" s="2">
        <v>249.99109224612434</v>
      </c>
      <c r="O1204" s="2">
        <v>2502.3999003177728</v>
      </c>
      <c r="P1204" s="2">
        <v>984.37726923730224</v>
      </c>
      <c r="Q1204" s="2">
        <v>249.07579334026221</v>
      </c>
      <c r="R1204" s="2">
        <v>2485.0178683878739</v>
      </c>
      <c r="S1204" s="2">
        <v>991.16708805057544</v>
      </c>
      <c r="T1204" s="2">
        <v>-0.91529890586213014</v>
      </c>
      <c r="U1204" s="2">
        <v>-17.382031929898858</v>
      </c>
      <c r="V1204" s="2">
        <v>6.7898188132732002</v>
      </c>
    </row>
    <row r="1205" spans="1:22" ht="15">
      <c r="A1205" s="2">
        <v>1204</v>
      </c>
      <c r="B1205" s="2" t="s">
        <v>78</v>
      </c>
      <c r="C1205" s="2" t="s">
        <v>81</v>
      </c>
      <c r="D1205" s="2">
        <v>963.34652317455038</v>
      </c>
      <c r="E1205" s="2">
        <v>846.55502908863127</v>
      </c>
      <c r="F1205" s="2">
        <v>450.4541146568954</v>
      </c>
      <c r="G1205" s="2">
        <v>129.76653621997684</v>
      </c>
      <c r="H1205" s="2">
        <v>25.8392324144952</v>
      </c>
      <c r="I1205" s="2">
        <v>0.83304437780752782</v>
      </c>
      <c r="J1205" s="2">
        <v>6</v>
      </c>
      <c r="K1205" s="2">
        <v>192.73613524047022</v>
      </c>
      <c r="L1205" s="2">
        <v>17485</v>
      </c>
      <c r="M1205" s="2">
        <v>1200</v>
      </c>
      <c r="N1205" s="2">
        <v>249.97118524597198</v>
      </c>
      <c r="O1205" s="2">
        <v>2501.9190399327554</v>
      </c>
      <c r="P1205" s="2">
        <v>963.34652317455038</v>
      </c>
      <c r="Q1205" s="2">
        <v>247.19953911446271</v>
      </c>
      <c r="R1205" s="2">
        <v>2520.3454455337865</v>
      </c>
      <c r="S1205" s="2">
        <v>958.20038322473806</v>
      </c>
      <c r="T1205" s="2">
        <v>-2.7716461315092715</v>
      </c>
      <c r="U1205" s="2">
        <v>18.426405601031092</v>
      </c>
      <c r="V1205" s="2">
        <v>-5.1461399498123228</v>
      </c>
    </row>
    <row r="1206" spans="1:22" ht="15">
      <c r="A1206" s="2">
        <v>1205</v>
      </c>
      <c r="B1206" s="2" t="s">
        <v>78</v>
      </c>
      <c r="C1206" s="2" t="s">
        <v>81</v>
      </c>
      <c r="D1206" s="2">
        <v>1002.9227469582111</v>
      </c>
      <c r="E1206" s="2">
        <v>690.09351952699944</v>
      </c>
      <c r="F1206" s="2">
        <v>515.559914521873</v>
      </c>
      <c r="G1206" s="2">
        <v>274.46669361786917</v>
      </c>
      <c r="H1206" s="2">
        <v>28.434592366218567</v>
      </c>
      <c r="I1206" s="2">
        <v>0.79971051251748582</v>
      </c>
      <c r="J1206" s="2">
        <v>7</v>
      </c>
      <c r="K1206" s="2">
        <v>179.15817773341396</v>
      </c>
      <c r="L1206" s="2">
        <v>14450</v>
      </c>
      <c r="M1206" s="2">
        <v>1200</v>
      </c>
      <c r="N1206" s="2">
        <v>250.0232188484849</v>
      </c>
      <c r="O1206" s="2">
        <v>2503.4160752871735</v>
      </c>
      <c r="P1206" s="2">
        <v>1002.9227469582111</v>
      </c>
      <c r="Q1206" s="2">
        <v>249.79694523745275</v>
      </c>
      <c r="R1206" s="2">
        <v>2521.881967515264</v>
      </c>
      <c r="S1206" s="2">
        <v>996.79176807093779</v>
      </c>
      <c r="T1206" s="2">
        <v>-0.22627361103215549</v>
      </c>
      <c r="U1206" s="2">
        <v>18.465892228090524</v>
      </c>
      <c r="V1206" s="2">
        <v>-6.1309788872732724</v>
      </c>
    </row>
    <row r="1207" spans="1:22" ht="15">
      <c r="A1207" s="2">
        <v>1206</v>
      </c>
      <c r="B1207" s="2" t="s">
        <v>78</v>
      </c>
      <c r="C1207" s="2" t="s">
        <v>81</v>
      </c>
      <c r="D1207" s="2">
        <v>1090.1046157930978</v>
      </c>
      <c r="E1207" s="2">
        <v>1124.390541925095</v>
      </c>
      <c r="F1207" s="2">
        <v>577.84126223996282</v>
      </c>
      <c r="G1207" s="2">
        <v>312.16072702780366</v>
      </c>
      <c r="H1207" s="2">
        <v>20.599219432566315</v>
      </c>
      <c r="I1207" s="2">
        <v>0.79292564315255731</v>
      </c>
      <c r="J1207" s="2">
        <v>7</v>
      </c>
      <c r="K1207" s="2">
        <v>196.3982779121994</v>
      </c>
      <c r="L1207" s="2">
        <v>10615</v>
      </c>
      <c r="M1207" s="2">
        <v>1195</v>
      </c>
      <c r="N1207" s="2">
        <v>249.9652385475386</v>
      </c>
      <c r="O1207" s="2">
        <v>2496.0823227117357</v>
      </c>
      <c r="P1207" s="2">
        <v>1090.1046157930978</v>
      </c>
      <c r="Q1207" s="2">
        <v>253.92673891780456</v>
      </c>
      <c r="R1207" s="2">
        <v>2563.4302546394351</v>
      </c>
      <c r="S1207" s="2">
        <v>1086.9445653564651</v>
      </c>
      <c r="T1207" s="2">
        <v>3.9615003702659521</v>
      </c>
      <c r="U1207" s="2">
        <v>67.347931927699392</v>
      </c>
      <c r="V1207" s="2">
        <v>-3.1600504366326732</v>
      </c>
    </row>
    <row r="1208" spans="1:22" ht="15">
      <c r="A1208" s="2">
        <v>1207</v>
      </c>
      <c r="B1208" s="2" t="s">
        <v>78</v>
      </c>
      <c r="C1208" s="2" t="s">
        <v>81</v>
      </c>
      <c r="D1208" s="2">
        <v>1067.2013216884807</v>
      </c>
      <c r="E1208" s="2">
        <v>1100.0394282978959</v>
      </c>
      <c r="F1208" s="2">
        <v>370.20414620637894</v>
      </c>
      <c r="G1208" s="2">
        <v>80.55710127344355</v>
      </c>
      <c r="H1208" s="2">
        <v>18.385247121565044</v>
      </c>
      <c r="I1208" s="2">
        <v>0.81754983145510784</v>
      </c>
      <c r="J1208" s="2">
        <v>7</v>
      </c>
      <c r="K1208" s="2">
        <v>186.48078172609161</v>
      </c>
      <c r="L1208" s="2">
        <v>13790</v>
      </c>
      <c r="M1208" s="2">
        <v>1200</v>
      </c>
      <c r="N1208" s="2">
        <v>249.99737560684792</v>
      </c>
      <c r="O1208" s="2">
        <v>2503.8275208938371</v>
      </c>
      <c r="P1208" s="2">
        <v>1067.2013216884807</v>
      </c>
      <c r="Q1208" s="2">
        <v>251.10905712644023</v>
      </c>
      <c r="R1208" s="2">
        <v>2534.0700924012299</v>
      </c>
      <c r="S1208" s="2">
        <v>1067.4375173638809</v>
      </c>
      <c r="T1208" s="2">
        <v>1.1116815195923095</v>
      </c>
      <c r="U1208" s="2">
        <v>30.242571507392768</v>
      </c>
      <c r="V1208" s="2">
        <v>0.23619567540026765</v>
      </c>
    </row>
    <row r="1209" spans="1:22" ht="15">
      <c r="A1209" s="2">
        <v>1208</v>
      </c>
      <c r="B1209" s="2" t="s">
        <v>78</v>
      </c>
      <c r="C1209" s="2" t="s">
        <v>81</v>
      </c>
      <c r="D1209" s="2">
        <v>1062.1697551454417</v>
      </c>
      <c r="E1209" s="2">
        <v>804.07253680750728</v>
      </c>
      <c r="F1209" s="2">
        <v>653.24535286054015</v>
      </c>
      <c r="G1209" s="2">
        <v>308.3733623335138</v>
      </c>
      <c r="H1209" s="2">
        <v>28.236056303139776</v>
      </c>
      <c r="I1209" s="2">
        <v>0.84985470634885141</v>
      </c>
      <c r="J1209" s="2">
        <v>7</v>
      </c>
      <c r="K1209" s="2">
        <v>178.54644484025795</v>
      </c>
      <c r="L1209" s="2">
        <v>12110</v>
      </c>
      <c r="M1209" s="2">
        <v>1200</v>
      </c>
      <c r="N1209" s="2">
        <v>249.96236653655436</v>
      </c>
      <c r="O1209" s="2">
        <v>2505.0784419161514</v>
      </c>
      <c r="P1209" s="2">
        <v>1062.1697551454417</v>
      </c>
      <c r="Q1209" s="2">
        <v>246.48344046030383</v>
      </c>
      <c r="R1209" s="2">
        <v>2468.5325652265683</v>
      </c>
      <c r="S1209" s="2">
        <v>1054.1290281082713</v>
      </c>
      <c r="T1209" s="2">
        <v>-3.4789260762505307</v>
      </c>
      <c r="U1209" s="2">
        <v>-36.54587668958311</v>
      </c>
      <c r="V1209" s="2">
        <v>-8.0407270371704271</v>
      </c>
    </row>
    <row r="1210" spans="1:22" ht="15">
      <c r="A1210" s="2">
        <v>1209</v>
      </c>
      <c r="B1210" s="2" t="s">
        <v>78</v>
      </c>
      <c r="C1210" s="2" t="s">
        <v>81</v>
      </c>
      <c r="D1210" s="2">
        <v>1098.1735911220312</v>
      </c>
      <c r="E1210" s="2">
        <v>1172.7479113615118</v>
      </c>
      <c r="F1210" s="2">
        <v>547.29427862912416</v>
      </c>
      <c r="G1210" s="2">
        <v>175.9764575236477</v>
      </c>
      <c r="H1210" s="2">
        <v>9.9339357744902372</v>
      </c>
      <c r="I1210" s="2">
        <v>0.80794077334227044</v>
      </c>
      <c r="J1210" s="2">
        <v>7</v>
      </c>
      <c r="K1210" s="2">
        <v>194.17505189133612</v>
      </c>
      <c r="L1210" s="2">
        <v>11280</v>
      </c>
      <c r="M1210" s="2">
        <v>1195</v>
      </c>
      <c r="N1210" s="2">
        <v>250.01534874856554</v>
      </c>
      <c r="O1210" s="2">
        <v>2495.3961158186148</v>
      </c>
      <c r="P1210" s="2">
        <v>1098.1735911220312</v>
      </c>
      <c r="Q1210" s="2">
        <v>253.65084808447068</v>
      </c>
      <c r="R1210" s="2">
        <v>2500.7784208835365</v>
      </c>
      <c r="S1210" s="2">
        <v>1098.7074990076558</v>
      </c>
      <c r="T1210" s="2">
        <v>3.6354993359051377</v>
      </c>
      <c r="U1210" s="2">
        <v>5.3823050649216384</v>
      </c>
      <c r="V1210" s="2">
        <v>0.53390788562455782</v>
      </c>
    </row>
    <row r="1211" spans="1:22" ht="15">
      <c r="A1211" s="2">
        <v>1210</v>
      </c>
      <c r="B1211" s="2" t="s">
        <v>78</v>
      </c>
      <c r="C1211" s="2" t="s">
        <v>81</v>
      </c>
      <c r="D1211" s="2">
        <v>1076.4303746283986</v>
      </c>
      <c r="E1211" s="2">
        <v>620.53363455925137</v>
      </c>
      <c r="F1211" s="2">
        <v>720.15933552756906</v>
      </c>
      <c r="G1211" s="2">
        <v>306.49763501249254</v>
      </c>
      <c r="H1211" s="2">
        <v>11.074382286984473</v>
      </c>
      <c r="I1211" s="2">
        <v>0.83890371256042273</v>
      </c>
      <c r="J1211" s="2">
        <v>7</v>
      </c>
      <c r="K1211" s="2">
        <v>183.30562316230197</v>
      </c>
      <c r="L1211" s="2">
        <v>12985</v>
      </c>
      <c r="M1211" s="2">
        <v>1200</v>
      </c>
      <c r="N1211" s="2">
        <v>250.03497571913422</v>
      </c>
      <c r="O1211" s="2">
        <v>2504.3886259504043</v>
      </c>
      <c r="P1211" s="2">
        <v>1076.4303746283986</v>
      </c>
      <c r="Q1211" s="2">
        <v>249.4779501895942</v>
      </c>
      <c r="R1211" s="2">
        <v>2438.0099022440891</v>
      </c>
      <c r="S1211" s="2">
        <v>1079.3036789870325</v>
      </c>
      <c r="T1211" s="2">
        <v>-0.55702552954002726</v>
      </c>
      <c r="U1211" s="2">
        <v>-66.378723706315213</v>
      </c>
      <c r="V1211" s="2">
        <v>2.8733043586339591</v>
      </c>
    </row>
    <row r="1212" spans="1:22" ht="15">
      <c r="A1212" s="2">
        <v>1211</v>
      </c>
      <c r="B1212" s="2" t="s">
        <v>78</v>
      </c>
      <c r="C1212" s="2" t="s">
        <v>81</v>
      </c>
      <c r="D1212" s="2">
        <v>983.55209797155112</v>
      </c>
      <c r="E1212" s="2">
        <v>778.90726557234302</v>
      </c>
      <c r="F1212" s="2">
        <v>485.1821456104517</v>
      </c>
      <c r="G1212" s="2">
        <v>177.0933914068155</v>
      </c>
      <c r="H1212" s="2">
        <v>24.398661204613745</v>
      </c>
      <c r="I1212" s="2">
        <v>0.83688442530808971</v>
      </c>
      <c r="J1212" s="2">
        <v>6</v>
      </c>
      <c r="K1212" s="2">
        <v>195.87573230506456</v>
      </c>
      <c r="L1212" s="2">
        <v>17310</v>
      </c>
      <c r="M1212" s="2">
        <v>1200</v>
      </c>
      <c r="N1212" s="2">
        <v>249.96817100692422</v>
      </c>
      <c r="O1212" s="2">
        <v>2501.9909257118011</v>
      </c>
      <c r="P1212" s="2">
        <v>983.55209797155112</v>
      </c>
      <c r="Q1212" s="2">
        <v>248.74220786709938</v>
      </c>
      <c r="R1212" s="2">
        <v>2451.4681135397595</v>
      </c>
      <c r="S1212" s="2">
        <v>983.77491897752577</v>
      </c>
      <c r="T1212" s="2">
        <v>-1.2259631398248416</v>
      </c>
      <c r="U1212" s="2">
        <v>-50.52281217204154</v>
      </c>
      <c r="V1212" s="2">
        <v>0.2228210059746516</v>
      </c>
    </row>
    <row r="1213" spans="1:22" ht="15">
      <c r="A1213" s="2">
        <v>1212</v>
      </c>
      <c r="B1213" s="2" t="s">
        <v>78</v>
      </c>
      <c r="C1213" s="2" t="s">
        <v>81</v>
      </c>
      <c r="D1213" s="2">
        <v>1051.9367132685147</v>
      </c>
      <c r="E1213" s="2">
        <v>1219.9417050462216</v>
      </c>
      <c r="F1213" s="2">
        <v>639.25307346507907</v>
      </c>
      <c r="G1213" s="2">
        <v>246.58540617208928</v>
      </c>
      <c r="H1213" s="2">
        <v>19.635851930361241</v>
      </c>
      <c r="I1213" s="2">
        <v>0.82063416346907614</v>
      </c>
      <c r="J1213" s="2">
        <v>7</v>
      </c>
      <c r="K1213" s="2">
        <v>183.12261420948801</v>
      </c>
      <c r="L1213" s="2">
        <v>10155</v>
      </c>
      <c r="M1213" s="2">
        <v>1195</v>
      </c>
      <c r="N1213" s="2">
        <v>249.98184862582985</v>
      </c>
      <c r="O1213" s="2">
        <v>2496.6120919126993</v>
      </c>
      <c r="P1213" s="2">
        <v>1051.9367132685147</v>
      </c>
      <c r="Q1213" s="2">
        <v>254.06233638382878</v>
      </c>
      <c r="R1213" s="2">
        <v>2527.7665047274954</v>
      </c>
      <c r="S1213" s="2">
        <v>1041.1693405065855</v>
      </c>
      <c r="T1213" s="2">
        <v>4.0804877579989238</v>
      </c>
      <c r="U1213" s="2">
        <v>31.15441281479616</v>
      </c>
      <c r="V1213" s="2">
        <v>-10.767372761929209</v>
      </c>
    </row>
    <row r="1214" spans="1:22" ht="15">
      <c r="A1214" s="2">
        <v>1213</v>
      </c>
      <c r="B1214" s="2" t="s">
        <v>78</v>
      </c>
      <c r="C1214" s="2" t="s">
        <v>81</v>
      </c>
      <c r="D1214" s="2">
        <v>978.0404161196202</v>
      </c>
      <c r="E1214" s="2">
        <v>639.22406256897375</v>
      </c>
      <c r="F1214" s="2">
        <v>556.88726361840963</v>
      </c>
      <c r="G1214" s="2">
        <v>278.06351402075961</v>
      </c>
      <c r="H1214" s="2">
        <v>28.212931033223867</v>
      </c>
      <c r="I1214" s="2">
        <v>0.80343227569246667</v>
      </c>
      <c r="J1214" s="2">
        <v>7</v>
      </c>
      <c r="K1214" s="2">
        <v>173.90396636136796</v>
      </c>
      <c r="L1214" s="2">
        <v>14505</v>
      </c>
      <c r="M1214" s="2">
        <v>1200</v>
      </c>
      <c r="N1214" s="2">
        <v>249.96675184951977</v>
      </c>
      <c r="O1214" s="2">
        <v>2503.38146657982</v>
      </c>
      <c r="P1214" s="2">
        <v>978.0404161196202</v>
      </c>
      <c r="Q1214" s="2">
        <v>246.95290741277762</v>
      </c>
      <c r="R1214" s="2">
        <v>2494.3897492750916</v>
      </c>
      <c r="S1214" s="2">
        <v>978.043221842555</v>
      </c>
      <c r="T1214" s="2">
        <v>-3.0138444367421471</v>
      </c>
      <c r="U1214" s="2">
        <v>-8.9917173047283541</v>
      </c>
      <c r="V1214" s="2">
        <v>2.8057229347950852E-3</v>
      </c>
    </row>
    <row r="1215" spans="1:22" ht="15">
      <c r="A1215" s="2">
        <v>1214</v>
      </c>
      <c r="B1215" s="2" t="s">
        <v>78</v>
      </c>
      <c r="C1215" s="2" t="s">
        <v>81</v>
      </c>
      <c r="D1215" s="2">
        <v>1064.548852678854</v>
      </c>
      <c r="E1215" s="2">
        <v>1095.8003501174971</v>
      </c>
      <c r="F1215" s="2">
        <v>584.59908263757825</v>
      </c>
      <c r="G1215" s="2">
        <v>162.78406504541636</v>
      </c>
      <c r="H1215" s="2">
        <v>26.030030908528715</v>
      </c>
      <c r="I1215" s="2">
        <v>0.82306390869896862</v>
      </c>
      <c r="J1215" s="2">
        <v>7</v>
      </c>
      <c r="K1215" s="2">
        <v>184.77108025055253</v>
      </c>
      <c r="L1215" s="2">
        <v>11605</v>
      </c>
      <c r="M1215" s="2">
        <v>1195</v>
      </c>
      <c r="N1215" s="2">
        <v>250.05145800534132</v>
      </c>
      <c r="O1215" s="2">
        <v>2495.0898333616569</v>
      </c>
      <c r="P1215" s="2">
        <v>1064.548852678854</v>
      </c>
      <c r="Q1215" s="2">
        <v>250.28052762660323</v>
      </c>
      <c r="R1215" s="2">
        <v>2531.6668260948231</v>
      </c>
      <c r="S1215" s="2">
        <v>1058.0100200100544</v>
      </c>
      <c r="T1215" s="2">
        <v>0.22906962126191388</v>
      </c>
      <c r="U1215" s="2">
        <v>36.576992733166207</v>
      </c>
      <c r="V1215" s="2">
        <v>-6.5388326687996141</v>
      </c>
    </row>
    <row r="1216" spans="1:22" ht="15">
      <c r="A1216" s="2">
        <v>1215</v>
      </c>
      <c r="B1216" s="2" t="s">
        <v>79</v>
      </c>
      <c r="C1216" s="2" t="s">
        <v>81</v>
      </c>
      <c r="D1216" s="2">
        <v>1004.6945207053795</v>
      </c>
      <c r="E1216" s="2">
        <v>740.77837719814852</v>
      </c>
      <c r="F1216" s="2">
        <v>584.92303416132927</v>
      </c>
      <c r="G1216" s="2">
        <v>178.66535983746871</v>
      </c>
      <c r="H1216" s="2">
        <v>9.5048401122912765</v>
      </c>
      <c r="I1216" s="2">
        <v>0.84466811330756175</v>
      </c>
      <c r="J1216" s="2">
        <v>6</v>
      </c>
      <c r="K1216" s="2">
        <v>198.24246250818058</v>
      </c>
      <c r="L1216" s="2">
        <v>16585</v>
      </c>
      <c r="M1216" s="2">
        <v>1200</v>
      </c>
      <c r="N1216" s="2">
        <v>249.99842685149113</v>
      </c>
      <c r="O1216" s="2">
        <v>2502.3061884415642</v>
      </c>
      <c r="P1216" s="2">
        <v>1004.6945207053795</v>
      </c>
      <c r="Q1216" s="2">
        <v>250.36760698861769</v>
      </c>
      <c r="R1216" s="2">
        <v>2522.1747234558538</v>
      </c>
      <c r="S1216" s="2">
        <v>1014.6425550112199</v>
      </c>
      <c r="T1216" s="2">
        <v>0.36918013712656261</v>
      </c>
      <c r="U1216" s="2">
        <v>19.868535014289591</v>
      </c>
      <c r="V1216" s="2">
        <v>9.9480343058403378</v>
      </c>
    </row>
    <row r="1217" spans="1:22" ht="15">
      <c r="A1217" s="2">
        <v>1216</v>
      </c>
      <c r="B1217" s="2" t="s">
        <v>79</v>
      </c>
      <c r="C1217" s="2" t="s">
        <v>81</v>
      </c>
      <c r="D1217" s="2">
        <v>1080.6226873653941</v>
      </c>
      <c r="E1217" s="2">
        <v>877.75400690734386</v>
      </c>
      <c r="F1217" s="2">
        <v>683.41023316606879</v>
      </c>
      <c r="G1217" s="2">
        <v>181.74246237147599</v>
      </c>
      <c r="H1217" s="2">
        <v>23.94523693760857</v>
      </c>
      <c r="I1217" s="2">
        <v>0.82406794461421673</v>
      </c>
      <c r="J1217" s="2">
        <v>7</v>
      </c>
      <c r="K1217" s="2">
        <v>187.33245314607819</v>
      </c>
      <c r="L1217" s="2">
        <v>12270</v>
      </c>
      <c r="M1217" s="2">
        <v>1200</v>
      </c>
      <c r="N1217" s="2">
        <v>249.99667061646448</v>
      </c>
      <c r="O1217" s="2">
        <v>2504.9458084962716</v>
      </c>
      <c r="P1217" s="2">
        <v>1080.6226873653941</v>
      </c>
      <c r="Q1217" s="2">
        <v>249.38139005242735</v>
      </c>
      <c r="R1217" s="2">
        <v>2473.9786124397779</v>
      </c>
      <c r="S1217" s="2">
        <v>1077.5469136183674</v>
      </c>
      <c r="T1217" s="2">
        <v>-0.61528056403713549</v>
      </c>
      <c r="U1217" s="2">
        <v>-30.967196056493776</v>
      </c>
      <c r="V1217" s="2">
        <v>-3.0757737470266875</v>
      </c>
    </row>
    <row r="1218" spans="1:22" ht="15">
      <c r="A1218" s="2">
        <v>1217</v>
      </c>
      <c r="B1218" s="2" t="s">
        <v>79</v>
      </c>
      <c r="C1218" s="2" t="s">
        <v>81</v>
      </c>
      <c r="D1218" s="2">
        <v>1084.5731901936233</v>
      </c>
      <c r="E1218" s="2">
        <v>924.20802594861016</v>
      </c>
      <c r="F1218" s="2">
        <v>607.13002625852823</v>
      </c>
      <c r="G1218" s="2">
        <v>237.1157286525704</v>
      </c>
      <c r="H1218" s="2">
        <v>18.318212339654565</v>
      </c>
      <c r="I1218" s="2">
        <v>0.82687141473637893</v>
      </c>
      <c r="J1218" s="2">
        <v>7</v>
      </c>
      <c r="K1218" s="2">
        <v>187.37983247360762</v>
      </c>
      <c r="L1218" s="2">
        <v>12095</v>
      </c>
      <c r="M1218" s="2">
        <v>1200</v>
      </c>
      <c r="N1218" s="2">
        <v>250.04310437871729</v>
      </c>
      <c r="O1218" s="2">
        <v>2505.0945231491405</v>
      </c>
      <c r="P1218" s="2">
        <v>1084.5731901936233</v>
      </c>
      <c r="Q1218" s="2">
        <v>253.91344805550872</v>
      </c>
      <c r="R1218" s="2">
        <v>2515.8340862598211</v>
      </c>
      <c r="S1218" s="2">
        <v>1077.9162714382721</v>
      </c>
      <c r="T1218" s="2">
        <v>3.8703436767914354</v>
      </c>
      <c r="U1218" s="2">
        <v>10.739563110680592</v>
      </c>
      <c r="V1218" s="2">
        <v>-6.6569187553511711</v>
      </c>
    </row>
    <row r="1219" spans="1:22" ht="15">
      <c r="A1219" s="2">
        <v>1218</v>
      </c>
      <c r="B1219" s="2" t="s">
        <v>80</v>
      </c>
      <c r="C1219" s="2" t="s">
        <v>81</v>
      </c>
      <c r="D1219" s="2">
        <v>1022.3937404924072</v>
      </c>
      <c r="E1219" s="2">
        <v>930.64772032666951</v>
      </c>
      <c r="F1219" s="2">
        <v>534.68980425968766</v>
      </c>
      <c r="G1219" s="2">
        <v>136.7890910897404</v>
      </c>
      <c r="H1219" s="2">
        <v>23.035956614185125</v>
      </c>
      <c r="I1219" s="2">
        <v>0.79915320603642614</v>
      </c>
      <c r="J1219" s="2">
        <v>7</v>
      </c>
      <c r="K1219" s="2">
        <v>182.76376486827868</v>
      </c>
      <c r="L1219" s="2">
        <v>13350</v>
      </c>
      <c r="M1219" s="2">
        <v>1200</v>
      </c>
      <c r="N1219" s="2">
        <v>250.03079741243104</v>
      </c>
      <c r="O1219" s="2">
        <v>2504.1262994551735</v>
      </c>
      <c r="P1219" s="2">
        <v>1022.3937404924072</v>
      </c>
      <c r="Q1219" s="2">
        <v>250.09026445332165</v>
      </c>
      <c r="R1219" s="2">
        <v>2507.3833132640102</v>
      </c>
      <c r="S1219" s="2">
        <v>1024.3925255874281</v>
      </c>
      <c r="T1219" s="2">
        <v>5.9467040890609724E-2</v>
      </c>
      <c r="U1219" s="2">
        <v>3.2570138088367457</v>
      </c>
      <c r="V1219" s="2">
        <v>1.9987850950208212</v>
      </c>
    </row>
    <row r="1220" spans="1:22" ht="15">
      <c r="A1220" s="2">
        <v>1219</v>
      </c>
      <c r="B1220" s="2" t="s">
        <v>80</v>
      </c>
      <c r="C1220" s="2" t="s">
        <v>81</v>
      </c>
      <c r="D1220" s="2">
        <v>1071.4047353481874</v>
      </c>
      <c r="E1220" s="2">
        <v>827.5677626603283</v>
      </c>
      <c r="F1220" s="2">
        <v>555.2839171141386</v>
      </c>
      <c r="G1220" s="2">
        <v>271.60100043518469</v>
      </c>
      <c r="H1220" s="2">
        <v>26.855440472252667</v>
      </c>
      <c r="I1220" s="2">
        <v>0.80032681927783422</v>
      </c>
      <c r="J1220" s="2">
        <v>7</v>
      </c>
      <c r="K1220" s="2">
        <v>191.24414632707837</v>
      </c>
      <c r="L1220" s="2">
        <v>12925</v>
      </c>
      <c r="M1220" s="2">
        <v>1200</v>
      </c>
      <c r="N1220" s="2">
        <v>249.97725205008868</v>
      </c>
      <c r="O1220" s="2">
        <v>2504.4308999420364</v>
      </c>
      <c r="P1220" s="2">
        <v>1071.4047353481874</v>
      </c>
      <c r="Q1220" s="2">
        <v>251.41827914505168</v>
      </c>
      <c r="R1220" s="2">
        <v>2501.8592831381166</v>
      </c>
      <c r="S1220" s="2">
        <v>1065.1750111826962</v>
      </c>
      <c r="T1220" s="2">
        <v>1.4410270949630046</v>
      </c>
      <c r="U1220" s="2">
        <v>-2.5716168039198237</v>
      </c>
      <c r="V1220" s="2">
        <v>-6.2297241654912341</v>
      </c>
    </row>
    <row r="1221" spans="1:22" ht="15">
      <c r="A1221" s="2">
        <v>1220</v>
      </c>
      <c r="B1221" s="2" t="s">
        <v>80</v>
      </c>
      <c r="C1221" s="2" t="s">
        <v>81</v>
      </c>
      <c r="D1221" s="2">
        <v>1034.1933465912007</v>
      </c>
      <c r="E1221" s="2">
        <v>1101.1279616970569</v>
      </c>
      <c r="F1221" s="2">
        <v>580.08490828797221</v>
      </c>
      <c r="G1221" s="2">
        <v>190.24701630230993</v>
      </c>
      <c r="H1221" s="2">
        <v>27.696828417014331</v>
      </c>
      <c r="I1221" s="2">
        <v>0.84254558330401785</v>
      </c>
      <c r="J1221" s="2">
        <v>7</v>
      </c>
      <c r="K1221" s="2">
        <v>175.35182616057429</v>
      </c>
      <c r="L1221" s="2">
        <v>11425</v>
      </c>
      <c r="M1221" s="2">
        <v>1195</v>
      </c>
      <c r="N1221" s="2">
        <v>249.94963029672573</v>
      </c>
      <c r="O1221" s="2">
        <v>2495.2537500305134</v>
      </c>
      <c r="P1221" s="2">
        <v>1034.1933465912007</v>
      </c>
      <c r="Q1221" s="2">
        <v>252.30971804701332</v>
      </c>
      <c r="R1221" s="2">
        <v>2556.4983511923501</v>
      </c>
      <c r="S1221" s="2">
        <v>1014.5645134435122</v>
      </c>
      <c r="T1221" s="2">
        <v>2.3600877502875903</v>
      </c>
      <c r="U1221" s="2">
        <v>61.244601161836727</v>
      </c>
      <c r="V1221" s="2">
        <v>-19.628833147688511</v>
      </c>
    </row>
    <row r="1222" spans="1:22" ht="15">
      <c r="A1222" s="2">
        <v>1221</v>
      </c>
      <c r="B1222" s="2" t="s">
        <v>78</v>
      </c>
      <c r="C1222" s="2" t="s">
        <v>81</v>
      </c>
      <c r="D1222" s="2">
        <v>990.60477190651</v>
      </c>
      <c r="E1222" s="2">
        <v>1004.5941443997435</v>
      </c>
      <c r="F1222" s="2">
        <v>363.32379411906004</v>
      </c>
      <c r="G1222" s="2">
        <v>256.77076096879318</v>
      </c>
      <c r="H1222" s="2">
        <v>22.072834484279156</v>
      </c>
      <c r="I1222" s="2">
        <v>0.79640640052268286</v>
      </c>
      <c r="J1222" s="2">
        <v>7</v>
      </c>
      <c r="K1222" s="2">
        <v>177.69190117299308</v>
      </c>
      <c r="L1222" s="2">
        <v>13165</v>
      </c>
      <c r="M1222" s="2">
        <v>1200</v>
      </c>
      <c r="N1222" s="2">
        <v>250.03822245366672</v>
      </c>
      <c r="O1222" s="2">
        <v>2504.2576378574572</v>
      </c>
      <c r="P1222" s="2">
        <v>990.60477190651</v>
      </c>
      <c r="Q1222" s="2">
        <v>249.86355667146086</v>
      </c>
      <c r="R1222" s="2">
        <v>2523.6120086202973</v>
      </c>
      <c r="S1222" s="2">
        <v>988.42615863616925</v>
      </c>
      <c r="T1222" s="2">
        <v>-0.17466578220586371</v>
      </c>
      <c r="U1222" s="2">
        <v>19.354370762840063</v>
      </c>
      <c r="V1222" s="2">
        <v>-2.1786132703407475</v>
      </c>
    </row>
    <row r="1223" spans="1:22" ht="15">
      <c r="A1223" s="2">
        <v>1222</v>
      </c>
      <c r="B1223" s="2" t="s">
        <v>78</v>
      </c>
      <c r="C1223" s="2" t="s">
        <v>81</v>
      </c>
      <c r="D1223" s="2">
        <v>1092.2157070715912</v>
      </c>
      <c r="E1223" s="2">
        <v>752.63532360550016</v>
      </c>
      <c r="F1223" s="2">
        <v>728.74992461875081</v>
      </c>
      <c r="G1223" s="2">
        <v>87.939509581774473</v>
      </c>
      <c r="H1223" s="2">
        <v>14.265916480217129</v>
      </c>
      <c r="I1223" s="2">
        <v>0.85307231897022584</v>
      </c>
      <c r="J1223" s="2">
        <v>7</v>
      </c>
      <c r="K1223" s="2">
        <v>182.90455782728009</v>
      </c>
      <c r="L1223" s="2">
        <v>13625</v>
      </c>
      <c r="M1223" s="2">
        <v>1200</v>
      </c>
      <c r="N1223" s="2">
        <v>249.95647469751563</v>
      </c>
      <c r="O1223" s="2">
        <v>2503.9353532801406</v>
      </c>
      <c r="P1223" s="2">
        <v>1092.2157070715912</v>
      </c>
      <c r="Q1223" s="2">
        <v>250.24988826342246</v>
      </c>
      <c r="R1223" s="2">
        <v>2461.6885501302186</v>
      </c>
      <c r="S1223" s="2">
        <v>1104.8251826822413</v>
      </c>
      <c r="T1223" s="2">
        <v>0.29341356590683176</v>
      </c>
      <c r="U1223" s="2">
        <v>-42.246803149922016</v>
      </c>
      <c r="V1223" s="2">
        <v>12.609475610650179</v>
      </c>
    </row>
    <row r="1224" spans="1:22" ht="15">
      <c r="A1224" s="2">
        <v>1223</v>
      </c>
      <c r="B1224" s="2" t="s">
        <v>78</v>
      </c>
      <c r="C1224" s="2" t="s">
        <v>81</v>
      </c>
      <c r="D1224" s="2">
        <v>1024.509050627239</v>
      </c>
      <c r="E1224" s="2">
        <v>1089.2571710166521</v>
      </c>
      <c r="F1224" s="2">
        <v>655.2496463060379</v>
      </c>
      <c r="G1224" s="2">
        <v>181.21546679874882</v>
      </c>
      <c r="H1224" s="2">
        <v>28.582335892133415</v>
      </c>
      <c r="I1224" s="2">
        <v>0.8213229279196822</v>
      </c>
      <c r="J1224" s="2">
        <v>7</v>
      </c>
      <c r="K1224" s="2">
        <v>178.19840507143834</v>
      </c>
      <c r="L1224" s="2">
        <v>11105</v>
      </c>
      <c r="M1224" s="2">
        <v>1195</v>
      </c>
      <c r="N1224" s="2">
        <v>249.9931238832751</v>
      </c>
      <c r="O1224" s="2">
        <v>2495.5683061663262</v>
      </c>
      <c r="P1224" s="2">
        <v>1024.509050627239</v>
      </c>
      <c r="Q1224" s="2">
        <v>252.55615968187107</v>
      </c>
      <c r="R1224" s="2">
        <v>2520.4688715158977</v>
      </c>
      <c r="S1224" s="2">
        <v>1006.8543737012699</v>
      </c>
      <c r="T1224" s="2">
        <v>2.563035798595962</v>
      </c>
      <c r="U1224" s="2">
        <v>24.90056534957148</v>
      </c>
      <c r="V1224" s="2">
        <v>-17.65467692596917</v>
      </c>
    </row>
    <row r="1225" spans="1:22" ht="15">
      <c r="A1225" s="2">
        <v>1224</v>
      </c>
      <c r="B1225" s="2" t="s">
        <v>78</v>
      </c>
      <c r="C1225" s="2" t="s">
        <v>81</v>
      </c>
      <c r="D1225" s="2">
        <v>1070.6226837704889</v>
      </c>
      <c r="E1225" s="2">
        <v>635.15749918296933</v>
      </c>
      <c r="F1225" s="2">
        <v>682.16720884665847</v>
      </c>
      <c r="G1225" s="2">
        <v>278.58292082790285</v>
      </c>
      <c r="H1225" s="2">
        <v>11.987109122332186</v>
      </c>
      <c r="I1225" s="2">
        <v>0.84728973531164231</v>
      </c>
      <c r="J1225" s="2">
        <v>7</v>
      </c>
      <c r="K1225" s="2">
        <v>180.51215694858288</v>
      </c>
      <c r="L1225" s="2">
        <v>13400</v>
      </c>
      <c r="M1225" s="2">
        <v>1200</v>
      </c>
      <c r="N1225" s="2">
        <v>249.99281320055982</v>
      </c>
      <c r="O1225" s="2">
        <v>2504.0900974891056</v>
      </c>
      <c r="P1225" s="2">
        <v>1070.6226837704889</v>
      </c>
      <c r="Q1225" s="2">
        <v>252.89539922437382</v>
      </c>
      <c r="R1225" s="2">
        <v>2463.7585655359862</v>
      </c>
      <c r="S1225" s="2">
        <v>1078.7610912378996</v>
      </c>
      <c r="T1225" s="2">
        <v>2.9025860238139956</v>
      </c>
      <c r="U1225" s="2">
        <v>-40.331531953119338</v>
      </c>
      <c r="V1225" s="2">
        <v>8.1384074674106159</v>
      </c>
    </row>
    <row r="1226" spans="1:22" ht="15">
      <c r="A1226" s="2">
        <v>1225</v>
      </c>
      <c r="B1226" s="2" t="s">
        <v>78</v>
      </c>
      <c r="C1226" s="2" t="s">
        <v>81</v>
      </c>
      <c r="D1226" s="2">
        <v>1070.0115302577615</v>
      </c>
      <c r="E1226" s="2">
        <v>720.52081752335653</v>
      </c>
      <c r="F1226" s="2">
        <v>699.06599838286638</v>
      </c>
      <c r="G1226" s="2">
        <v>314.61589362705126</v>
      </c>
      <c r="H1226" s="2">
        <v>14.983377343043685</v>
      </c>
      <c r="I1226" s="2">
        <v>0.8007081710663625</v>
      </c>
      <c r="J1226" s="2">
        <v>7</v>
      </c>
      <c r="K1226" s="2">
        <v>190.90449624517964</v>
      </c>
      <c r="L1226" s="2">
        <v>12330</v>
      </c>
      <c r="M1226" s="2">
        <v>1200</v>
      </c>
      <c r="N1226" s="2">
        <v>249.96435227469658</v>
      </c>
      <c r="O1226" s="2">
        <v>2504.895140812735</v>
      </c>
      <c r="P1226" s="2">
        <v>1070.0115302577615</v>
      </c>
      <c r="Q1226" s="2">
        <v>249.01103258305511</v>
      </c>
      <c r="R1226" s="2">
        <v>2496.1314511026067</v>
      </c>
      <c r="S1226" s="2">
        <v>1067.5657437612797</v>
      </c>
      <c r="T1226" s="2">
        <v>-0.95331969164146813</v>
      </c>
      <c r="U1226" s="2">
        <v>-8.7636897101283466</v>
      </c>
      <c r="V1226" s="2">
        <v>-2.4457864964817873</v>
      </c>
    </row>
    <row r="1227" spans="1:22" ht="15">
      <c r="A1227" s="2">
        <v>1226</v>
      </c>
      <c r="B1227" s="2" t="s">
        <v>78</v>
      </c>
      <c r="C1227" s="2" t="s">
        <v>81</v>
      </c>
      <c r="D1227" s="2">
        <v>977.70093014696613</v>
      </c>
      <c r="E1227" s="2">
        <v>1146.7066571349278</v>
      </c>
      <c r="F1227" s="2">
        <v>689.63796803727746</v>
      </c>
      <c r="G1227" s="2">
        <v>319.48402400128543</v>
      </c>
      <c r="H1227" s="2">
        <v>25.957960490603</v>
      </c>
      <c r="I1227" s="2">
        <v>0.83256991569418459</v>
      </c>
      <c r="J1227" s="2">
        <v>6</v>
      </c>
      <c r="K1227" s="2">
        <v>195.7194848778903</v>
      </c>
      <c r="L1227" s="2">
        <v>11575</v>
      </c>
      <c r="M1227" s="2">
        <v>1195</v>
      </c>
      <c r="N1227" s="2">
        <v>250.03702070677147</v>
      </c>
      <c r="O1227" s="2">
        <v>2495.1169029502994</v>
      </c>
      <c r="P1227" s="2">
        <v>977.70093014696613</v>
      </c>
      <c r="Q1227" s="2">
        <v>249.48196265950713</v>
      </c>
      <c r="R1227" s="2">
        <v>2524.5650677769386</v>
      </c>
      <c r="S1227" s="2">
        <v>962.11750645889947</v>
      </c>
      <c r="T1227" s="2">
        <v>-0.55505804726433894</v>
      </c>
      <c r="U1227" s="2">
        <v>29.448164826639186</v>
      </c>
      <c r="V1227" s="2">
        <v>-15.583423688066659</v>
      </c>
    </row>
    <row r="1228" spans="1:22" ht="15">
      <c r="A1228" s="2">
        <v>1227</v>
      </c>
      <c r="B1228" s="2" t="s">
        <v>78</v>
      </c>
      <c r="C1228" s="2" t="s">
        <v>81</v>
      </c>
      <c r="D1228" s="2">
        <v>1017.7959258435294</v>
      </c>
      <c r="E1228" s="2">
        <v>811.79121906170622</v>
      </c>
      <c r="F1228" s="2">
        <v>677.60176546871662</v>
      </c>
      <c r="G1228" s="2">
        <v>219.43375292001292</v>
      </c>
      <c r="H1228" s="2">
        <v>10.340463639236987</v>
      </c>
      <c r="I1228" s="2">
        <v>0.80728553383378321</v>
      </c>
      <c r="J1228" s="2">
        <v>7</v>
      </c>
      <c r="K1228" s="2">
        <v>180.10903439226522</v>
      </c>
      <c r="L1228" s="2">
        <v>12515</v>
      </c>
      <c r="M1228" s="2">
        <v>1200</v>
      </c>
      <c r="N1228" s="2">
        <v>250.00219617647582</v>
      </c>
      <c r="O1228" s="2">
        <v>2504.7474222040464</v>
      </c>
      <c r="P1228" s="2">
        <v>1017.7959258435294</v>
      </c>
      <c r="Q1228" s="2">
        <v>253.33334443485487</v>
      </c>
      <c r="R1228" s="2">
        <v>2534.8648573029736</v>
      </c>
      <c r="S1228" s="2">
        <v>1017.0575177655186</v>
      </c>
      <c r="T1228" s="2">
        <v>3.331148258379045</v>
      </c>
      <c r="U1228" s="2">
        <v>30.117435098927217</v>
      </c>
      <c r="V1228" s="2">
        <v>-0.73840807801082065</v>
      </c>
    </row>
    <row r="1229" spans="1:22" ht="15">
      <c r="A1229" s="2">
        <v>1228</v>
      </c>
      <c r="B1229" s="2" t="s">
        <v>78</v>
      </c>
      <c r="C1229" s="2" t="s">
        <v>81</v>
      </c>
      <c r="D1229" s="2">
        <v>966.94806910818443</v>
      </c>
      <c r="E1229" s="2">
        <v>687.28415197692811</v>
      </c>
      <c r="F1229" s="2">
        <v>415.54681761190295</v>
      </c>
      <c r="G1229" s="2">
        <v>86.882901187054813</v>
      </c>
      <c r="H1229" s="2">
        <v>14.17015305487439</v>
      </c>
      <c r="I1229" s="2">
        <v>0.81929550971835852</v>
      </c>
      <c r="J1229" s="2">
        <v>6</v>
      </c>
      <c r="K1229" s="2">
        <v>196.70315485242986</v>
      </c>
      <c r="L1229" s="2">
        <v>20970</v>
      </c>
      <c r="M1229" s="2">
        <v>1200</v>
      </c>
      <c r="N1229" s="2">
        <v>249.98219979830068</v>
      </c>
      <c r="O1229" s="2">
        <v>2500.7361963296225</v>
      </c>
      <c r="P1229" s="2">
        <v>966.94806910818443</v>
      </c>
      <c r="Q1229" s="2">
        <v>246.44877344292459</v>
      </c>
      <c r="R1229" s="2">
        <v>2482.9034907955443</v>
      </c>
      <c r="S1229" s="2">
        <v>984.94890817699331</v>
      </c>
      <c r="T1229" s="2">
        <v>-3.5334263553760934</v>
      </c>
      <c r="U1229" s="2">
        <v>-17.832705534078286</v>
      </c>
      <c r="V1229" s="2">
        <v>18.000839068808887</v>
      </c>
    </row>
    <row r="1230" spans="1:22" ht="15">
      <c r="A1230" s="2">
        <v>1229</v>
      </c>
      <c r="B1230" s="2" t="s">
        <v>78</v>
      </c>
      <c r="C1230" s="2" t="s">
        <v>81</v>
      </c>
      <c r="D1230" s="2">
        <v>985.89388667605817</v>
      </c>
      <c r="E1230" s="2">
        <v>1064.2285338486545</v>
      </c>
      <c r="F1230" s="2">
        <v>444.61453165858984</v>
      </c>
      <c r="G1230" s="2">
        <v>297.33512711944059</v>
      </c>
      <c r="H1230" s="2">
        <v>13.410722244530916</v>
      </c>
      <c r="I1230" s="2">
        <v>0.83975591480964795</v>
      </c>
      <c r="J1230" s="2">
        <v>6</v>
      </c>
      <c r="K1230" s="2">
        <v>195.6707239348107</v>
      </c>
      <c r="L1230" s="2">
        <v>13815</v>
      </c>
      <c r="M1230" s="2">
        <v>1200</v>
      </c>
      <c r="N1230" s="2">
        <v>250.0229020811154</v>
      </c>
      <c r="O1230" s="2">
        <v>2503.8121067099296</v>
      </c>
      <c r="P1230" s="2">
        <v>985.89388667605817</v>
      </c>
      <c r="Q1230" s="2">
        <v>252.77387026802933</v>
      </c>
      <c r="R1230" s="2">
        <v>2519.8393591039662</v>
      </c>
      <c r="S1230" s="2">
        <v>990.75583811426293</v>
      </c>
      <c r="T1230" s="2">
        <v>2.7509681869139229</v>
      </c>
      <c r="U1230" s="2">
        <v>16.027252394036623</v>
      </c>
      <c r="V1230" s="2">
        <v>4.8619514382047555</v>
      </c>
    </row>
    <row r="1231" spans="1:22" ht="15">
      <c r="A1231" s="2">
        <v>1230</v>
      </c>
      <c r="B1231" s="2" t="s">
        <v>78</v>
      </c>
      <c r="C1231" s="2" t="s">
        <v>81</v>
      </c>
      <c r="D1231" s="2">
        <v>1093.7361108255573</v>
      </c>
      <c r="E1231" s="2">
        <v>1186.2224620534107</v>
      </c>
      <c r="F1231" s="2">
        <v>440.51916049793363</v>
      </c>
      <c r="G1231" s="2">
        <v>267.53438256680965</v>
      </c>
      <c r="H1231" s="2">
        <v>27.989993060473353</v>
      </c>
      <c r="I1231" s="2">
        <v>0.83579425394069407</v>
      </c>
      <c r="J1231" s="2">
        <v>7</v>
      </c>
      <c r="K1231" s="2">
        <v>186.94554921325104</v>
      </c>
      <c r="L1231" s="2">
        <v>11290</v>
      </c>
      <c r="M1231" s="2">
        <v>1195</v>
      </c>
      <c r="N1231" s="2">
        <v>250.00747591023762</v>
      </c>
      <c r="O1231" s="2">
        <v>2495.3860138164896</v>
      </c>
      <c r="P1231" s="2">
        <v>1093.7361108255573</v>
      </c>
      <c r="Q1231" s="2">
        <v>250.19579124239732</v>
      </c>
      <c r="R1231" s="2">
        <v>2527.5206218874027</v>
      </c>
      <c r="S1231" s="2">
        <v>1081.4818059467077</v>
      </c>
      <c r="T1231" s="2">
        <v>0.18831533215970353</v>
      </c>
      <c r="U1231" s="2">
        <v>32.134608070913146</v>
      </c>
      <c r="V1231" s="2">
        <v>-12.254304878849553</v>
      </c>
    </row>
    <row r="1232" spans="1:22" ht="15">
      <c r="A1232" s="2">
        <v>1231</v>
      </c>
      <c r="B1232" s="2" t="s">
        <v>78</v>
      </c>
      <c r="C1232" s="2" t="s">
        <v>81</v>
      </c>
      <c r="D1232" s="2">
        <v>981.26975505147129</v>
      </c>
      <c r="E1232" s="2">
        <v>922.56140011595562</v>
      </c>
      <c r="F1232" s="2">
        <v>730.29058054089546</v>
      </c>
      <c r="G1232" s="2">
        <v>125.6262644729577</v>
      </c>
      <c r="H1232" s="2">
        <v>18.286218195222318</v>
      </c>
      <c r="I1232" s="2">
        <v>0.84897467491915457</v>
      </c>
      <c r="J1232" s="2">
        <v>6</v>
      </c>
      <c r="K1232" s="2">
        <v>192.63820701226351</v>
      </c>
      <c r="L1232" s="2">
        <v>14030</v>
      </c>
      <c r="M1232" s="2">
        <v>1200</v>
      </c>
      <c r="N1232" s="2">
        <v>250.01999224947028</v>
      </c>
      <c r="O1232" s="2">
        <v>2503.6738950518993</v>
      </c>
      <c r="P1232" s="2">
        <v>981.26975505147129</v>
      </c>
      <c r="Q1232" s="2">
        <v>253.02000092821618</v>
      </c>
      <c r="R1232" s="2">
        <v>2512.8725934664917</v>
      </c>
      <c r="S1232" s="2">
        <v>983.83172831196737</v>
      </c>
      <c r="T1232" s="2">
        <v>3.0000086787458997</v>
      </c>
      <c r="U1232" s="2">
        <v>9.1986984145923998</v>
      </c>
      <c r="V1232" s="2">
        <v>2.5619732604960745</v>
      </c>
    </row>
    <row r="1233" spans="1:22" ht="15">
      <c r="A1233" s="2">
        <v>1232</v>
      </c>
      <c r="B1233" s="2" t="s">
        <v>78</v>
      </c>
      <c r="C1233" s="2" t="s">
        <v>81</v>
      </c>
      <c r="D1233" s="2">
        <v>1037.9561632755212</v>
      </c>
      <c r="E1233" s="2">
        <v>678.37432604283094</v>
      </c>
      <c r="F1233" s="2">
        <v>675.2311541698873</v>
      </c>
      <c r="G1233" s="2">
        <v>255.82613800186664</v>
      </c>
      <c r="H1233" s="2">
        <v>13.400960424449295</v>
      </c>
      <c r="I1233" s="2">
        <v>0.79904909684322778</v>
      </c>
      <c r="J1233" s="2">
        <v>7</v>
      </c>
      <c r="K1233" s="2">
        <v>185.56988861173224</v>
      </c>
      <c r="L1233" s="2">
        <v>13290</v>
      </c>
      <c r="M1233" s="2">
        <v>1200</v>
      </c>
      <c r="N1233" s="2">
        <v>250.04175785292543</v>
      </c>
      <c r="O1233" s="2">
        <v>2504.1688233359509</v>
      </c>
      <c r="P1233" s="2">
        <v>1037.9561632755212</v>
      </c>
      <c r="Q1233" s="2">
        <v>248.65669272385892</v>
      </c>
      <c r="R1233" s="2">
        <v>2484.1405121810349</v>
      </c>
      <c r="S1233" s="2">
        <v>1043.9657276269138</v>
      </c>
      <c r="T1233" s="2">
        <v>-1.3850651290665041</v>
      </c>
      <c r="U1233" s="2">
        <v>-20.028311154916082</v>
      </c>
      <c r="V1233" s="2">
        <v>6.0095643513925552</v>
      </c>
    </row>
    <row r="1234" spans="1:22" ht="15">
      <c r="A1234" s="2">
        <v>1233</v>
      </c>
      <c r="B1234" s="2" t="s">
        <v>78</v>
      </c>
      <c r="C1234" s="2" t="s">
        <v>81</v>
      </c>
      <c r="D1234" s="2">
        <v>1083.3955288864672</v>
      </c>
      <c r="E1234" s="2">
        <v>721.89641868462786</v>
      </c>
      <c r="F1234" s="2">
        <v>559.08013079315424</v>
      </c>
      <c r="G1234" s="2">
        <v>329.45979012409225</v>
      </c>
      <c r="H1234" s="2">
        <v>18.223250212147832</v>
      </c>
      <c r="I1234" s="2">
        <v>0.8369409524579533</v>
      </c>
      <c r="J1234" s="2">
        <v>7</v>
      </c>
      <c r="K1234" s="2">
        <v>184.92438371714084</v>
      </c>
      <c r="L1234" s="2">
        <v>13280</v>
      </c>
      <c r="M1234" s="2">
        <v>1200</v>
      </c>
      <c r="N1234" s="2">
        <v>250.00969997514022</v>
      </c>
      <c r="O1234" s="2">
        <v>2504.1746720200904</v>
      </c>
      <c r="P1234" s="2">
        <v>1083.3955288864672</v>
      </c>
      <c r="Q1234" s="2">
        <v>251.97248523500559</v>
      </c>
      <c r="R1234" s="2">
        <v>2493.039312560185</v>
      </c>
      <c r="S1234" s="2">
        <v>1087.2346323511376</v>
      </c>
      <c r="T1234" s="2">
        <v>1.9627852598653703</v>
      </c>
      <c r="U1234" s="2">
        <v>-11.13535945990543</v>
      </c>
      <c r="V1234" s="2">
        <v>3.8391034646704156</v>
      </c>
    </row>
    <row r="1235" spans="1:22" ht="15">
      <c r="A1235" s="2">
        <v>1234</v>
      </c>
      <c r="B1235" s="2" t="s">
        <v>78</v>
      </c>
      <c r="C1235" s="2" t="s">
        <v>81</v>
      </c>
      <c r="D1235" s="2">
        <v>981.16372261429206</v>
      </c>
      <c r="E1235" s="2">
        <v>1166.7772517772391</v>
      </c>
      <c r="F1235" s="2">
        <v>662.89765620604157</v>
      </c>
      <c r="G1235" s="2">
        <v>121.01471905596554</v>
      </c>
      <c r="H1235" s="2">
        <v>15.414318934548646</v>
      </c>
      <c r="I1235" s="2">
        <v>0.81042098859790712</v>
      </c>
      <c r="J1235" s="2">
        <v>7</v>
      </c>
      <c r="K1235" s="2">
        <v>172.95485687044555</v>
      </c>
      <c r="L1235" s="2">
        <v>10965</v>
      </c>
      <c r="M1235" s="2">
        <v>1195</v>
      </c>
      <c r="N1235" s="2">
        <v>250.04147370180246</v>
      </c>
      <c r="O1235" s="2">
        <v>2495.7130404800164</v>
      </c>
      <c r="P1235" s="2">
        <v>981.16372261429206</v>
      </c>
      <c r="Q1235" s="2">
        <v>252.40488762509935</v>
      </c>
      <c r="R1235" s="2">
        <v>2507.637115687523</v>
      </c>
      <c r="S1235" s="2">
        <v>981.55869689458689</v>
      </c>
      <c r="T1235" s="2">
        <v>2.3634139232968892</v>
      </c>
      <c r="U1235" s="2">
        <v>11.924075207506576</v>
      </c>
      <c r="V1235" s="2">
        <v>0.39497428029483217</v>
      </c>
    </row>
    <row r="1236" spans="1:22" ht="15">
      <c r="A1236" s="2">
        <v>1235</v>
      </c>
      <c r="B1236" s="2" t="s">
        <v>79</v>
      </c>
      <c r="C1236" s="2" t="s">
        <v>81</v>
      </c>
      <c r="D1236" s="2">
        <v>1040.215198113583</v>
      </c>
      <c r="E1236" s="2">
        <v>764.88423343980685</v>
      </c>
      <c r="F1236" s="2">
        <v>369.76035498082638</v>
      </c>
      <c r="G1236" s="2">
        <v>142.06353072775528</v>
      </c>
      <c r="H1236" s="2">
        <v>17.460141685791314</v>
      </c>
      <c r="I1236" s="2">
        <v>0.83942330014659094</v>
      </c>
      <c r="J1236" s="2">
        <v>7</v>
      </c>
      <c r="K1236" s="2">
        <v>177.02888534679997</v>
      </c>
      <c r="L1236" s="2">
        <v>16750</v>
      </c>
      <c r="M1236" s="2">
        <v>1200</v>
      </c>
      <c r="N1236" s="2">
        <v>249.98933589748799</v>
      </c>
      <c r="O1236" s="2">
        <v>2502.2319733031864</v>
      </c>
      <c r="P1236" s="2">
        <v>1040.215198113583</v>
      </c>
      <c r="Q1236" s="2">
        <v>247.85367023645</v>
      </c>
      <c r="R1236" s="2">
        <v>2465.521055847456</v>
      </c>
      <c r="S1236" s="2">
        <v>1049.0446821888004</v>
      </c>
      <c r="T1236" s="2">
        <v>-2.13566566103799</v>
      </c>
      <c r="U1236" s="2">
        <v>-36.710917455730396</v>
      </c>
      <c r="V1236" s="2">
        <v>8.8294840752173513</v>
      </c>
    </row>
    <row r="1237" spans="1:22" ht="15">
      <c r="A1237" s="2">
        <v>1236</v>
      </c>
      <c r="B1237" s="2" t="s">
        <v>79</v>
      </c>
      <c r="C1237" s="2" t="s">
        <v>81</v>
      </c>
      <c r="D1237" s="2">
        <v>972.59343987097964</v>
      </c>
      <c r="E1237" s="2">
        <v>1167.2828993294388</v>
      </c>
      <c r="F1237" s="2">
        <v>609.35416398569942</v>
      </c>
      <c r="G1237" s="2">
        <v>320.14717841055244</v>
      </c>
      <c r="H1237" s="2">
        <v>11.622151985298842</v>
      </c>
      <c r="I1237" s="2">
        <v>0.79549444304779171</v>
      </c>
      <c r="J1237" s="2">
        <v>7</v>
      </c>
      <c r="K1237" s="2">
        <v>174.66108179114102</v>
      </c>
      <c r="L1237" s="2">
        <v>10200</v>
      </c>
      <c r="M1237" s="2">
        <v>1195</v>
      </c>
      <c r="N1237" s="2">
        <v>250.0166992079661</v>
      </c>
      <c r="O1237" s="2">
        <v>2496.5599429261506</v>
      </c>
      <c r="P1237" s="2">
        <v>972.59343987097964</v>
      </c>
      <c r="Q1237" s="2">
        <v>251.9661102805926</v>
      </c>
      <c r="R1237" s="2">
        <v>2525.7195539824929</v>
      </c>
      <c r="S1237" s="2">
        <v>974.73960363593596</v>
      </c>
      <c r="T1237" s="2">
        <v>1.9494110726265035</v>
      </c>
      <c r="U1237" s="2">
        <v>29.159611056342328</v>
      </c>
      <c r="V1237" s="2">
        <v>2.1461637649563272</v>
      </c>
    </row>
    <row r="1238" spans="1:22" ht="15">
      <c r="A1238" s="2">
        <v>1237</v>
      </c>
      <c r="B1238" s="2" t="s">
        <v>79</v>
      </c>
      <c r="C1238" s="2" t="s">
        <v>81</v>
      </c>
      <c r="D1238" s="2">
        <v>961.38004665262997</v>
      </c>
      <c r="E1238" s="2">
        <v>1066.1135475966148</v>
      </c>
      <c r="F1238" s="2">
        <v>507.69688468426466</v>
      </c>
      <c r="G1238" s="2">
        <v>143.37891548173502</v>
      </c>
      <c r="H1238" s="2">
        <v>16.651212081313133</v>
      </c>
      <c r="I1238" s="2">
        <v>0.85358272819081327</v>
      </c>
      <c r="J1238" s="2">
        <v>6</v>
      </c>
      <c r="K1238" s="2">
        <v>187.71467894512023</v>
      </c>
      <c r="L1238" s="2">
        <v>14530</v>
      </c>
      <c r="M1238" s="2">
        <v>1200</v>
      </c>
      <c r="N1238" s="2">
        <v>250.00702616252897</v>
      </c>
      <c r="O1238" s="2">
        <v>2503.3680879695962</v>
      </c>
      <c r="P1238" s="2">
        <v>961.38004665262997</v>
      </c>
      <c r="Q1238" s="2">
        <v>250.50325465895185</v>
      </c>
      <c r="R1238" s="2">
        <v>2493.8552494740443</v>
      </c>
      <c r="S1238" s="2">
        <v>966.29142408715154</v>
      </c>
      <c r="T1238" s="2">
        <v>0.49622849642287292</v>
      </c>
      <c r="U1238" s="2">
        <v>-9.5128384955519323</v>
      </c>
      <c r="V1238" s="2">
        <v>4.9113774345215688</v>
      </c>
    </row>
    <row r="1239" spans="1:22" ht="15">
      <c r="A1239" s="2">
        <v>1238</v>
      </c>
      <c r="B1239" s="2" t="s">
        <v>80</v>
      </c>
      <c r="C1239" s="2" t="s">
        <v>81</v>
      </c>
      <c r="D1239" s="2">
        <v>1026.3712448184378</v>
      </c>
      <c r="E1239" s="2">
        <v>737.33029344584793</v>
      </c>
      <c r="F1239" s="2">
        <v>633.16438915207982</v>
      </c>
      <c r="G1239" s="2">
        <v>267.05034675076604</v>
      </c>
      <c r="H1239" s="2">
        <v>11.294923460576683</v>
      </c>
      <c r="I1239" s="2">
        <v>0.85257590120192617</v>
      </c>
      <c r="J1239" s="2">
        <v>7</v>
      </c>
      <c r="K1239" s="2">
        <v>171.9781937758105</v>
      </c>
      <c r="L1239" s="2">
        <v>13060</v>
      </c>
      <c r="M1239" s="2">
        <v>1200</v>
      </c>
      <c r="N1239" s="2">
        <v>250.00655010379757</v>
      </c>
      <c r="O1239" s="2">
        <v>2504.3324771248444</v>
      </c>
      <c r="P1239" s="2">
        <v>1026.3712448184378</v>
      </c>
      <c r="Q1239" s="2">
        <v>249.36414340597014</v>
      </c>
      <c r="R1239" s="2">
        <v>2494.5571968171739</v>
      </c>
      <c r="S1239" s="2">
        <v>1037.0490364972184</v>
      </c>
      <c r="T1239" s="2">
        <v>-0.64240669782742543</v>
      </c>
      <c r="U1239" s="2">
        <v>-9.7752803076705277</v>
      </c>
      <c r="V1239" s="2">
        <v>10.677791678780522</v>
      </c>
    </row>
    <row r="1240" spans="1:22" ht="15">
      <c r="A1240" s="2">
        <v>1239</v>
      </c>
      <c r="B1240" s="2" t="s">
        <v>80</v>
      </c>
      <c r="C1240" s="2" t="s">
        <v>81</v>
      </c>
      <c r="D1240" s="2">
        <v>1083.0408086301759</v>
      </c>
      <c r="E1240" s="2">
        <v>1195.3798042726703</v>
      </c>
      <c r="F1240" s="2">
        <v>517.47763007879257</v>
      </c>
      <c r="G1240" s="2">
        <v>327.89630708983168</v>
      </c>
      <c r="H1240" s="2">
        <v>22.042661185376346</v>
      </c>
      <c r="I1240" s="2">
        <v>0.80210072170710189</v>
      </c>
      <c r="J1240" s="2">
        <v>7</v>
      </c>
      <c r="K1240" s="2">
        <v>192.89362461775062</v>
      </c>
      <c r="L1240" s="2">
        <v>10480</v>
      </c>
      <c r="M1240" s="2">
        <v>1195</v>
      </c>
      <c r="N1240" s="2">
        <v>250.01581700397946</v>
      </c>
      <c r="O1240" s="2">
        <v>2496.2351371976793</v>
      </c>
      <c r="P1240" s="2">
        <v>1083.0408086301759</v>
      </c>
      <c r="Q1240" s="2">
        <v>250.97359300664107</v>
      </c>
      <c r="R1240" s="2">
        <v>2564.2668945114683</v>
      </c>
      <c r="S1240" s="2">
        <v>1074.4771225492145</v>
      </c>
      <c r="T1240" s="2">
        <v>0.95777600266160334</v>
      </c>
      <c r="U1240" s="2">
        <v>68.031757313789058</v>
      </c>
      <c r="V1240" s="2">
        <v>-8.5636860809613609</v>
      </c>
    </row>
    <row r="1241" spans="1:22" ht="15">
      <c r="A1241" s="2">
        <v>1240</v>
      </c>
      <c r="B1241" s="2" t="s">
        <v>80</v>
      </c>
      <c r="C1241" s="2" t="s">
        <v>81</v>
      </c>
      <c r="D1241" s="2">
        <v>1071.6950672562234</v>
      </c>
      <c r="E1241" s="2">
        <v>674.68439852818847</v>
      </c>
      <c r="F1241" s="2">
        <v>597.32573246583343</v>
      </c>
      <c r="G1241" s="2">
        <v>304.53742532525212</v>
      </c>
      <c r="H1241" s="2">
        <v>27.08777274703607</v>
      </c>
      <c r="I1241" s="2">
        <v>0.82221672241576016</v>
      </c>
      <c r="J1241" s="2">
        <v>7</v>
      </c>
      <c r="K1241" s="2">
        <v>186.2030911661534</v>
      </c>
      <c r="L1241" s="2">
        <v>13565</v>
      </c>
      <c r="M1241" s="2">
        <v>1200</v>
      </c>
      <c r="N1241" s="2">
        <v>250.00138776072953</v>
      </c>
      <c r="O1241" s="2">
        <v>2503.9773986348459</v>
      </c>
      <c r="P1241" s="2">
        <v>1071.6950672562234</v>
      </c>
      <c r="Q1241" s="2">
        <v>247.66654571059644</v>
      </c>
      <c r="R1241" s="2">
        <v>2483.4113251551244</v>
      </c>
      <c r="S1241" s="2">
        <v>1061.9385161886637</v>
      </c>
      <c r="T1241" s="2">
        <v>-2.3348420501330907</v>
      </c>
      <c r="U1241" s="2">
        <v>-20.566073479721581</v>
      </c>
      <c r="V1241" s="2">
        <v>-9.7565510675597125</v>
      </c>
    </row>
    <row r="1242" spans="1:22" ht="15">
      <c r="A1242" s="2">
        <v>1241</v>
      </c>
      <c r="B1242" s="2" t="s">
        <v>78</v>
      </c>
      <c r="C1242" s="2" t="s">
        <v>81</v>
      </c>
      <c r="D1242" s="2">
        <v>1084.6837393939495</v>
      </c>
      <c r="E1242" s="2">
        <v>759.14127550786361</v>
      </c>
      <c r="F1242" s="2">
        <v>525.42086709290743</v>
      </c>
      <c r="G1242" s="2">
        <v>150.76563179725781</v>
      </c>
      <c r="H1242" s="2">
        <v>27.56102049164474</v>
      </c>
      <c r="I1242" s="2">
        <v>0.82445066024782143</v>
      </c>
      <c r="J1242" s="2">
        <v>7</v>
      </c>
      <c r="K1242" s="2">
        <v>187.94917317046423</v>
      </c>
      <c r="L1242" s="2">
        <v>14900</v>
      </c>
      <c r="M1242" s="2">
        <v>1200</v>
      </c>
      <c r="N1242" s="2">
        <v>250.00737868859568</v>
      </c>
      <c r="O1242" s="2">
        <v>2503.1553300403257</v>
      </c>
      <c r="P1242" s="2">
        <v>1084.6837393939495</v>
      </c>
      <c r="Q1242" s="2">
        <v>244.79220171832927</v>
      </c>
      <c r="R1242" s="2">
        <v>2480.7278959440359</v>
      </c>
      <c r="S1242" s="2">
        <v>1078.864411132289</v>
      </c>
      <c r="T1242" s="2">
        <v>-5.2151769702664126</v>
      </c>
      <c r="U1242" s="2">
        <v>-22.427434096289744</v>
      </c>
      <c r="V1242" s="2">
        <v>-5.8193282616605302</v>
      </c>
    </row>
    <row r="1243" spans="1:22" ht="15">
      <c r="A1243" s="2">
        <v>1242</v>
      </c>
      <c r="B1243" s="2" t="s">
        <v>78</v>
      </c>
      <c r="C1243" s="2" t="s">
        <v>81</v>
      </c>
      <c r="D1243" s="2">
        <v>963.05813031503931</v>
      </c>
      <c r="E1243" s="2">
        <v>685.68229249212891</v>
      </c>
      <c r="F1243" s="2">
        <v>393.91054967418313</v>
      </c>
      <c r="G1243" s="2">
        <v>268.82725550793111</v>
      </c>
      <c r="H1243" s="2">
        <v>29.69123723777011</v>
      </c>
      <c r="I1243" s="2">
        <v>0.80227130130399027</v>
      </c>
      <c r="J1243" s="2">
        <v>7</v>
      </c>
      <c r="K1243" s="2">
        <v>171.48779057474704</v>
      </c>
      <c r="L1243" s="2">
        <v>15860</v>
      </c>
      <c r="M1243" s="2">
        <v>1200</v>
      </c>
      <c r="N1243" s="2">
        <v>250.00222901842417</v>
      </c>
      <c r="O1243" s="2">
        <v>2502.6494230725812</v>
      </c>
      <c r="P1243" s="2">
        <v>963.05813031503931</v>
      </c>
      <c r="Q1243" s="2">
        <v>248.03358036335482</v>
      </c>
      <c r="R1243" s="2">
        <v>2472.0125506160134</v>
      </c>
      <c r="S1243" s="2">
        <v>958.22570281559376</v>
      </c>
      <c r="T1243" s="2">
        <v>-1.9686486550693587</v>
      </c>
      <c r="U1243" s="2">
        <v>-30.636872456567744</v>
      </c>
      <c r="V1243" s="2">
        <v>-4.8324274994455436</v>
      </c>
    </row>
    <row r="1244" spans="1:22" ht="15">
      <c r="A1244" s="2">
        <v>1243</v>
      </c>
      <c r="B1244" s="2" t="s">
        <v>78</v>
      </c>
      <c r="C1244" s="2" t="s">
        <v>81</v>
      </c>
      <c r="D1244" s="2">
        <v>1008.3707087440416</v>
      </c>
      <c r="E1244" s="2">
        <v>770.65694449702278</v>
      </c>
      <c r="F1244" s="2">
        <v>690.9126702696085</v>
      </c>
      <c r="G1244" s="2">
        <v>178.06731826392934</v>
      </c>
      <c r="H1244" s="2">
        <v>13.451622896827757</v>
      </c>
      <c r="I1244" s="2">
        <v>0.80844130153534932</v>
      </c>
      <c r="J1244" s="2">
        <v>7</v>
      </c>
      <c r="K1244" s="2">
        <v>178.18604531761073</v>
      </c>
      <c r="L1244" s="2">
        <v>13045</v>
      </c>
      <c r="M1244" s="2">
        <v>1200</v>
      </c>
      <c r="N1244" s="2">
        <v>250.03846323094515</v>
      </c>
      <c r="O1244" s="2">
        <v>2504.3446545145575</v>
      </c>
      <c r="P1244" s="2">
        <v>1008.3707087440416</v>
      </c>
      <c r="Q1244" s="2">
        <v>252.19632188575648</v>
      </c>
      <c r="R1244" s="2">
        <v>2494.8511500412133</v>
      </c>
      <c r="S1244" s="2">
        <v>1011.6569013776312</v>
      </c>
      <c r="T1244" s="2">
        <v>2.1578586548113208</v>
      </c>
      <c r="U1244" s="2">
        <v>-9.4935044733442737</v>
      </c>
      <c r="V1244" s="2">
        <v>3.2861926335896214</v>
      </c>
    </row>
    <row r="1245" spans="1:22" ht="15">
      <c r="A1245" s="2">
        <v>1244</v>
      </c>
      <c r="B1245" s="2" t="s">
        <v>78</v>
      </c>
      <c r="C1245" s="2" t="s">
        <v>81</v>
      </c>
      <c r="D1245" s="2">
        <v>958.12589976703748</v>
      </c>
      <c r="E1245" s="2">
        <v>1244.453003956005</v>
      </c>
      <c r="F1245" s="2">
        <v>528.37172402068973</v>
      </c>
      <c r="G1245" s="2">
        <v>260.22045481484383</v>
      </c>
      <c r="H1245" s="2">
        <v>9.017955060582608</v>
      </c>
      <c r="I1245" s="2">
        <v>0.85631135530769831</v>
      </c>
      <c r="J1245" s="2">
        <v>6</v>
      </c>
      <c r="K1245" s="2">
        <v>186.48316289557127</v>
      </c>
      <c r="L1245" s="2">
        <v>12270</v>
      </c>
      <c r="M1245" s="2">
        <v>1200</v>
      </c>
      <c r="N1245" s="2">
        <v>249.95380892096398</v>
      </c>
      <c r="O1245" s="2">
        <v>2504.9440822440565</v>
      </c>
      <c r="P1245" s="2">
        <v>958.12589976703748</v>
      </c>
      <c r="Q1245" s="2">
        <v>251.8454632126772</v>
      </c>
      <c r="R1245" s="2">
        <v>2511.9128237264586</v>
      </c>
      <c r="S1245" s="2">
        <v>960.40467699858164</v>
      </c>
      <c r="T1245" s="2">
        <v>1.8916542917132233</v>
      </c>
      <c r="U1245" s="2">
        <v>6.9687414824020379</v>
      </c>
      <c r="V1245" s="2">
        <v>2.2787772315441543</v>
      </c>
    </row>
    <row r="1246" spans="1:22" ht="15">
      <c r="A1246" s="2">
        <v>1245</v>
      </c>
      <c r="B1246" s="2" t="s">
        <v>78</v>
      </c>
      <c r="C1246" s="2" t="s">
        <v>81</v>
      </c>
      <c r="D1246" s="2">
        <v>1036.1633456777781</v>
      </c>
      <c r="E1246" s="2">
        <v>939.62283142609522</v>
      </c>
      <c r="F1246" s="2">
        <v>748.10689445585012</v>
      </c>
      <c r="G1246" s="2">
        <v>188.07582066627219</v>
      </c>
      <c r="H1246" s="2">
        <v>26.868213754147291</v>
      </c>
      <c r="I1246" s="2">
        <v>0.83038560088956737</v>
      </c>
      <c r="J1246" s="2">
        <v>7</v>
      </c>
      <c r="K1246" s="2">
        <v>178.2585523379168</v>
      </c>
      <c r="L1246" s="2">
        <v>11400</v>
      </c>
      <c r="M1246" s="2">
        <v>1195</v>
      </c>
      <c r="N1246" s="2">
        <v>249.98180481488333</v>
      </c>
      <c r="O1246" s="2">
        <v>2495.2789415840348</v>
      </c>
      <c r="P1246" s="2">
        <v>1036.1633456777781</v>
      </c>
      <c r="Q1246" s="2">
        <v>250.27669808294291</v>
      </c>
      <c r="R1246" s="2">
        <v>2524.4376863033776</v>
      </c>
      <c r="S1246" s="2">
        <v>1022.3966465884999</v>
      </c>
      <c r="T1246" s="2">
        <v>0.29489326805958171</v>
      </c>
      <c r="U1246" s="2">
        <v>29.158744719342849</v>
      </c>
      <c r="V1246" s="2">
        <v>-13.766699089278177</v>
      </c>
    </row>
    <row r="1247" spans="1:22" ht="15">
      <c r="A1247" s="2">
        <v>1246</v>
      </c>
      <c r="B1247" s="2" t="s">
        <v>78</v>
      </c>
      <c r="C1247" s="2" t="s">
        <v>81</v>
      </c>
      <c r="D1247" s="2">
        <v>971.02425770135596</v>
      </c>
      <c r="E1247" s="2">
        <v>1197.8290303377435</v>
      </c>
      <c r="F1247" s="2">
        <v>516.25668602064252</v>
      </c>
      <c r="G1247" s="2">
        <v>145.45356195420027</v>
      </c>
      <c r="H1247" s="2">
        <v>21.132135140243918</v>
      </c>
      <c r="I1247" s="2">
        <v>0.82957484971266249</v>
      </c>
      <c r="J1247" s="2">
        <v>6</v>
      </c>
      <c r="K1247" s="2">
        <v>195.0847188045955</v>
      </c>
      <c r="L1247" s="2">
        <v>13415</v>
      </c>
      <c r="M1247" s="2">
        <v>1200</v>
      </c>
      <c r="N1247" s="2">
        <v>249.95665663318903</v>
      </c>
      <c r="O1247" s="2">
        <v>2504.078357183068</v>
      </c>
      <c r="P1247" s="2">
        <v>971.02425770135596</v>
      </c>
      <c r="Q1247" s="2">
        <v>252.31106800133006</v>
      </c>
      <c r="R1247" s="2">
        <v>2510.9212122745389</v>
      </c>
      <c r="S1247" s="2">
        <v>964.89135997209257</v>
      </c>
      <c r="T1247" s="2">
        <v>2.3544113681410295</v>
      </c>
      <c r="U1247" s="2">
        <v>6.8428550914709376</v>
      </c>
      <c r="V1247" s="2">
        <v>-6.1328977292633908</v>
      </c>
    </row>
    <row r="1248" spans="1:22" ht="15">
      <c r="A1248" s="2">
        <v>1247</v>
      </c>
      <c r="B1248" s="2" t="s">
        <v>78</v>
      </c>
      <c r="C1248" s="2" t="s">
        <v>81</v>
      </c>
      <c r="D1248" s="2">
        <v>969.35306082013994</v>
      </c>
      <c r="E1248" s="2">
        <v>1202.21130392747</v>
      </c>
      <c r="F1248" s="2">
        <v>580.22403344511986</v>
      </c>
      <c r="G1248" s="2">
        <v>176.06089204316959</v>
      </c>
      <c r="H1248" s="2">
        <v>13.750373206101358</v>
      </c>
      <c r="I1248" s="2">
        <v>0.84458212220808493</v>
      </c>
      <c r="J1248" s="2">
        <v>6</v>
      </c>
      <c r="K1248" s="2">
        <v>191.28849548418344</v>
      </c>
      <c r="L1248" s="2">
        <v>12740</v>
      </c>
      <c r="M1248" s="2">
        <v>1200</v>
      </c>
      <c r="N1248" s="2">
        <v>250.01181997548997</v>
      </c>
      <c r="O1248" s="2">
        <v>2504.5721127862926</v>
      </c>
      <c r="P1248" s="2">
        <v>969.35306082013994</v>
      </c>
      <c r="Q1248" s="2">
        <v>253.65870574550144</v>
      </c>
      <c r="R1248" s="2">
        <v>2510.3390056607518</v>
      </c>
      <c r="S1248" s="2">
        <v>963.92570094550581</v>
      </c>
      <c r="T1248" s="2">
        <v>3.6468857700114654</v>
      </c>
      <c r="U1248" s="2">
        <v>5.7668928744592449</v>
      </c>
      <c r="V1248" s="2">
        <v>-5.4273598746341349</v>
      </c>
    </row>
    <row r="1249" spans="1:22" ht="15">
      <c r="A1249" s="2">
        <v>1248</v>
      </c>
      <c r="B1249" s="2" t="s">
        <v>78</v>
      </c>
      <c r="C1249" s="2" t="s">
        <v>81</v>
      </c>
      <c r="D1249" s="2">
        <v>1067.9273282992654</v>
      </c>
      <c r="E1249" s="2">
        <v>693.37263256311417</v>
      </c>
      <c r="F1249" s="2">
        <v>586.71464612707496</v>
      </c>
      <c r="G1249" s="2">
        <v>292.98241161275655</v>
      </c>
      <c r="H1249" s="2">
        <v>17.478191079106182</v>
      </c>
      <c r="I1249" s="2">
        <v>0.81290732379071418</v>
      </c>
      <c r="J1249" s="2">
        <v>7</v>
      </c>
      <c r="K1249" s="2">
        <v>187.67335763255153</v>
      </c>
      <c r="L1249" s="2">
        <v>13595</v>
      </c>
      <c r="M1249" s="2">
        <v>1200</v>
      </c>
      <c r="N1249" s="2">
        <v>250.00134911378723</v>
      </c>
      <c r="O1249" s="2">
        <v>2503.9571532811915</v>
      </c>
      <c r="P1249" s="2">
        <v>1067.9273282992654</v>
      </c>
      <c r="Q1249" s="2">
        <v>252.30859178380152</v>
      </c>
      <c r="R1249" s="2">
        <v>2490.1377914583813</v>
      </c>
      <c r="S1249" s="2">
        <v>1067.7849361920539</v>
      </c>
      <c r="T1249" s="2">
        <v>2.3072426700142898</v>
      </c>
      <c r="U1249" s="2">
        <v>-13.819361822810151</v>
      </c>
      <c r="V1249" s="2">
        <v>-0.14239210721143536</v>
      </c>
    </row>
    <row r="1250" spans="1:22" ht="15">
      <c r="A1250" s="2">
        <v>1249</v>
      </c>
      <c r="B1250" s="2" t="s">
        <v>78</v>
      </c>
      <c r="C1250" s="2" t="s">
        <v>81</v>
      </c>
      <c r="D1250" s="2">
        <v>1095.2574445866048</v>
      </c>
      <c r="E1250" s="2">
        <v>1177.8964287950657</v>
      </c>
      <c r="F1250" s="2">
        <v>692.51340869814157</v>
      </c>
      <c r="G1250" s="2">
        <v>221.2752895266749</v>
      </c>
      <c r="H1250" s="2">
        <v>13.307841593399644</v>
      </c>
      <c r="I1250" s="2">
        <v>0.84161465573357419</v>
      </c>
      <c r="J1250" s="2">
        <v>7</v>
      </c>
      <c r="K1250" s="2">
        <v>185.91091321987304</v>
      </c>
      <c r="L1250" s="2">
        <v>10225</v>
      </c>
      <c r="M1250" s="2">
        <v>1195</v>
      </c>
      <c r="N1250" s="2">
        <v>250.02003427967929</v>
      </c>
      <c r="O1250" s="2">
        <v>2496.5303836386524</v>
      </c>
      <c r="P1250" s="2">
        <v>1095.2574445866048</v>
      </c>
      <c r="Q1250" s="2">
        <v>253.20708628617282</v>
      </c>
      <c r="R1250" s="2">
        <v>2565.831752614135</v>
      </c>
      <c r="S1250" s="2">
        <v>1094.4408383784107</v>
      </c>
      <c r="T1250" s="2">
        <v>3.1870520064935306</v>
      </c>
      <c r="U1250" s="2">
        <v>69.301368975482546</v>
      </c>
      <c r="V1250" s="2">
        <v>-0.81660620819411633</v>
      </c>
    </row>
    <row r="1251" spans="1:22" ht="15">
      <c r="A1251" s="2">
        <v>1250</v>
      </c>
      <c r="B1251" s="2" t="s">
        <v>78</v>
      </c>
      <c r="C1251" s="2" t="s">
        <v>81</v>
      </c>
      <c r="D1251" s="2">
        <v>1024.3236178182997</v>
      </c>
      <c r="E1251" s="2">
        <v>623.22320521343499</v>
      </c>
      <c r="F1251" s="2">
        <v>509.44743091240525</v>
      </c>
      <c r="G1251" s="2">
        <v>285.85416280664504</v>
      </c>
      <c r="H1251" s="2">
        <v>26.423919715452939</v>
      </c>
      <c r="I1251" s="2">
        <v>0.80322955361101778</v>
      </c>
      <c r="J1251" s="2">
        <v>7</v>
      </c>
      <c r="K1251" s="2">
        <v>182.17948374130518</v>
      </c>
      <c r="L1251" s="2">
        <v>15075</v>
      </c>
      <c r="M1251" s="2">
        <v>1200</v>
      </c>
      <c r="N1251" s="2">
        <v>249.98253782882293</v>
      </c>
      <c r="O1251" s="2">
        <v>2503.057516559546</v>
      </c>
      <c r="P1251" s="2">
        <v>1024.3236178182997</v>
      </c>
      <c r="Q1251" s="2">
        <v>249.66814789612036</v>
      </c>
      <c r="R1251" s="2">
        <v>2452.2726856069303</v>
      </c>
      <c r="S1251" s="2">
        <v>1024.7382583996036</v>
      </c>
      <c r="T1251" s="2">
        <v>-0.31438993270256788</v>
      </c>
      <c r="U1251" s="2">
        <v>-50.784830952615721</v>
      </c>
      <c r="V1251" s="2">
        <v>0.41464058130395642</v>
      </c>
    </row>
    <row r="1252" spans="1:22" ht="15">
      <c r="A1252" s="2">
        <v>1251</v>
      </c>
      <c r="B1252" s="2" t="s">
        <v>78</v>
      </c>
      <c r="C1252" s="2" t="s">
        <v>81</v>
      </c>
      <c r="D1252" s="2">
        <v>970.65408600028604</v>
      </c>
      <c r="E1252" s="2">
        <v>720.94256222480908</v>
      </c>
      <c r="F1252" s="2">
        <v>701.89626626670361</v>
      </c>
      <c r="G1252" s="2">
        <v>221.89673372311518</v>
      </c>
      <c r="H1252" s="2">
        <v>27.335136611945927</v>
      </c>
      <c r="I1252" s="2">
        <v>0.79465339221758768</v>
      </c>
      <c r="J1252" s="2">
        <v>7</v>
      </c>
      <c r="K1252" s="2">
        <v>174.49729754710947</v>
      </c>
      <c r="L1252" s="2">
        <v>13005</v>
      </c>
      <c r="M1252" s="2">
        <v>1200</v>
      </c>
      <c r="N1252" s="2">
        <v>250.04722499751855</v>
      </c>
      <c r="O1252" s="2">
        <v>2504.3743346547635</v>
      </c>
      <c r="P1252" s="2">
        <v>970.65408600028604</v>
      </c>
      <c r="Q1252" s="2">
        <v>251.31143351832173</v>
      </c>
      <c r="R1252" s="2">
        <v>2521.4205916301648</v>
      </c>
      <c r="S1252" s="2">
        <v>961.60378806065648</v>
      </c>
      <c r="T1252" s="2">
        <v>1.2642085208031801</v>
      </c>
      <c r="U1252" s="2">
        <v>17.04625697540132</v>
      </c>
      <c r="V1252" s="2">
        <v>-9.0502979396295586</v>
      </c>
    </row>
    <row r="1253" spans="1:22" ht="15">
      <c r="A1253" s="2">
        <v>1252</v>
      </c>
      <c r="B1253" s="2" t="s">
        <v>78</v>
      </c>
      <c r="C1253" s="2" t="s">
        <v>81</v>
      </c>
      <c r="D1253" s="2">
        <v>1018.5637402697466</v>
      </c>
      <c r="E1253" s="2">
        <v>1012.4583490658551</v>
      </c>
      <c r="F1253" s="2">
        <v>649.64493839070201</v>
      </c>
      <c r="G1253" s="2">
        <v>195.9387327497825</v>
      </c>
      <c r="H1253" s="2">
        <v>28.07696459395811</v>
      </c>
      <c r="I1253" s="2">
        <v>0.85581353394314652</v>
      </c>
      <c r="J1253" s="2">
        <v>6</v>
      </c>
      <c r="K1253" s="2">
        <v>198.36169521194864</v>
      </c>
      <c r="L1253" s="2">
        <v>13430</v>
      </c>
      <c r="M1253" s="2">
        <v>1200</v>
      </c>
      <c r="N1253" s="2">
        <v>250.03484075921625</v>
      </c>
      <c r="O1253" s="2">
        <v>2504.0708864640214</v>
      </c>
      <c r="P1253" s="2">
        <v>1018.5637402697466</v>
      </c>
      <c r="Q1253" s="2">
        <v>250.22868181006123</v>
      </c>
      <c r="R1253" s="2">
        <v>2487.6152243371362</v>
      </c>
      <c r="S1253" s="2">
        <v>1008.4923646078605</v>
      </c>
      <c r="T1253" s="2">
        <v>0.1938410508449806</v>
      </c>
      <c r="U1253" s="2">
        <v>-16.455662126885272</v>
      </c>
      <c r="V1253" s="2">
        <v>-10.071375661886123</v>
      </c>
    </row>
    <row r="1254" spans="1:22" ht="15">
      <c r="A1254" s="2">
        <v>1253</v>
      </c>
      <c r="B1254" s="2" t="s">
        <v>78</v>
      </c>
      <c r="C1254" s="2" t="s">
        <v>81</v>
      </c>
      <c r="D1254" s="2">
        <v>967.28027896024287</v>
      </c>
      <c r="E1254" s="2">
        <v>997.56814147112891</v>
      </c>
      <c r="F1254" s="2">
        <v>666.38548504561186</v>
      </c>
      <c r="G1254" s="2">
        <v>107.45171013521031</v>
      </c>
      <c r="H1254" s="2">
        <v>18.281022764742374</v>
      </c>
      <c r="I1254" s="2">
        <v>0.84285311246523642</v>
      </c>
      <c r="J1254" s="2">
        <v>6</v>
      </c>
      <c r="K1254" s="2">
        <v>191.27102628259726</v>
      </c>
      <c r="L1254" s="2">
        <v>14085</v>
      </c>
      <c r="M1254" s="2">
        <v>1200</v>
      </c>
      <c r="N1254" s="2">
        <v>250.00189811389734</v>
      </c>
      <c r="O1254" s="2">
        <v>2503.638604067758</v>
      </c>
      <c r="P1254" s="2">
        <v>967.28027896024287</v>
      </c>
      <c r="Q1254" s="2">
        <v>251.78908249347313</v>
      </c>
      <c r="R1254" s="2">
        <v>2496.1258658313027</v>
      </c>
      <c r="S1254" s="2">
        <v>969.55721329855328</v>
      </c>
      <c r="T1254" s="2">
        <v>1.7871843795757911</v>
      </c>
      <c r="U1254" s="2">
        <v>-7.5127382364553341</v>
      </c>
      <c r="V1254" s="2">
        <v>2.2769343383104115</v>
      </c>
    </row>
    <row r="1255" spans="1:22" ht="15">
      <c r="A1255" s="2">
        <v>1254</v>
      </c>
      <c r="B1255" s="2" t="s">
        <v>78</v>
      </c>
      <c r="C1255" s="2" t="s">
        <v>81</v>
      </c>
      <c r="D1255" s="2">
        <v>1078.6269846488722</v>
      </c>
      <c r="E1255" s="2">
        <v>890.47572610434145</v>
      </c>
      <c r="F1255" s="2">
        <v>633.96185310557485</v>
      </c>
      <c r="G1255" s="2">
        <v>141.22984131798148</v>
      </c>
      <c r="H1255" s="2">
        <v>22.136038957629353</v>
      </c>
      <c r="I1255" s="2">
        <v>0.8009436835488305</v>
      </c>
      <c r="J1255" s="2">
        <v>7</v>
      </c>
      <c r="K1255" s="2">
        <v>192.38502331750882</v>
      </c>
      <c r="L1255" s="2">
        <v>12840</v>
      </c>
      <c r="M1255" s="2">
        <v>1200</v>
      </c>
      <c r="N1255" s="2">
        <v>250.01652767235794</v>
      </c>
      <c r="O1255" s="2">
        <v>2504.496183188377</v>
      </c>
      <c r="P1255" s="2">
        <v>1078.6269846488722</v>
      </c>
      <c r="Q1255" s="2">
        <v>248.42372150665196</v>
      </c>
      <c r="R1255" s="2">
        <v>2537.1741018184653</v>
      </c>
      <c r="S1255" s="2">
        <v>1078.2214242671544</v>
      </c>
      <c r="T1255" s="2">
        <v>-1.59280616570598</v>
      </c>
      <c r="U1255" s="2">
        <v>32.677918630088243</v>
      </c>
      <c r="V1255" s="2">
        <v>-0.40556038171780529</v>
      </c>
    </row>
    <row r="1256" spans="1:22" ht="15">
      <c r="A1256" s="2">
        <v>1255</v>
      </c>
      <c r="B1256" s="2" t="s">
        <v>79</v>
      </c>
      <c r="C1256" s="2" t="s">
        <v>81</v>
      </c>
      <c r="D1256" s="2">
        <v>1011.1063796328381</v>
      </c>
      <c r="E1256" s="2">
        <v>955.19703143509105</v>
      </c>
      <c r="F1256" s="2">
        <v>560.58072447776794</v>
      </c>
      <c r="G1256" s="2">
        <v>189.27409114083275</v>
      </c>
      <c r="H1256" s="2">
        <v>9.370440530590713</v>
      </c>
      <c r="I1256" s="2">
        <v>0.79546533562010158</v>
      </c>
      <c r="J1256" s="2">
        <v>7</v>
      </c>
      <c r="K1256" s="2">
        <v>181.58398870565031</v>
      </c>
      <c r="L1256" s="2">
        <v>12545</v>
      </c>
      <c r="M1256" s="2">
        <v>1200</v>
      </c>
      <c r="N1256" s="2">
        <v>250.04786642480227</v>
      </c>
      <c r="O1256" s="2">
        <v>2504.725447812069</v>
      </c>
      <c r="P1256" s="2">
        <v>1011.1063796328381</v>
      </c>
      <c r="Q1256" s="2">
        <v>249.48222676488533</v>
      </c>
      <c r="R1256" s="2">
        <v>2510.4493900515358</v>
      </c>
      <c r="S1256" s="2">
        <v>1014.4206765626548</v>
      </c>
      <c r="T1256" s="2">
        <v>-0.56563965991693976</v>
      </c>
      <c r="U1256" s="2">
        <v>5.7239422394668509</v>
      </c>
      <c r="V1256" s="2">
        <v>3.3142969298166918</v>
      </c>
    </row>
    <row r="1257" spans="1:22" ht="15">
      <c r="A1257" s="2">
        <v>1256</v>
      </c>
      <c r="B1257" s="2" t="s">
        <v>79</v>
      </c>
      <c r="C1257" s="2" t="s">
        <v>81</v>
      </c>
      <c r="D1257" s="2">
        <v>987.8623389522545</v>
      </c>
      <c r="E1257" s="2">
        <v>795.67035520449281</v>
      </c>
      <c r="F1257" s="2">
        <v>504.73288660869002</v>
      </c>
      <c r="G1257" s="2">
        <v>112.81844931188971</v>
      </c>
      <c r="H1257" s="2">
        <v>24.575492245610803</v>
      </c>
      <c r="I1257" s="2">
        <v>0.8422569750342519</v>
      </c>
      <c r="J1257" s="2">
        <v>6</v>
      </c>
      <c r="K1257" s="2">
        <v>195.47920413720948</v>
      </c>
      <c r="L1257" s="2">
        <v>17655</v>
      </c>
      <c r="M1257" s="2">
        <v>1200</v>
      </c>
      <c r="N1257" s="2">
        <v>250.00378244152222</v>
      </c>
      <c r="O1257" s="2">
        <v>2501.8514109500375</v>
      </c>
      <c r="P1257" s="2">
        <v>987.8623389522545</v>
      </c>
      <c r="Q1257" s="2">
        <v>245.46595455706023</v>
      </c>
      <c r="R1257" s="2">
        <v>2506.9773865999969</v>
      </c>
      <c r="S1257" s="2">
        <v>990.96447152653207</v>
      </c>
      <c r="T1257" s="2">
        <v>-4.5378278844619899</v>
      </c>
      <c r="U1257" s="2">
        <v>5.1259756499594005</v>
      </c>
      <c r="V1257" s="2">
        <v>3.1021325742775616</v>
      </c>
    </row>
    <row r="1258" spans="1:22" ht="15">
      <c r="A1258" s="2">
        <v>1257</v>
      </c>
      <c r="B1258" s="2" t="s">
        <v>79</v>
      </c>
      <c r="C1258" s="2" t="s">
        <v>81</v>
      </c>
      <c r="D1258" s="2">
        <v>1075.1667505130172</v>
      </c>
      <c r="E1258" s="2">
        <v>1123.5007953247987</v>
      </c>
      <c r="F1258" s="2">
        <v>389.8659648373723</v>
      </c>
      <c r="G1258" s="2">
        <v>323.46757266903296</v>
      </c>
      <c r="H1258" s="2">
        <v>22.996424546465278</v>
      </c>
      <c r="I1258" s="2">
        <v>0.79878722892375664</v>
      </c>
      <c r="J1258" s="2">
        <v>7</v>
      </c>
      <c r="K1258" s="2">
        <v>192.2855605493771</v>
      </c>
      <c r="L1258" s="2">
        <v>11645</v>
      </c>
      <c r="M1258" s="2">
        <v>1195</v>
      </c>
      <c r="N1258" s="2">
        <v>250.04893847979611</v>
      </c>
      <c r="O1258" s="2">
        <v>2495.0530276015338</v>
      </c>
      <c r="P1258" s="2">
        <v>1075.1667505130172</v>
      </c>
      <c r="Q1258" s="2">
        <v>248.0814913493858</v>
      </c>
      <c r="R1258" s="2">
        <v>2549.1010561995977</v>
      </c>
      <c r="S1258" s="2">
        <v>1066.5294178140568</v>
      </c>
      <c r="T1258" s="2">
        <v>-1.9674471304103065</v>
      </c>
      <c r="U1258" s="2">
        <v>54.048028598063866</v>
      </c>
      <c r="V1258" s="2">
        <v>-8.6373326989603356</v>
      </c>
    </row>
    <row r="1259" spans="1:22" ht="15">
      <c r="A1259" s="2">
        <v>1258</v>
      </c>
      <c r="B1259" s="2" t="s">
        <v>80</v>
      </c>
      <c r="C1259" s="2" t="s">
        <v>81</v>
      </c>
      <c r="D1259" s="2">
        <v>975.13732059160247</v>
      </c>
      <c r="E1259" s="2">
        <v>1180.5277098203078</v>
      </c>
      <c r="F1259" s="2">
        <v>374.38943395391107</v>
      </c>
      <c r="G1259" s="2">
        <v>153.1120768468827</v>
      </c>
      <c r="H1259" s="2">
        <v>24.60828845622018</v>
      </c>
      <c r="I1259" s="2">
        <v>0.79806936230976133</v>
      </c>
      <c r="J1259" s="2">
        <v>7</v>
      </c>
      <c r="K1259" s="2">
        <v>174.55291243095778</v>
      </c>
      <c r="L1259" s="2">
        <v>12520</v>
      </c>
      <c r="M1259" s="2">
        <v>1200</v>
      </c>
      <c r="N1259" s="2">
        <v>249.98569323997268</v>
      </c>
      <c r="O1259" s="2">
        <v>2504.7427796990796</v>
      </c>
      <c r="P1259" s="2">
        <v>975.13732059160247</v>
      </c>
      <c r="Q1259" s="2">
        <v>246.49521273555447</v>
      </c>
      <c r="R1259" s="2">
        <v>2492.9336941161578</v>
      </c>
      <c r="S1259" s="2">
        <v>965.10507049030957</v>
      </c>
      <c r="T1259" s="2">
        <v>-3.4904805044182012</v>
      </c>
      <c r="U1259" s="2">
        <v>-11.809085582921853</v>
      </c>
      <c r="V1259" s="2">
        <v>-10.032250101292902</v>
      </c>
    </row>
    <row r="1260" spans="1:22" ht="15">
      <c r="A1260" s="2">
        <v>1259</v>
      </c>
      <c r="B1260" s="2" t="s">
        <v>80</v>
      </c>
      <c r="C1260" s="2" t="s">
        <v>81</v>
      </c>
      <c r="D1260" s="2">
        <v>1052.4802735773847</v>
      </c>
      <c r="E1260" s="2">
        <v>1088.7418991536833</v>
      </c>
      <c r="F1260" s="2">
        <v>450.38951821625233</v>
      </c>
      <c r="G1260" s="2">
        <v>178.27256033895537</v>
      </c>
      <c r="H1260" s="2">
        <v>24.941336975432932</v>
      </c>
      <c r="I1260" s="2">
        <v>0.83493531605927274</v>
      </c>
      <c r="J1260" s="2">
        <v>7</v>
      </c>
      <c r="K1260" s="2">
        <v>180.07900960090117</v>
      </c>
      <c r="L1260" s="2">
        <v>12450</v>
      </c>
      <c r="M1260" s="2">
        <v>1200</v>
      </c>
      <c r="N1260" s="2">
        <v>249.95243103574103</v>
      </c>
      <c r="O1260" s="2">
        <v>2504.7973520350388</v>
      </c>
      <c r="P1260" s="2">
        <v>1052.4802735773847</v>
      </c>
      <c r="Q1260" s="2">
        <v>251.75125753433929</v>
      </c>
      <c r="R1260" s="2">
        <v>2519.2161018292913</v>
      </c>
      <c r="S1260" s="2">
        <v>1047.2504839017031</v>
      </c>
      <c r="T1260" s="2">
        <v>1.7988264985982596</v>
      </c>
      <c r="U1260" s="2">
        <v>14.418749794252562</v>
      </c>
      <c r="V1260" s="2">
        <v>-5.2297896756815589</v>
      </c>
    </row>
    <row r="1261" spans="1:22" ht="15">
      <c r="A1261" s="2">
        <v>1260</v>
      </c>
      <c r="B1261" s="2" t="s">
        <v>80</v>
      </c>
      <c r="C1261" s="2" t="s">
        <v>81</v>
      </c>
      <c r="D1261" s="2">
        <v>1024.7400721884333</v>
      </c>
      <c r="E1261" s="2">
        <v>834.30180712603033</v>
      </c>
      <c r="F1261" s="2">
        <v>392.43116183206439</v>
      </c>
      <c r="G1261" s="2">
        <v>220.04731632303447</v>
      </c>
      <c r="H1261" s="2">
        <v>14.003324109595269</v>
      </c>
      <c r="I1261" s="2">
        <v>0.79718142557889227</v>
      </c>
      <c r="J1261" s="2">
        <v>7</v>
      </c>
      <c r="K1261" s="2">
        <v>183.6362892898016</v>
      </c>
      <c r="L1261" s="2">
        <v>14780</v>
      </c>
      <c r="M1261" s="2">
        <v>1200</v>
      </c>
      <c r="N1261" s="2">
        <v>249.97237602958978</v>
      </c>
      <c r="O1261" s="2">
        <v>2503.2219973966785</v>
      </c>
      <c r="P1261" s="2">
        <v>1024.7400721884333</v>
      </c>
      <c r="Q1261" s="2">
        <v>252.28939713198889</v>
      </c>
      <c r="R1261" s="2">
        <v>2468.7127381116802</v>
      </c>
      <c r="S1261" s="2">
        <v>1031.295294405917</v>
      </c>
      <c r="T1261" s="2">
        <v>2.3170211023991101</v>
      </c>
      <c r="U1261" s="2">
        <v>-34.509259284998279</v>
      </c>
      <c r="V1261" s="2">
        <v>6.555222217483788</v>
      </c>
    </row>
    <row r="1262" spans="1:22" ht="15">
      <c r="A1262" s="2">
        <v>1261</v>
      </c>
      <c r="B1262" s="2" t="s">
        <v>78</v>
      </c>
      <c r="C1262" s="2" t="s">
        <v>81</v>
      </c>
      <c r="D1262" s="2">
        <v>1062.8873368259519</v>
      </c>
      <c r="E1262" s="2">
        <v>728.87512546731159</v>
      </c>
      <c r="F1262" s="2">
        <v>609.48471333831549</v>
      </c>
      <c r="G1262" s="2">
        <v>134.31040545227006</v>
      </c>
      <c r="H1262" s="2">
        <v>15.625414106994867</v>
      </c>
      <c r="I1262" s="2">
        <v>0.84603163056308406</v>
      </c>
      <c r="J1262" s="2">
        <v>7</v>
      </c>
      <c r="K1262" s="2">
        <v>179.47443409052443</v>
      </c>
      <c r="L1262" s="2">
        <v>14520</v>
      </c>
      <c r="M1262" s="2">
        <v>1200</v>
      </c>
      <c r="N1262" s="2">
        <v>249.96960097330927</v>
      </c>
      <c r="O1262" s="2">
        <v>2503.3727080258736</v>
      </c>
      <c r="P1262" s="2">
        <v>1062.8873368259519</v>
      </c>
      <c r="Q1262" s="2">
        <v>249.31551650211196</v>
      </c>
      <c r="R1262" s="2">
        <v>2464.2030432637412</v>
      </c>
      <c r="S1262" s="2">
        <v>1068.9393600836493</v>
      </c>
      <c r="T1262" s="2">
        <v>-0.65408447119730795</v>
      </c>
      <c r="U1262" s="2">
        <v>-39.16966476213247</v>
      </c>
      <c r="V1262" s="2">
        <v>6.0520232576973285</v>
      </c>
    </row>
    <row r="1263" spans="1:22" ht="15">
      <c r="A1263" s="2">
        <v>1262</v>
      </c>
      <c r="B1263" s="2" t="s">
        <v>78</v>
      </c>
      <c r="C1263" s="2" t="s">
        <v>81</v>
      </c>
      <c r="D1263" s="2">
        <v>1075.9016661089845</v>
      </c>
      <c r="E1263" s="2">
        <v>626.82443119119853</v>
      </c>
      <c r="F1263" s="2">
        <v>528.32166897132993</v>
      </c>
      <c r="G1263" s="2">
        <v>186.54480755329132</v>
      </c>
      <c r="H1263" s="2">
        <v>12.823247919324785</v>
      </c>
      <c r="I1263" s="2">
        <v>0.80888857565354555</v>
      </c>
      <c r="J1263" s="2">
        <v>7</v>
      </c>
      <c r="K1263" s="2">
        <v>190.01410409509907</v>
      </c>
      <c r="L1263" s="2">
        <v>15940</v>
      </c>
      <c r="M1263" s="2">
        <v>1200</v>
      </c>
      <c r="N1263" s="2">
        <v>250.00904528075378</v>
      </c>
      <c r="O1263" s="2">
        <v>2502.6102511119957</v>
      </c>
      <c r="P1263" s="2">
        <v>1075.9016661089845</v>
      </c>
      <c r="Q1263" s="2">
        <v>248.89700441317905</v>
      </c>
      <c r="R1263" s="2">
        <v>2513.4458224463674</v>
      </c>
      <c r="S1263" s="2">
        <v>1091.2760980853038</v>
      </c>
      <c r="T1263" s="2">
        <v>-1.1120408675747342</v>
      </c>
      <c r="U1263" s="2">
        <v>10.835571334371707</v>
      </c>
      <c r="V1263" s="2">
        <v>15.374431976319329</v>
      </c>
    </row>
    <row r="1264" spans="1:22" ht="15">
      <c r="A1264" s="2">
        <v>1263</v>
      </c>
      <c r="B1264" s="2" t="s">
        <v>78</v>
      </c>
      <c r="C1264" s="2" t="s">
        <v>81</v>
      </c>
      <c r="D1264" s="2">
        <v>1032.3469953844324</v>
      </c>
      <c r="E1264" s="2">
        <v>677.57736231433228</v>
      </c>
      <c r="F1264" s="2">
        <v>726.89258232712746</v>
      </c>
      <c r="G1264" s="2">
        <v>92.515781854745001</v>
      </c>
      <c r="H1264" s="2">
        <v>20.391171111725271</v>
      </c>
      <c r="I1264" s="2">
        <v>0.79409894516458734</v>
      </c>
      <c r="J1264" s="2">
        <v>7</v>
      </c>
      <c r="K1264" s="2">
        <v>185.71758984922124</v>
      </c>
      <c r="L1264" s="2">
        <v>14285</v>
      </c>
      <c r="M1264" s="2">
        <v>1200</v>
      </c>
      <c r="N1264" s="2">
        <v>249.98454218066877</v>
      </c>
      <c r="O1264" s="2">
        <v>2503.5142533110798</v>
      </c>
      <c r="P1264" s="2">
        <v>1032.3469953844324</v>
      </c>
      <c r="Q1264" s="2">
        <v>250.61027627356364</v>
      </c>
      <c r="R1264" s="2">
        <v>2523.0736995106504</v>
      </c>
      <c r="S1264" s="2">
        <v>1035.0791603216533</v>
      </c>
      <c r="T1264" s="2">
        <v>0.62573409289487358</v>
      </c>
      <c r="U1264" s="2">
        <v>19.55944619957063</v>
      </c>
      <c r="V1264" s="2">
        <v>2.7321649372208867</v>
      </c>
    </row>
    <row r="1265" spans="1:22" ht="15">
      <c r="A1265" s="2">
        <v>1264</v>
      </c>
      <c r="B1265" s="2" t="s">
        <v>78</v>
      </c>
      <c r="C1265" s="2" t="s">
        <v>81</v>
      </c>
      <c r="D1265" s="2">
        <v>1050.3114204737358</v>
      </c>
      <c r="E1265" s="2">
        <v>827.82171089202166</v>
      </c>
      <c r="F1265" s="2">
        <v>680.31798442825675</v>
      </c>
      <c r="G1265" s="2">
        <v>228.41102075297385</v>
      </c>
      <c r="H1265" s="2">
        <v>22.373553657438606</v>
      </c>
      <c r="I1265" s="2">
        <v>0.83007545626722279</v>
      </c>
      <c r="J1265" s="2">
        <v>7</v>
      </c>
      <c r="K1265" s="2">
        <v>180.76005922864186</v>
      </c>
      <c r="L1265" s="2">
        <v>12315</v>
      </c>
      <c r="M1265" s="2">
        <v>1200</v>
      </c>
      <c r="N1265" s="2">
        <v>249.99846376702226</v>
      </c>
      <c r="O1265" s="2">
        <v>2504.9088090284054</v>
      </c>
      <c r="P1265" s="2">
        <v>1050.3114204737358</v>
      </c>
      <c r="Q1265" s="2">
        <v>250.78794508186837</v>
      </c>
      <c r="R1265" s="2">
        <v>2510.2179643399018</v>
      </c>
      <c r="S1265" s="2">
        <v>1043.6322196914896</v>
      </c>
      <c r="T1265" s="2">
        <v>0.78948131484611395</v>
      </c>
      <c r="U1265" s="2">
        <v>5.3091553114963972</v>
      </c>
      <c r="V1265" s="2">
        <v>-6.6792007822461983</v>
      </c>
    </row>
    <row r="1266" spans="1:22" ht="15">
      <c r="A1266" s="2">
        <v>1265</v>
      </c>
      <c r="B1266" s="2" t="s">
        <v>78</v>
      </c>
      <c r="C1266" s="2" t="s">
        <v>81</v>
      </c>
      <c r="D1266" s="2">
        <v>997.25168021395802</v>
      </c>
      <c r="E1266" s="2">
        <v>766.47944910218939</v>
      </c>
      <c r="F1266" s="2">
        <v>385.97600255161524</v>
      </c>
      <c r="G1266" s="2">
        <v>236.29651030758396</v>
      </c>
      <c r="H1266" s="2">
        <v>8.6896317470818758</v>
      </c>
      <c r="I1266" s="2">
        <v>0.85515506728785118</v>
      </c>
      <c r="J1266" s="2">
        <v>6</v>
      </c>
      <c r="K1266" s="2">
        <v>194.36078873522715</v>
      </c>
      <c r="L1266" s="2">
        <v>17965</v>
      </c>
      <c r="M1266" s="2">
        <v>1200</v>
      </c>
      <c r="N1266" s="2">
        <v>249.98843683278071</v>
      </c>
      <c r="O1266" s="2">
        <v>2501.7293167894022</v>
      </c>
      <c r="P1266" s="2">
        <v>997.25168021395802</v>
      </c>
      <c r="Q1266" s="2">
        <v>252.92704137433495</v>
      </c>
      <c r="R1266" s="2">
        <v>2522.2024933739681</v>
      </c>
      <c r="S1266" s="2">
        <v>1005.7749057638548</v>
      </c>
      <c r="T1266" s="2">
        <v>2.9386045415542412</v>
      </c>
      <c r="U1266" s="2">
        <v>20.473176584565863</v>
      </c>
      <c r="V1266" s="2">
        <v>8.5232255498967788</v>
      </c>
    </row>
    <row r="1267" spans="1:22" ht="15">
      <c r="A1267" s="2">
        <v>1266</v>
      </c>
      <c r="B1267" s="2" t="s">
        <v>78</v>
      </c>
      <c r="C1267" s="2" t="s">
        <v>81</v>
      </c>
      <c r="D1267" s="2">
        <v>1082.8632637509145</v>
      </c>
      <c r="E1267" s="2">
        <v>1074.5224763872102</v>
      </c>
      <c r="F1267" s="2">
        <v>367.5092943944037</v>
      </c>
      <c r="G1267" s="2">
        <v>300.424396218732</v>
      </c>
      <c r="H1267" s="2">
        <v>27.987702072132379</v>
      </c>
      <c r="I1267" s="2">
        <v>0.81222535493317993</v>
      </c>
      <c r="J1267" s="2">
        <v>7</v>
      </c>
      <c r="K1267" s="2">
        <v>190.45792036022164</v>
      </c>
      <c r="L1267" s="2">
        <v>12275</v>
      </c>
      <c r="M1267" s="2">
        <v>1200</v>
      </c>
      <c r="N1267" s="2">
        <v>250.03399201437622</v>
      </c>
      <c r="O1267" s="2">
        <v>2504.9431858393427</v>
      </c>
      <c r="P1267" s="2">
        <v>1082.8632637509145</v>
      </c>
      <c r="Q1267" s="2">
        <v>248.47952688519302</v>
      </c>
      <c r="R1267" s="2">
        <v>2561.118655930276</v>
      </c>
      <c r="S1267" s="2">
        <v>1074.6791632495379</v>
      </c>
      <c r="T1267" s="2">
        <v>-1.5544651291831997</v>
      </c>
      <c r="U1267" s="2">
        <v>56.175470090933231</v>
      </c>
      <c r="V1267" s="2">
        <v>-8.1841005013766335</v>
      </c>
    </row>
    <row r="1268" spans="1:22" ht="15">
      <c r="A1268" s="2">
        <v>1267</v>
      </c>
      <c r="B1268" s="2" t="s">
        <v>78</v>
      </c>
      <c r="C1268" s="2" t="s">
        <v>81</v>
      </c>
      <c r="D1268" s="2">
        <v>1026.5023743500933</v>
      </c>
      <c r="E1268" s="2">
        <v>816.99290160322562</v>
      </c>
      <c r="F1268" s="2">
        <v>481.06787167489529</v>
      </c>
      <c r="G1268" s="2">
        <v>232.20427763415501</v>
      </c>
      <c r="H1268" s="2">
        <v>19.813646686263382</v>
      </c>
      <c r="I1268" s="2">
        <v>0.82004892532480889</v>
      </c>
      <c r="J1268" s="2">
        <v>7</v>
      </c>
      <c r="K1268" s="2">
        <v>178.82249681339985</v>
      </c>
      <c r="L1268" s="2">
        <v>13975</v>
      </c>
      <c r="M1268" s="2">
        <v>1200</v>
      </c>
      <c r="N1268" s="2">
        <v>249.99638107671939</v>
      </c>
      <c r="O1268" s="2">
        <v>2503.7079789143704</v>
      </c>
      <c r="P1268" s="2">
        <v>1026.5023743500933</v>
      </c>
      <c r="Q1268" s="2">
        <v>249.28916917780739</v>
      </c>
      <c r="R1268" s="2">
        <v>2493.1847835245703</v>
      </c>
      <c r="S1268" s="2">
        <v>1033.5621010941934</v>
      </c>
      <c r="T1268" s="2">
        <v>-0.70721189891199288</v>
      </c>
      <c r="U1268" s="2">
        <v>-10.523195389800094</v>
      </c>
      <c r="V1268" s="2">
        <v>7.0597267441000895</v>
      </c>
    </row>
    <row r="1269" spans="1:22" ht="15">
      <c r="A1269" s="2">
        <v>1268</v>
      </c>
      <c r="B1269" s="2" t="s">
        <v>78</v>
      </c>
      <c r="C1269" s="2" t="s">
        <v>81</v>
      </c>
      <c r="D1269" s="2">
        <v>1045.470794418361</v>
      </c>
      <c r="E1269" s="2">
        <v>1074.454146111384</v>
      </c>
      <c r="F1269" s="2">
        <v>375.23091314360499</v>
      </c>
      <c r="G1269" s="2">
        <v>317.57971765007824</v>
      </c>
      <c r="H1269" s="2">
        <v>24.591387092601508</v>
      </c>
      <c r="I1269" s="2">
        <v>0.81479847976937891</v>
      </c>
      <c r="J1269" s="2">
        <v>7</v>
      </c>
      <c r="K1269" s="2">
        <v>183.30050231987101</v>
      </c>
      <c r="L1269" s="2">
        <v>12100</v>
      </c>
      <c r="M1269" s="2">
        <v>1200</v>
      </c>
      <c r="N1269" s="2">
        <v>249.97844150233306</v>
      </c>
      <c r="O1269" s="2">
        <v>2505.0876017193195</v>
      </c>
      <c r="P1269" s="2">
        <v>1045.470794418361</v>
      </c>
      <c r="Q1269" s="2">
        <v>249.73448217887173</v>
      </c>
      <c r="R1269" s="2">
        <v>2565.5843883841389</v>
      </c>
      <c r="S1269" s="2">
        <v>1039.2948334416358</v>
      </c>
      <c r="T1269" s="2">
        <v>-0.24395932346132554</v>
      </c>
      <c r="U1269" s="2">
        <v>60.49678666481941</v>
      </c>
      <c r="V1269" s="2">
        <v>-6.1759609767252641</v>
      </c>
    </row>
    <row r="1270" spans="1:22" ht="15">
      <c r="A1270" s="2">
        <v>1269</v>
      </c>
      <c r="B1270" s="2" t="s">
        <v>78</v>
      </c>
      <c r="C1270" s="2" t="s">
        <v>81</v>
      </c>
      <c r="D1270" s="2">
        <v>1042.3195984680206</v>
      </c>
      <c r="E1270" s="2">
        <v>881.88410400180146</v>
      </c>
      <c r="F1270" s="2">
        <v>437.17401903122663</v>
      </c>
      <c r="G1270" s="2">
        <v>222.78446353273466</v>
      </c>
      <c r="H1270" s="2">
        <v>18.399736016988754</v>
      </c>
      <c r="I1270" s="2">
        <v>0.83386827966431154</v>
      </c>
      <c r="J1270" s="2">
        <v>7</v>
      </c>
      <c r="K1270" s="2">
        <v>178.56873011297333</v>
      </c>
      <c r="L1270" s="2">
        <v>13870</v>
      </c>
      <c r="M1270" s="2">
        <v>1200</v>
      </c>
      <c r="N1270" s="2">
        <v>249.99521514487836</v>
      </c>
      <c r="O1270" s="2">
        <v>2503.7753740649164</v>
      </c>
      <c r="P1270" s="2">
        <v>1042.3195984680206</v>
      </c>
      <c r="Q1270" s="2">
        <v>252.34112008780252</v>
      </c>
      <c r="R1270" s="2">
        <v>2504.5902579680746</v>
      </c>
      <c r="S1270" s="2">
        <v>1051.6841289811309</v>
      </c>
      <c r="T1270" s="2">
        <v>2.3459049429241645</v>
      </c>
      <c r="U1270" s="2">
        <v>0.81488390315826109</v>
      </c>
      <c r="V1270" s="2">
        <v>9.3645305131103669</v>
      </c>
    </row>
    <row r="1271" spans="1:22" ht="15">
      <c r="A1271" s="2">
        <v>1270</v>
      </c>
      <c r="B1271" s="2" t="s">
        <v>78</v>
      </c>
      <c r="C1271" s="2" t="s">
        <v>81</v>
      </c>
      <c r="D1271" s="2">
        <v>980.49766655312851</v>
      </c>
      <c r="E1271" s="2">
        <v>1093.2613493641838</v>
      </c>
      <c r="F1271" s="2">
        <v>627.53513874486089</v>
      </c>
      <c r="G1271" s="2">
        <v>249.52904919162393</v>
      </c>
      <c r="H1271" s="2">
        <v>21.166795930359513</v>
      </c>
      <c r="I1271" s="2">
        <v>0.79060288158711045</v>
      </c>
      <c r="J1271" s="2">
        <v>7</v>
      </c>
      <c r="K1271" s="2">
        <v>177.16997810669142</v>
      </c>
      <c r="L1271" s="2">
        <v>10855</v>
      </c>
      <c r="M1271" s="2">
        <v>1195</v>
      </c>
      <c r="N1271" s="2">
        <v>250.02494204419796</v>
      </c>
      <c r="O1271" s="2">
        <v>2495.8268687718269</v>
      </c>
      <c r="P1271" s="2">
        <v>980.49766655312851</v>
      </c>
      <c r="Q1271" s="2">
        <v>248.98716372036233</v>
      </c>
      <c r="R1271" s="2">
        <v>2473.0668974243695</v>
      </c>
      <c r="S1271" s="2">
        <v>971.23582574608554</v>
      </c>
      <c r="T1271" s="2">
        <v>-1.0377783238356244</v>
      </c>
      <c r="U1271" s="2">
        <v>-22.759971347457395</v>
      </c>
      <c r="V1271" s="2">
        <v>-9.2618408070429723</v>
      </c>
    </row>
    <row r="1272" spans="1:22" ht="15">
      <c r="A1272" s="2">
        <v>1271</v>
      </c>
      <c r="B1272" s="2" t="s">
        <v>78</v>
      </c>
      <c r="C1272" s="2" t="s">
        <v>81</v>
      </c>
      <c r="D1272" s="2">
        <v>953.91984444577247</v>
      </c>
      <c r="E1272" s="2">
        <v>662.77394649805501</v>
      </c>
      <c r="F1272" s="2">
        <v>446.45468145608902</v>
      </c>
      <c r="G1272" s="2">
        <v>156.92367857089266</v>
      </c>
      <c r="H1272" s="2">
        <v>25.16793833207339</v>
      </c>
      <c r="I1272" s="2">
        <v>0.81464537683641547</v>
      </c>
      <c r="J1272" s="2">
        <v>6</v>
      </c>
      <c r="K1272" s="2">
        <v>195.16055115708014</v>
      </c>
      <c r="L1272" s="2">
        <v>19705</v>
      </c>
      <c r="M1272" s="2">
        <v>1200</v>
      </c>
      <c r="N1272" s="2">
        <v>249.99474699610886</v>
      </c>
      <c r="O1272" s="2">
        <v>2501.1175935486372</v>
      </c>
      <c r="P1272" s="2">
        <v>953.91984444577247</v>
      </c>
      <c r="Q1272" s="2">
        <v>249.35383822914739</v>
      </c>
      <c r="R1272" s="2">
        <v>2436.0309862409204</v>
      </c>
      <c r="S1272" s="2">
        <v>956.53861220728334</v>
      </c>
      <c r="T1272" s="2">
        <v>-0.64090876696147348</v>
      </c>
      <c r="U1272" s="2">
        <v>-65.086607307716804</v>
      </c>
      <c r="V1272" s="2">
        <v>2.6187677615108669</v>
      </c>
    </row>
    <row r="1273" spans="1:22" ht="15">
      <c r="A1273" s="2">
        <v>1272</v>
      </c>
      <c r="B1273" s="2" t="s">
        <v>78</v>
      </c>
      <c r="C1273" s="2" t="s">
        <v>81</v>
      </c>
      <c r="D1273" s="2">
        <v>958.5432915831916</v>
      </c>
      <c r="E1273" s="2">
        <v>1067.2750676982105</v>
      </c>
      <c r="F1273" s="2">
        <v>679.54125916585326</v>
      </c>
      <c r="G1273" s="2">
        <v>179.27514439914376</v>
      </c>
      <c r="H1273" s="2">
        <v>9.6498220614157617</v>
      </c>
      <c r="I1273" s="2">
        <v>0.80037359741516412</v>
      </c>
      <c r="J1273" s="2">
        <v>6</v>
      </c>
      <c r="K1273" s="2">
        <v>199.60330498133251</v>
      </c>
      <c r="L1273" s="2">
        <v>12955</v>
      </c>
      <c r="M1273" s="2">
        <v>1200</v>
      </c>
      <c r="N1273" s="2">
        <v>250.02445955574416</v>
      </c>
      <c r="O1273" s="2">
        <v>2504.4104260050144</v>
      </c>
      <c r="P1273" s="2">
        <v>958.5432915831916</v>
      </c>
      <c r="Q1273" s="2">
        <v>251.78397293271379</v>
      </c>
      <c r="R1273" s="2">
        <v>2482.7000901831752</v>
      </c>
      <c r="S1273" s="2">
        <v>961.81304030613705</v>
      </c>
      <c r="T1273" s="2">
        <v>1.7595133769696361</v>
      </c>
      <c r="U1273" s="2">
        <v>-21.71033582183918</v>
      </c>
      <c r="V1273" s="2">
        <v>3.2697487229454509</v>
      </c>
    </row>
    <row r="1274" spans="1:22" ht="15">
      <c r="A1274" s="2">
        <v>1273</v>
      </c>
      <c r="B1274" s="2" t="s">
        <v>78</v>
      </c>
      <c r="C1274" s="2" t="s">
        <v>81</v>
      </c>
      <c r="D1274" s="2">
        <v>968.13826747238636</v>
      </c>
      <c r="E1274" s="2">
        <v>968.65690260892734</v>
      </c>
      <c r="F1274" s="2">
        <v>617.23649669438601</v>
      </c>
      <c r="G1274" s="2">
        <v>282.55463250214234</v>
      </c>
      <c r="H1274" s="2">
        <v>13.164070708677173</v>
      </c>
      <c r="I1274" s="2">
        <v>0.85996772450627768</v>
      </c>
      <c r="J1274" s="2">
        <v>6</v>
      </c>
      <c r="K1274" s="2">
        <v>187.63073696132244</v>
      </c>
      <c r="L1274" s="2">
        <v>13355</v>
      </c>
      <c r="M1274" s="2">
        <v>1200</v>
      </c>
      <c r="N1274" s="2">
        <v>250.03064005936682</v>
      </c>
      <c r="O1274" s="2">
        <v>2504.1228082994967</v>
      </c>
      <c r="P1274" s="2">
        <v>968.13826747238636</v>
      </c>
      <c r="Q1274" s="2">
        <v>254.1949125634543</v>
      </c>
      <c r="R1274" s="2">
        <v>2472.9684764728227</v>
      </c>
      <c r="S1274" s="2">
        <v>966.70814016747852</v>
      </c>
      <c r="T1274" s="2">
        <v>4.164272504087478</v>
      </c>
      <c r="U1274" s="2">
        <v>-31.154331826674024</v>
      </c>
      <c r="V1274" s="2">
        <v>-1.4301273049078418</v>
      </c>
    </row>
    <row r="1275" spans="1:22" ht="15">
      <c r="A1275" s="2">
        <v>1274</v>
      </c>
      <c r="B1275" s="2" t="s">
        <v>78</v>
      </c>
      <c r="C1275" s="2" t="s">
        <v>81</v>
      </c>
      <c r="D1275" s="2">
        <v>1029.37658081064</v>
      </c>
      <c r="E1275" s="2">
        <v>1200.5307814339176</v>
      </c>
      <c r="F1275" s="2">
        <v>382.25259939208627</v>
      </c>
      <c r="G1275" s="2">
        <v>175.26893845759332</v>
      </c>
      <c r="H1275" s="2">
        <v>15.814674448687583</v>
      </c>
      <c r="I1275" s="2">
        <v>0.80966426350641996</v>
      </c>
      <c r="J1275" s="2">
        <v>7</v>
      </c>
      <c r="K1275" s="2">
        <v>181.62317875043135</v>
      </c>
      <c r="L1275" s="2">
        <v>12165</v>
      </c>
      <c r="M1275" s="2">
        <v>1200</v>
      </c>
      <c r="N1275" s="2">
        <v>250.01098624770049</v>
      </c>
      <c r="O1275" s="2">
        <v>2505.0339741610132</v>
      </c>
      <c r="P1275" s="2">
        <v>1029.37658081064</v>
      </c>
      <c r="Q1275" s="2">
        <v>250.70185567307959</v>
      </c>
      <c r="R1275" s="2">
        <v>2505.9906150319957</v>
      </c>
      <c r="S1275" s="2">
        <v>1030.649881006864</v>
      </c>
      <c r="T1275" s="2">
        <v>0.69086942537910545</v>
      </c>
      <c r="U1275" s="2">
        <v>0.95664087098248274</v>
      </c>
      <c r="V1275" s="2">
        <v>1.2733001962239996</v>
      </c>
    </row>
    <row r="1276" spans="1:22" ht="15">
      <c r="A1276" s="2">
        <v>1275</v>
      </c>
      <c r="B1276" s="2" t="s">
        <v>79</v>
      </c>
      <c r="C1276" s="2" t="s">
        <v>81</v>
      </c>
      <c r="D1276" s="2">
        <v>1054.7014941228554</v>
      </c>
      <c r="E1276" s="2">
        <v>772.96518093207851</v>
      </c>
      <c r="F1276" s="2">
        <v>670.76009251177311</v>
      </c>
      <c r="G1276" s="2">
        <v>134.63459267048165</v>
      </c>
      <c r="H1276" s="2">
        <v>25.985600748099387</v>
      </c>
      <c r="I1276" s="2">
        <v>0.85134139942703768</v>
      </c>
      <c r="J1276" s="2">
        <v>7</v>
      </c>
      <c r="K1276" s="2">
        <v>176.98145787219377</v>
      </c>
      <c r="L1276" s="2">
        <v>13550</v>
      </c>
      <c r="M1276" s="2">
        <v>1200</v>
      </c>
      <c r="N1276" s="2">
        <v>250.01198551431182</v>
      </c>
      <c r="O1276" s="2">
        <v>2503.9879484526246</v>
      </c>
      <c r="P1276" s="2">
        <v>1054.7014941228554</v>
      </c>
      <c r="Q1276" s="2">
        <v>251.45145208665457</v>
      </c>
      <c r="R1276" s="2">
        <v>2507.764559929145</v>
      </c>
      <c r="S1276" s="2">
        <v>1044.7593388652729</v>
      </c>
      <c r="T1276" s="2">
        <v>1.4394665723427522</v>
      </c>
      <c r="U1276" s="2">
        <v>3.7766114765204293</v>
      </c>
      <c r="V1276" s="2">
        <v>-9.942155257582499</v>
      </c>
    </row>
    <row r="1277" spans="1:22" ht="15">
      <c r="A1277" s="2">
        <v>1276</v>
      </c>
      <c r="B1277" s="2" t="s">
        <v>79</v>
      </c>
      <c r="C1277" s="2" t="s">
        <v>81</v>
      </c>
      <c r="D1277" s="2">
        <v>954.09756269073114</v>
      </c>
      <c r="E1277" s="2">
        <v>734.10793575458229</v>
      </c>
      <c r="F1277" s="2">
        <v>697.81912518665195</v>
      </c>
      <c r="G1277" s="2">
        <v>157.36156310420483</v>
      </c>
      <c r="H1277" s="2">
        <v>13.706185739021748</v>
      </c>
      <c r="I1277" s="2">
        <v>0.82821599274873736</v>
      </c>
      <c r="J1277" s="2">
        <v>6</v>
      </c>
      <c r="K1277" s="2">
        <v>191.99853883610922</v>
      </c>
      <c r="L1277" s="2">
        <v>15700</v>
      </c>
      <c r="M1277" s="2">
        <v>1200</v>
      </c>
      <c r="N1277" s="2">
        <v>250.01765433604976</v>
      </c>
      <c r="O1277" s="2">
        <v>2502.7299145185366</v>
      </c>
      <c r="P1277" s="2">
        <v>954.09756269073114</v>
      </c>
      <c r="Q1277" s="2">
        <v>251.68111698812166</v>
      </c>
      <c r="R1277" s="2">
        <v>2505.5755557903572</v>
      </c>
      <c r="S1277" s="2">
        <v>956.87634813717034</v>
      </c>
      <c r="T1277" s="2">
        <v>1.6634626520718996</v>
      </c>
      <c r="U1277" s="2">
        <v>2.8456412718205684</v>
      </c>
      <c r="V1277" s="2">
        <v>2.7787854464392012</v>
      </c>
    </row>
    <row r="1278" spans="1:22" ht="15">
      <c r="A1278" s="2">
        <v>1277</v>
      </c>
      <c r="B1278" s="2" t="s">
        <v>79</v>
      </c>
      <c r="C1278" s="2" t="s">
        <v>81</v>
      </c>
      <c r="D1278" s="2">
        <v>1043.0243256967515</v>
      </c>
      <c r="E1278" s="2">
        <v>1038.2758517633192</v>
      </c>
      <c r="F1278" s="2">
        <v>513.44647463411093</v>
      </c>
      <c r="G1278" s="2">
        <v>103.51095789344981</v>
      </c>
      <c r="H1278" s="2">
        <v>19.98600372299552</v>
      </c>
      <c r="I1278" s="2">
        <v>0.79012890983605766</v>
      </c>
      <c r="J1278" s="2">
        <v>7</v>
      </c>
      <c r="K1278" s="2">
        <v>188.58122167742522</v>
      </c>
      <c r="L1278" s="2">
        <v>12920</v>
      </c>
      <c r="M1278" s="2">
        <v>1200</v>
      </c>
      <c r="N1278" s="2">
        <v>249.99828935475529</v>
      </c>
      <c r="O1278" s="2">
        <v>2504.4354439945141</v>
      </c>
      <c r="P1278" s="2">
        <v>1043.0243256967515</v>
      </c>
      <c r="Q1278" s="2">
        <v>250.45820068939918</v>
      </c>
      <c r="R1278" s="2">
        <v>2546.6606815480241</v>
      </c>
      <c r="S1278" s="2">
        <v>1042.0434645486989</v>
      </c>
      <c r="T1278" s="2">
        <v>0.45991133464389122</v>
      </c>
      <c r="U1278" s="2">
        <v>42.225237553509942</v>
      </c>
      <c r="V1278" s="2">
        <v>-0.9808611480525542</v>
      </c>
    </row>
    <row r="1279" spans="1:22" ht="15">
      <c r="A1279" s="2">
        <v>1278</v>
      </c>
      <c r="B1279" s="2" t="s">
        <v>80</v>
      </c>
      <c r="C1279" s="2" t="s">
        <v>81</v>
      </c>
      <c r="D1279" s="2">
        <v>1075.5031932261772</v>
      </c>
      <c r="E1279" s="2">
        <v>765.16499395947903</v>
      </c>
      <c r="F1279" s="2">
        <v>359.23974411562085</v>
      </c>
      <c r="G1279" s="2">
        <v>254.68827683478594</v>
      </c>
      <c r="H1279" s="2">
        <v>13.545356544200331</v>
      </c>
      <c r="I1279" s="2">
        <v>0.80207573327701542</v>
      </c>
      <c r="J1279" s="2">
        <v>7</v>
      </c>
      <c r="K1279" s="2">
        <v>191.55711480048112</v>
      </c>
      <c r="L1279" s="2">
        <v>15505</v>
      </c>
      <c r="M1279" s="2">
        <v>1200</v>
      </c>
      <c r="N1279" s="2">
        <v>249.96562734680882</v>
      </c>
      <c r="O1279" s="2">
        <v>2502.8279762583929</v>
      </c>
      <c r="P1279" s="2">
        <v>1075.5031932261772</v>
      </c>
      <c r="Q1279" s="2">
        <v>248.37531597708821</v>
      </c>
      <c r="R1279" s="2">
        <v>2468.9122518088757</v>
      </c>
      <c r="S1279" s="2">
        <v>1082.7448072989887</v>
      </c>
      <c r="T1279" s="2">
        <v>-1.5903113697206095</v>
      </c>
      <c r="U1279" s="2">
        <v>-33.915724449517256</v>
      </c>
      <c r="V1279" s="2">
        <v>7.2416140728114442</v>
      </c>
    </row>
    <row r="1280" spans="1:22" ht="15">
      <c r="A1280" s="2">
        <v>1279</v>
      </c>
      <c r="B1280" s="2" t="s">
        <v>80</v>
      </c>
      <c r="C1280" s="2" t="s">
        <v>81</v>
      </c>
      <c r="D1280" s="2">
        <v>958.99591299239546</v>
      </c>
      <c r="E1280" s="2">
        <v>849.09673958318308</v>
      </c>
      <c r="F1280" s="2">
        <v>383.16854164004326</v>
      </c>
      <c r="G1280" s="2">
        <v>305.75036383932456</v>
      </c>
      <c r="H1280" s="2">
        <v>24.138024753890932</v>
      </c>
      <c r="I1280" s="2">
        <v>0.84996761815389621</v>
      </c>
      <c r="J1280" s="2">
        <v>6</v>
      </c>
      <c r="K1280" s="2">
        <v>188.04557815102524</v>
      </c>
      <c r="L1280" s="2">
        <v>16220</v>
      </c>
      <c r="M1280" s="2">
        <v>1200</v>
      </c>
      <c r="N1280" s="2">
        <v>249.9655876610264</v>
      </c>
      <c r="O1280" s="2">
        <v>2502.4740828626036</v>
      </c>
      <c r="P1280" s="2">
        <v>958.99591299239546</v>
      </c>
      <c r="Q1280" s="2">
        <v>251.14101076293082</v>
      </c>
      <c r="R1280" s="2">
        <v>2468.9498432011237</v>
      </c>
      <c r="S1280" s="2">
        <v>956.04081664771752</v>
      </c>
      <c r="T1280" s="2">
        <v>1.1754231019044141</v>
      </c>
      <c r="U1280" s="2">
        <v>-33.524239661479896</v>
      </c>
      <c r="V1280" s="2">
        <v>-2.9550963446779406</v>
      </c>
    </row>
    <row r="1281" spans="1:22" ht="15">
      <c r="A1281" s="2">
        <v>1280</v>
      </c>
      <c r="B1281" s="2" t="s">
        <v>80</v>
      </c>
      <c r="C1281" s="2" t="s">
        <v>81</v>
      </c>
      <c r="D1281" s="2">
        <v>1011.5145372110419</v>
      </c>
      <c r="E1281" s="2">
        <v>1121.9994235783815</v>
      </c>
      <c r="F1281" s="2">
        <v>500.13906946405768</v>
      </c>
      <c r="G1281" s="2">
        <v>285.64178109634668</v>
      </c>
      <c r="H1281" s="2">
        <v>25.133282290305942</v>
      </c>
      <c r="I1281" s="2">
        <v>0.80876562195830048</v>
      </c>
      <c r="J1281" s="2">
        <v>7</v>
      </c>
      <c r="K1281" s="2">
        <v>178.66990487867818</v>
      </c>
      <c r="L1281" s="2">
        <v>11210</v>
      </c>
      <c r="M1281" s="2">
        <v>1195</v>
      </c>
      <c r="N1281" s="2">
        <v>250.00554385432233</v>
      </c>
      <c r="O1281" s="2">
        <v>2495.4642973212672</v>
      </c>
      <c r="P1281" s="2">
        <v>1011.5145372110419</v>
      </c>
      <c r="Q1281" s="2">
        <v>250.99857515317387</v>
      </c>
      <c r="R1281" s="2">
        <v>2563.3148710493042</v>
      </c>
      <c r="S1281" s="2">
        <v>993.4535730907412</v>
      </c>
      <c r="T1281" s="2">
        <v>0.99303129885154817</v>
      </c>
      <c r="U1281" s="2">
        <v>67.850573728037034</v>
      </c>
      <c r="V1281" s="2">
        <v>-18.060964120300696</v>
      </c>
    </row>
    <row r="1282" spans="1:22" ht="15">
      <c r="A1282" s="2">
        <v>1281</v>
      </c>
      <c r="B1282" s="2" t="s">
        <v>78</v>
      </c>
      <c r="C1282" s="2" t="s">
        <v>81</v>
      </c>
      <c r="D1282" s="2">
        <v>1096.1096505634487</v>
      </c>
      <c r="E1282" s="2">
        <v>1039.8953880532645</v>
      </c>
      <c r="F1282" s="2">
        <v>641.84217993170023</v>
      </c>
      <c r="G1282" s="2">
        <v>266.86125153908506</v>
      </c>
      <c r="H1282" s="2">
        <v>10.968687811866403</v>
      </c>
      <c r="I1282" s="2">
        <v>0.8481430892203935</v>
      </c>
      <c r="J1282" s="2">
        <v>7</v>
      </c>
      <c r="K1282" s="2">
        <v>184.62343787009942</v>
      </c>
      <c r="L1282" s="2">
        <v>10975</v>
      </c>
      <c r="M1282" s="2">
        <v>1195</v>
      </c>
      <c r="N1282" s="2">
        <v>250.00114224018401</v>
      </c>
      <c r="O1282" s="2">
        <v>2495.7009201838459</v>
      </c>
      <c r="P1282" s="2">
        <v>1096.1096505634487</v>
      </c>
      <c r="Q1282" s="2">
        <v>253.81118517763187</v>
      </c>
      <c r="R1282" s="2">
        <v>2471.9705281289284</v>
      </c>
      <c r="S1282" s="2">
        <v>1088.4110958206265</v>
      </c>
      <c r="T1282" s="2">
        <v>3.8100429374478608</v>
      </c>
      <c r="U1282" s="2">
        <v>-23.730392054917502</v>
      </c>
      <c r="V1282" s="2">
        <v>-7.6985547428221253</v>
      </c>
    </row>
    <row r="1283" spans="1:22" ht="15">
      <c r="A1283" s="2">
        <v>1282</v>
      </c>
      <c r="B1283" s="2" t="s">
        <v>78</v>
      </c>
      <c r="C1283" s="2" t="s">
        <v>81</v>
      </c>
      <c r="D1283" s="2">
        <v>977.76273243362084</v>
      </c>
      <c r="E1283" s="2">
        <v>1022.9951641755179</v>
      </c>
      <c r="F1283" s="2">
        <v>552.51903766766191</v>
      </c>
      <c r="G1283" s="2">
        <v>139.75059629417956</v>
      </c>
      <c r="H1283" s="2">
        <v>22.98759349482134</v>
      </c>
      <c r="I1283" s="2">
        <v>0.85763101829681554</v>
      </c>
      <c r="J1283" s="2">
        <v>6</v>
      </c>
      <c r="K1283" s="2">
        <v>190.01231523695296</v>
      </c>
      <c r="L1283" s="2">
        <v>14545</v>
      </c>
      <c r="M1283" s="2">
        <v>1200</v>
      </c>
      <c r="N1283" s="2">
        <v>249.98478528191015</v>
      </c>
      <c r="O1283" s="2">
        <v>2503.3584852367858</v>
      </c>
      <c r="P1283" s="2">
        <v>977.76273243362084</v>
      </c>
      <c r="Q1283" s="2">
        <v>248.98665202165969</v>
      </c>
      <c r="R1283" s="2">
        <v>2492.5010979086182</v>
      </c>
      <c r="S1283" s="2">
        <v>971.95838538336216</v>
      </c>
      <c r="T1283" s="2">
        <v>-0.99813326025045512</v>
      </c>
      <c r="U1283" s="2">
        <v>-10.857387328167533</v>
      </c>
      <c r="V1283" s="2">
        <v>-5.8043470502586842</v>
      </c>
    </row>
    <row r="1284" spans="1:22" ht="15">
      <c r="A1284" s="2">
        <v>1283</v>
      </c>
      <c r="B1284" s="2" t="s">
        <v>78</v>
      </c>
      <c r="C1284" s="2" t="s">
        <v>81</v>
      </c>
      <c r="D1284" s="2">
        <v>1052.3515853798017</v>
      </c>
      <c r="E1284" s="2">
        <v>1068.2795447879471</v>
      </c>
      <c r="F1284" s="2">
        <v>388.60451690852642</v>
      </c>
      <c r="G1284" s="2">
        <v>253.70897129876539</v>
      </c>
      <c r="H1284" s="2">
        <v>28.633190219290555</v>
      </c>
      <c r="I1284" s="2">
        <v>0.79681946367723866</v>
      </c>
      <c r="J1284" s="2">
        <v>7</v>
      </c>
      <c r="K1284" s="2">
        <v>188.67001575834811</v>
      </c>
      <c r="L1284" s="2">
        <v>12500</v>
      </c>
      <c r="M1284" s="2">
        <v>1200</v>
      </c>
      <c r="N1284" s="2">
        <v>249.96109005160537</v>
      </c>
      <c r="O1284" s="2">
        <v>2504.7577041636719</v>
      </c>
      <c r="P1284" s="2">
        <v>1052.3515853798017</v>
      </c>
      <c r="Q1284" s="2">
        <v>250.71365539097468</v>
      </c>
      <c r="R1284" s="2">
        <v>2506.5280902978043</v>
      </c>
      <c r="S1284" s="2">
        <v>1042.2450302378654</v>
      </c>
      <c r="T1284" s="2">
        <v>0.75256533936931191</v>
      </c>
      <c r="U1284" s="2">
        <v>1.7703861341324227</v>
      </c>
      <c r="V1284" s="2">
        <v>-10.106555141936269</v>
      </c>
    </row>
    <row r="1285" spans="1:22" ht="15">
      <c r="A1285" s="2">
        <v>1284</v>
      </c>
      <c r="B1285" s="2" t="s">
        <v>78</v>
      </c>
      <c r="C1285" s="2" t="s">
        <v>81</v>
      </c>
      <c r="D1285" s="2">
        <v>1019.4057583226822</v>
      </c>
      <c r="E1285" s="2">
        <v>839.5564537961036</v>
      </c>
      <c r="F1285" s="2">
        <v>448.27639488503337</v>
      </c>
      <c r="G1285" s="2">
        <v>86.63949956651777</v>
      </c>
      <c r="H1285" s="2">
        <v>23.138899705838412</v>
      </c>
      <c r="I1285" s="2">
        <v>0.84799295118078599</v>
      </c>
      <c r="J1285" s="2">
        <v>7</v>
      </c>
      <c r="K1285" s="2">
        <v>171.73420350171085</v>
      </c>
      <c r="L1285" s="2">
        <v>15560</v>
      </c>
      <c r="M1285" s="2">
        <v>1200</v>
      </c>
      <c r="N1285" s="2">
        <v>250.01201551265385</v>
      </c>
      <c r="O1285" s="2">
        <v>2502.8010784336193</v>
      </c>
      <c r="P1285" s="2">
        <v>1019.4057583226822</v>
      </c>
      <c r="Q1285" s="2">
        <v>247.72414684565845</v>
      </c>
      <c r="R1285" s="2">
        <v>2506.5702901141485</v>
      </c>
      <c r="S1285" s="2">
        <v>1018.0261384923208</v>
      </c>
      <c r="T1285" s="2">
        <v>-2.2878686669953936</v>
      </c>
      <c r="U1285" s="2">
        <v>3.7692116805292244</v>
      </c>
      <c r="V1285" s="2">
        <v>-1.3796198303614347</v>
      </c>
    </row>
    <row r="1286" spans="1:22" ht="15">
      <c r="A1286" s="2">
        <v>1285</v>
      </c>
      <c r="B1286" s="2" t="s">
        <v>78</v>
      </c>
      <c r="C1286" s="2" t="s">
        <v>81</v>
      </c>
      <c r="D1286" s="2">
        <v>1024.3695566896349</v>
      </c>
      <c r="E1286" s="2">
        <v>1127.6223787921481</v>
      </c>
      <c r="F1286" s="2">
        <v>622.92503546923399</v>
      </c>
      <c r="G1286" s="2">
        <v>229.43225990282372</v>
      </c>
      <c r="H1286" s="2">
        <v>11.645993195474148</v>
      </c>
      <c r="I1286" s="2">
        <v>0.85369106548139828</v>
      </c>
      <c r="J1286" s="2">
        <v>6</v>
      </c>
      <c r="K1286" s="2">
        <v>199.98834045662463</v>
      </c>
      <c r="L1286" s="2">
        <v>12600</v>
      </c>
      <c r="M1286" s="2">
        <v>1200</v>
      </c>
      <c r="N1286" s="2">
        <v>249.97671539658936</v>
      </c>
      <c r="O1286" s="2">
        <v>2504.6793065822089</v>
      </c>
      <c r="P1286" s="2">
        <v>1024.3695566896349</v>
      </c>
      <c r="Q1286" s="2">
        <v>253.45330431157379</v>
      </c>
      <c r="R1286" s="2">
        <v>2547.6936508576946</v>
      </c>
      <c r="S1286" s="2">
        <v>1024.419364961595</v>
      </c>
      <c r="T1286" s="2">
        <v>3.4765889149844327</v>
      </c>
      <c r="U1286" s="2">
        <v>43.014344275485655</v>
      </c>
      <c r="V1286" s="2">
        <v>4.9808271960046113E-2</v>
      </c>
    </row>
    <row r="1287" spans="1:22" ht="15">
      <c r="A1287" s="2">
        <v>1286</v>
      </c>
      <c r="B1287" s="2" t="s">
        <v>78</v>
      </c>
      <c r="C1287" s="2" t="s">
        <v>81</v>
      </c>
      <c r="D1287" s="2">
        <v>993.33201489644125</v>
      </c>
      <c r="E1287" s="2">
        <v>849.19134413357824</v>
      </c>
      <c r="F1287" s="2">
        <v>488.79269333556294</v>
      </c>
      <c r="G1287" s="2">
        <v>81.438479404896498</v>
      </c>
      <c r="H1287" s="2">
        <v>25.067461712751538</v>
      </c>
      <c r="I1287" s="2">
        <v>0.80877563276793807</v>
      </c>
      <c r="J1287" s="2">
        <v>7</v>
      </c>
      <c r="K1287" s="2">
        <v>175.45604467704226</v>
      </c>
      <c r="L1287" s="2">
        <v>15065</v>
      </c>
      <c r="M1287" s="2">
        <v>1200</v>
      </c>
      <c r="N1287" s="2">
        <v>249.97478274756543</v>
      </c>
      <c r="O1287" s="2">
        <v>2503.0627423552273</v>
      </c>
      <c r="P1287" s="2">
        <v>993.33201489644125</v>
      </c>
      <c r="Q1287" s="2">
        <v>248.7241257488979</v>
      </c>
      <c r="R1287" s="2">
        <v>2540.0419319729494</v>
      </c>
      <c r="S1287" s="2">
        <v>990.17325451657541</v>
      </c>
      <c r="T1287" s="2">
        <v>-1.2506569986675231</v>
      </c>
      <c r="U1287" s="2">
        <v>36.979189617722113</v>
      </c>
      <c r="V1287" s="2">
        <v>-3.1587603798658392</v>
      </c>
    </row>
    <row r="1288" spans="1:22" ht="15">
      <c r="A1288" s="2">
        <v>1287</v>
      </c>
      <c r="B1288" s="2" t="s">
        <v>78</v>
      </c>
      <c r="C1288" s="2" t="s">
        <v>81</v>
      </c>
      <c r="D1288" s="2">
        <v>1030.474580754526</v>
      </c>
      <c r="E1288" s="2">
        <v>760.07603408070281</v>
      </c>
      <c r="F1288" s="2">
        <v>420.1983779668808</v>
      </c>
      <c r="G1288" s="2">
        <v>235.94531962415203</v>
      </c>
      <c r="H1288" s="2">
        <v>24.910465869121253</v>
      </c>
      <c r="I1288" s="2">
        <v>0.85489093690877782</v>
      </c>
      <c r="J1288" s="2">
        <v>7</v>
      </c>
      <c r="K1288" s="2">
        <v>172.19816942475316</v>
      </c>
      <c r="L1288" s="2">
        <v>15100</v>
      </c>
      <c r="M1288" s="2">
        <v>1200</v>
      </c>
      <c r="N1288" s="2">
        <v>249.99018277850459</v>
      </c>
      <c r="O1288" s="2">
        <v>2503.0440983020076</v>
      </c>
      <c r="P1288" s="2">
        <v>1030.474580754526</v>
      </c>
      <c r="Q1288" s="2">
        <v>245.88298678247759</v>
      </c>
      <c r="R1288" s="2">
        <v>2530.7610284124339</v>
      </c>
      <c r="S1288" s="2">
        <v>1025.2358236422963</v>
      </c>
      <c r="T1288" s="2">
        <v>-4.1071959960270021</v>
      </c>
      <c r="U1288" s="2">
        <v>27.716930110426347</v>
      </c>
      <c r="V1288" s="2">
        <v>-5.2387571122296777</v>
      </c>
    </row>
    <row r="1289" spans="1:22" ht="15">
      <c r="A1289" s="2">
        <v>1288</v>
      </c>
      <c r="B1289" s="2" t="s">
        <v>78</v>
      </c>
      <c r="C1289" s="2" t="s">
        <v>81</v>
      </c>
      <c r="D1289" s="2">
        <v>1049.4750772486441</v>
      </c>
      <c r="E1289" s="2">
        <v>982.9258126206696</v>
      </c>
      <c r="F1289" s="2">
        <v>591.04406302794814</v>
      </c>
      <c r="G1289" s="2">
        <v>307.14924032334238</v>
      </c>
      <c r="H1289" s="2">
        <v>21.04742601281032</v>
      </c>
      <c r="I1289" s="2">
        <v>0.82174649068154393</v>
      </c>
      <c r="J1289" s="2">
        <v>7</v>
      </c>
      <c r="K1289" s="2">
        <v>182.44679196764818</v>
      </c>
      <c r="L1289" s="2">
        <v>11370</v>
      </c>
      <c r="M1289" s="2">
        <v>1195</v>
      </c>
      <c r="N1289" s="2">
        <v>250.03006366999267</v>
      </c>
      <c r="O1289" s="2">
        <v>2495.3097440537376</v>
      </c>
      <c r="P1289" s="2">
        <v>1049.4750772486441</v>
      </c>
      <c r="Q1289" s="2">
        <v>252.56407092821885</v>
      </c>
      <c r="R1289" s="2">
        <v>2509.6125803001123</v>
      </c>
      <c r="S1289" s="2">
        <v>1046.6677349225799</v>
      </c>
      <c r="T1289" s="2">
        <v>2.5340072582261826</v>
      </c>
      <c r="U1289" s="2">
        <v>14.302836246374682</v>
      </c>
      <c r="V1289" s="2">
        <v>-2.8073423260641448</v>
      </c>
    </row>
    <row r="1290" spans="1:22" ht="15">
      <c r="A1290" s="2">
        <v>1289</v>
      </c>
      <c r="B1290" s="2" t="s">
        <v>78</v>
      </c>
      <c r="C1290" s="2" t="s">
        <v>81</v>
      </c>
      <c r="D1290" s="2">
        <v>955.85216600447893</v>
      </c>
      <c r="E1290" s="2">
        <v>1085.4581386200152</v>
      </c>
      <c r="F1290" s="2">
        <v>418.69579274207354</v>
      </c>
      <c r="G1290" s="2">
        <v>304.27574318135157</v>
      </c>
      <c r="H1290" s="2">
        <v>20.3583620544523</v>
      </c>
      <c r="I1290" s="2">
        <v>0.84024785378249367</v>
      </c>
      <c r="J1290" s="2">
        <v>6</v>
      </c>
      <c r="K1290" s="2">
        <v>189.5972642083278</v>
      </c>
      <c r="L1290" s="2">
        <v>13795</v>
      </c>
      <c r="M1290" s="2">
        <v>1200</v>
      </c>
      <c r="N1290" s="2">
        <v>249.97233279782392</v>
      </c>
      <c r="O1290" s="2">
        <v>2503.8233407041016</v>
      </c>
      <c r="P1290" s="2">
        <v>955.85216600447893</v>
      </c>
      <c r="Q1290" s="2">
        <v>249.8704526607884</v>
      </c>
      <c r="R1290" s="2">
        <v>2509.7454821774218</v>
      </c>
      <c r="S1290" s="2">
        <v>948.99498798598756</v>
      </c>
      <c r="T1290" s="2">
        <v>-0.10188013703552201</v>
      </c>
      <c r="U1290" s="2">
        <v>5.9221414733201527</v>
      </c>
      <c r="V1290" s="2">
        <v>-6.8571780184913678</v>
      </c>
    </row>
    <row r="1291" spans="1:22" ht="15">
      <c r="A1291" s="2">
        <v>1290</v>
      </c>
      <c r="B1291" s="2" t="s">
        <v>78</v>
      </c>
      <c r="C1291" s="2" t="s">
        <v>81</v>
      </c>
      <c r="D1291" s="2">
        <v>998.39172518113628</v>
      </c>
      <c r="E1291" s="2">
        <v>694.32508277241141</v>
      </c>
      <c r="F1291" s="2">
        <v>603.44364950433373</v>
      </c>
      <c r="G1291" s="2">
        <v>195.6989939045161</v>
      </c>
      <c r="H1291" s="2">
        <v>23.562439892906696</v>
      </c>
      <c r="I1291" s="2">
        <v>0.85826984156388797</v>
      </c>
      <c r="J1291" s="2">
        <v>6</v>
      </c>
      <c r="K1291" s="2">
        <v>193.87681216937682</v>
      </c>
      <c r="L1291" s="2">
        <v>16705</v>
      </c>
      <c r="M1291" s="2">
        <v>1200</v>
      </c>
      <c r="N1291" s="2">
        <v>249.98324196265224</v>
      </c>
      <c r="O1291" s="2">
        <v>2502.2518065665536</v>
      </c>
      <c r="P1291" s="2">
        <v>998.39172518113628</v>
      </c>
      <c r="Q1291" s="2">
        <v>250.88179060431673</v>
      </c>
      <c r="R1291" s="2">
        <v>2484.6030997617663</v>
      </c>
      <c r="S1291" s="2">
        <v>993.59366148896652</v>
      </c>
      <c r="T1291" s="2">
        <v>0.89854864166449033</v>
      </c>
      <c r="U1291" s="2">
        <v>-17.648706804787253</v>
      </c>
      <c r="V1291" s="2">
        <v>-4.7980636921697624</v>
      </c>
    </row>
    <row r="1292" spans="1:22" ht="15">
      <c r="A1292" s="2">
        <v>1291</v>
      </c>
      <c r="B1292" s="2" t="s">
        <v>78</v>
      </c>
      <c r="C1292" s="2" t="s">
        <v>81</v>
      </c>
      <c r="D1292" s="2">
        <v>1073.8592910347506</v>
      </c>
      <c r="E1292" s="2">
        <v>694.55252835759893</v>
      </c>
      <c r="F1292" s="2">
        <v>381.20530135929585</v>
      </c>
      <c r="G1292" s="2">
        <v>141.6701694088988</v>
      </c>
      <c r="H1292" s="2">
        <v>16.602205962873995</v>
      </c>
      <c r="I1292" s="2">
        <v>0.79659860803512861</v>
      </c>
      <c r="J1292" s="2">
        <v>7</v>
      </c>
      <c r="K1292" s="2">
        <v>192.57938515134396</v>
      </c>
      <c r="L1292" s="2">
        <v>17565</v>
      </c>
      <c r="M1292" s="2">
        <v>1200</v>
      </c>
      <c r="N1292" s="2">
        <v>249.9806774543394</v>
      </c>
      <c r="O1292" s="2">
        <v>2501.8868918685112</v>
      </c>
      <c r="P1292" s="2">
        <v>1073.8592910347506</v>
      </c>
      <c r="Q1292" s="2">
        <v>246.02862552343146</v>
      </c>
      <c r="R1292" s="2">
        <v>2480.6788480891364</v>
      </c>
      <c r="S1292" s="2">
        <v>1089.4845812503256</v>
      </c>
      <c r="T1292" s="2">
        <v>-3.9520519309079418</v>
      </c>
      <c r="U1292" s="2">
        <v>-21.208043779374748</v>
      </c>
      <c r="V1292" s="2">
        <v>15.625290215574978</v>
      </c>
    </row>
    <row r="1293" spans="1:22" ht="15">
      <c r="A1293" s="2">
        <v>1292</v>
      </c>
      <c r="B1293" s="2" t="s">
        <v>78</v>
      </c>
      <c r="C1293" s="2" t="s">
        <v>81</v>
      </c>
      <c r="D1293" s="2">
        <v>1080.9174569672905</v>
      </c>
      <c r="E1293" s="2">
        <v>883.69759223423898</v>
      </c>
      <c r="F1293" s="2">
        <v>435.02023322507739</v>
      </c>
      <c r="G1293" s="2">
        <v>328.83510067593306</v>
      </c>
      <c r="H1293" s="2">
        <v>12.837324860971421</v>
      </c>
      <c r="I1293" s="2">
        <v>0.8134108759090305</v>
      </c>
      <c r="J1293" s="2">
        <v>7</v>
      </c>
      <c r="K1293" s="2">
        <v>189.83859712250185</v>
      </c>
      <c r="L1293" s="2">
        <v>12980</v>
      </c>
      <c r="M1293" s="2">
        <v>1200</v>
      </c>
      <c r="N1293" s="2">
        <v>249.99371524680714</v>
      </c>
      <c r="O1293" s="2">
        <v>2504.3907350936183</v>
      </c>
      <c r="P1293" s="2">
        <v>1080.9174569672905</v>
      </c>
      <c r="Q1293" s="2">
        <v>253.20793961888259</v>
      </c>
      <c r="R1293" s="2">
        <v>2536.2481770898808</v>
      </c>
      <c r="S1293" s="2">
        <v>1085.2548064869225</v>
      </c>
      <c r="T1293" s="2">
        <v>3.2142243720754493</v>
      </c>
      <c r="U1293" s="2">
        <v>31.857441996262423</v>
      </c>
      <c r="V1293" s="2">
        <v>4.3373495196319709</v>
      </c>
    </row>
    <row r="1294" spans="1:22" ht="15">
      <c r="A1294" s="2">
        <v>1293</v>
      </c>
      <c r="B1294" s="2" t="s">
        <v>78</v>
      </c>
      <c r="C1294" s="2" t="s">
        <v>81</v>
      </c>
      <c r="D1294" s="2">
        <v>968.32769974134862</v>
      </c>
      <c r="E1294" s="2">
        <v>1032.5627117301337</v>
      </c>
      <c r="F1294" s="2">
        <v>412.26878967136145</v>
      </c>
      <c r="G1294" s="2">
        <v>112.22182003082708</v>
      </c>
      <c r="H1294" s="2">
        <v>15.392334897071123</v>
      </c>
      <c r="I1294" s="2">
        <v>0.85821195408934736</v>
      </c>
      <c r="J1294" s="2">
        <v>6</v>
      </c>
      <c r="K1294" s="2">
        <v>188.05138892307895</v>
      </c>
      <c r="L1294" s="2">
        <v>16025</v>
      </c>
      <c r="M1294" s="2">
        <v>1200</v>
      </c>
      <c r="N1294" s="2">
        <v>250.0171645297832</v>
      </c>
      <c r="O1294" s="2">
        <v>2502.5690732526186</v>
      </c>
      <c r="P1294" s="2">
        <v>968.32769974134862</v>
      </c>
      <c r="Q1294" s="2">
        <v>250.12204081085082</v>
      </c>
      <c r="R1294" s="2">
        <v>2512.3961081478665</v>
      </c>
      <c r="S1294" s="2">
        <v>967.94005762125153</v>
      </c>
      <c r="T1294" s="2">
        <v>0.10487628106761804</v>
      </c>
      <c r="U1294" s="2">
        <v>9.8270348952478344</v>
      </c>
      <c r="V1294" s="2">
        <v>-0.38764212009709809</v>
      </c>
    </row>
    <row r="1295" spans="1:22" ht="15">
      <c r="A1295" s="2">
        <v>1294</v>
      </c>
      <c r="B1295" s="2" t="s">
        <v>78</v>
      </c>
      <c r="C1295" s="2" t="s">
        <v>81</v>
      </c>
      <c r="D1295" s="2">
        <v>1058.9851806056686</v>
      </c>
      <c r="E1295" s="2">
        <v>1003.6840011132881</v>
      </c>
      <c r="F1295" s="2">
        <v>482.55217121914029</v>
      </c>
      <c r="G1295" s="2">
        <v>140.76608039438725</v>
      </c>
      <c r="H1295" s="2">
        <v>27.270720536354929</v>
      </c>
      <c r="I1295" s="2">
        <v>0.81320904597174382</v>
      </c>
      <c r="J1295" s="2">
        <v>7</v>
      </c>
      <c r="K1295" s="2">
        <v>186.03285093638496</v>
      </c>
      <c r="L1295" s="2">
        <v>13145</v>
      </c>
      <c r="M1295" s="2">
        <v>1200</v>
      </c>
      <c r="N1295" s="2">
        <v>250.01400119231926</v>
      </c>
      <c r="O1295" s="2">
        <v>2504.2711055135733</v>
      </c>
      <c r="P1295" s="2">
        <v>1058.9851806056686</v>
      </c>
      <c r="Q1295" s="2">
        <v>248.57609388722813</v>
      </c>
      <c r="R1295" s="2">
        <v>2511.7142080737917</v>
      </c>
      <c r="S1295" s="2">
        <v>1050.3989678017606</v>
      </c>
      <c r="T1295" s="2">
        <v>-1.4379073050911302</v>
      </c>
      <c r="U1295" s="2">
        <v>7.4431025602184491</v>
      </c>
      <c r="V1295" s="2">
        <v>-8.5862128039079835</v>
      </c>
    </row>
    <row r="1296" spans="1:22" ht="15">
      <c r="A1296" s="2">
        <v>1295</v>
      </c>
      <c r="B1296" s="2" t="s">
        <v>79</v>
      </c>
      <c r="C1296" s="2" t="s">
        <v>81</v>
      </c>
      <c r="D1296" s="2">
        <v>1060.2609647670761</v>
      </c>
      <c r="E1296" s="2">
        <v>1110.419490665663</v>
      </c>
      <c r="F1296" s="2">
        <v>507.62735083699226</v>
      </c>
      <c r="G1296" s="2">
        <v>305.3619585535489</v>
      </c>
      <c r="H1296" s="2">
        <v>23.230893849395216</v>
      </c>
      <c r="I1296" s="2">
        <v>0.79883959991624587</v>
      </c>
      <c r="J1296" s="2">
        <v>7</v>
      </c>
      <c r="K1296" s="2">
        <v>189.607340604375</v>
      </c>
      <c r="L1296" s="2">
        <v>11120</v>
      </c>
      <c r="M1296" s="2">
        <v>1195</v>
      </c>
      <c r="N1296" s="2">
        <v>250.02991846536563</v>
      </c>
      <c r="O1296" s="2">
        <v>2495.554895026442</v>
      </c>
      <c r="P1296" s="2">
        <v>1060.2609647670761</v>
      </c>
      <c r="Q1296" s="2">
        <v>250.37637086405738</v>
      </c>
      <c r="R1296" s="2">
        <v>2486.8115325978038</v>
      </c>
      <c r="S1296" s="2">
        <v>1049.0211140396066</v>
      </c>
      <c r="T1296" s="2">
        <v>0.34645239869175271</v>
      </c>
      <c r="U1296" s="2">
        <v>-8.7433624286381928</v>
      </c>
      <c r="V1296" s="2">
        <v>-11.239850727469502</v>
      </c>
    </row>
    <row r="1297" spans="1:22" ht="15">
      <c r="A1297" s="2">
        <v>1296</v>
      </c>
      <c r="B1297" s="2" t="s">
        <v>79</v>
      </c>
      <c r="C1297" s="2" t="s">
        <v>81</v>
      </c>
      <c r="D1297" s="2">
        <v>983.94863529829308</v>
      </c>
      <c r="E1297" s="2">
        <v>979.51371129602194</v>
      </c>
      <c r="F1297" s="2">
        <v>696.91642662510276</v>
      </c>
      <c r="G1297" s="2">
        <v>304.65958644170314</v>
      </c>
      <c r="H1297" s="2">
        <v>13.028220483567566</v>
      </c>
      <c r="I1297" s="2">
        <v>0.8278442454244942</v>
      </c>
      <c r="J1297" s="2">
        <v>6</v>
      </c>
      <c r="K1297" s="2">
        <v>198.09455718604676</v>
      </c>
      <c r="L1297" s="2">
        <v>12595</v>
      </c>
      <c r="M1297" s="2">
        <v>1200</v>
      </c>
      <c r="N1297" s="2">
        <v>250.01764716849354</v>
      </c>
      <c r="O1297" s="2">
        <v>2504.6848452886802</v>
      </c>
      <c r="P1297" s="2">
        <v>983.94863529829308</v>
      </c>
      <c r="Q1297" s="2">
        <v>255.21032723142847</v>
      </c>
      <c r="R1297" s="2">
        <v>2488.245104594449</v>
      </c>
      <c r="S1297" s="2">
        <v>976.77645228155529</v>
      </c>
      <c r="T1297" s="2">
        <v>5.1926800629349259</v>
      </c>
      <c r="U1297" s="2">
        <v>-16.439740694231205</v>
      </c>
      <c r="V1297" s="2">
        <v>-7.1721830167377902</v>
      </c>
    </row>
    <row r="1298" spans="1:22" ht="15">
      <c r="A1298" s="2">
        <v>1297</v>
      </c>
      <c r="B1298" s="2" t="s">
        <v>79</v>
      </c>
      <c r="C1298" s="2" t="s">
        <v>81</v>
      </c>
      <c r="D1298" s="2">
        <v>1050.0764423049986</v>
      </c>
      <c r="E1298" s="2">
        <v>1143.9976697205566</v>
      </c>
      <c r="F1298" s="2">
        <v>611.31433341652155</v>
      </c>
      <c r="G1298" s="2">
        <v>289.53582791844383</v>
      </c>
      <c r="H1298" s="2">
        <v>24.102498801425099</v>
      </c>
      <c r="I1298" s="2">
        <v>0.85685298300581059</v>
      </c>
      <c r="J1298" s="2">
        <v>7</v>
      </c>
      <c r="K1298" s="2">
        <v>175.07194735210282</v>
      </c>
      <c r="L1298" s="2">
        <v>10460</v>
      </c>
      <c r="M1298" s="2">
        <v>1195</v>
      </c>
      <c r="N1298" s="2">
        <v>250.03936333768087</v>
      </c>
      <c r="O1298" s="2">
        <v>2496.2588704099981</v>
      </c>
      <c r="P1298" s="2">
        <v>1050.0764423049986</v>
      </c>
      <c r="Q1298" s="2">
        <v>251.28501450188367</v>
      </c>
      <c r="R1298" s="2">
        <v>2550.0088629332713</v>
      </c>
      <c r="S1298" s="2">
        <v>1036.0672984931025</v>
      </c>
      <c r="T1298" s="2">
        <v>1.2456511642027976</v>
      </c>
      <c r="U1298" s="2">
        <v>53.749992523273249</v>
      </c>
      <c r="V1298" s="2">
        <v>-14.009143811896138</v>
      </c>
    </row>
    <row r="1299" spans="1:22" ht="15">
      <c r="A1299" s="2">
        <v>1298</v>
      </c>
      <c r="B1299" s="2" t="s">
        <v>80</v>
      </c>
      <c r="C1299" s="2" t="s">
        <v>81</v>
      </c>
      <c r="D1299" s="2">
        <v>954.36733026290312</v>
      </c>
      <c r="E1299" s="2">
        <v>1101.8695705803111</v>
      </c>
      <c r="F1299" s="2">
        <v>627.17807674780488</v>
      </c>
      <c r="G1299" s="2">
        <v>287.89114315994084</v>
      </c>
      <c r="H1299" s="2">
        <v>13.639505848754197</v>
      </c>
      <c r="I1299" s="2">
        <v>0.82712034130934631</v>
      </c>
      <c r="J1299" s="2">
        <v>6</v>
      </c>
      <c r="K1299" s="2">
        <v>192.3072299959243</v>
      </c>
      <c r="L1299" s="2">
        <v>12370</v>
      </c>
      <c r="M1299" s="2">
        <v>1200</v>
      </c>
      <c r="N1299" s="2">
        <v>249.9947026624327</v>
      </c>
      <c r="O1299" s="2">
        <v>2504.8637177890187</v>
      </c>
      <c r="P1299" s="2">
        <v>954.36733026290312</v>
      </c>
      <c r="Q1299" s="2">
        <v>251.25218589652982</v>
      </c>
      <c r="R1299" s="2">
        <v>2484.6407924390419</v>
      </c>
      <c r="S1299" s="2">
        <v>954.99426314478524</v>
      </c>
      <c r="T1299" s="2">
        <v>1.2574832340971227</v>
      </c>
      <c r="U1299" s="2">
        <v>-20.222925349976776</v>
      </c>
      <c r="V1299" s="2">
        <v>0.62693288188211227</v>
      </c>
    </row>
    <row r="1300" spans="1:22" ht="15">
      <c r="A1300" s="2">
        <v>1299</v>
      </c>
      <c r="B1300" s="2" t="s">
        <v>80</v>
      </c>
      <c r="C1300" s="2" t="s">
        <v>81</v>
      </c>
      <c r="D1300" s="2">
        <v>1070.4787881812081</v>
      </c>
      <c r="E1300" s="2">
        <v>774.66592561686411</v>
      </c>
      <c r="F1300" s="2">
        <v>382.78867267072201</v>
      </c>
      <c r="G1300" s="2">
        <v>117.37776417983696</v>
      </c>
      <c r="H1300" s="2">
        <v>10.810582396574318</v>
      </c>
      <c r="I1300" s="2">
        <v>0.82772730585886167</v>
      </c>
      <c r="J1300" s="2">
        <v>7</v>
      </c>
      <c r="K1300" s="2">
        <v>184.75352943692764</v>
      </c>
      <c r="L1300" s="2">
        <v>16775</v>
      </c>
      <c r="M1300" s="2">
        <v>1200</v>
      </c>
      <c r="N1300" s="2">
        <v>249.99449975471404</v>
      </c>
      <c r="O1300" s="2">
        <v>2502.2210541483951</v>
      </c>
      <c r="P1300" s="2">
        <v>1070.4787881812081</v>
      </c>
      <c r="Q1300" s="2">
        <v>247.69002984799337</v>
      </c>
      <c r="R1300" s="2">
        <v>2499.4918054716877</v>
      </c>
      <c r="S1300" s="2">
        <v>1083.791178900658</v>
      </c>
      <c r="T1300" s="2">
        <v>-2.3044699067206693</v>
      </c>
      <c r="U1300" s="2">
        <v>-2.7292486767073569</v>
      </c>
      <c r="V1300" s="2">
        <v>13.312390719449922</v>
      </c>
    </row>
    <row r="1301" spans="1:22" ht="15">
      <c r="A1301" s="2">
        <v>1300</v>
      </c>
      <c r="B1301" s="2" t="s">
        <v>80</v>
      </c>
      <c r="C1301" s="2" t="s">
        <v>81</v>
      </c>
      <c r="D1301" s="2">
        <v>1008.5593973635696</v>
      </c>
      <c r="E1301" s="2">
        <v>670.66276357509196</v>
      </c>
      <c r="F1301" s="2">
        <v>743.83631525561213</v>
      </c>
      <c r="G1301" s="2">
        <v>134.42377307917923</v>
      </c>
      <c r="H1301" s="2">
        <v>11.511342033278197</v>
      </c>
      <c r="I1301" s="2">
        <v>0.80206366570666432</v>
      </c>
      <c r="J1301" s="2">
        <v>7</v>
      </c>
      <c r="K1301" s="2">
        <v>179.63650526687138</v>
      </c>
      <c r="L1301" s="2">
        <v>13805</v>
      </c>
      <c r="M1301" s="2">
        <v>1200</v>
      </c>
      <c r="N1301" s="2">
        <v>249.96611552328295</v>
      </c>
      <c r="O1301" s="2">
        <v>2503.8165897055378</v>
      </c>
      <c r="P1301" s="2">
        <v>1008.5593973635696</v>
      </c>
      <c r="Q1301" s="2">
        <v>249.78683596484686</v>
      </c>
      <c r="R1301" s="2">
        <v>2512.4459373907921</v>
      </c>
      <c r="S1301" s="2">
        <v>1014.3586841256661</v>
      </c>
      <c r="T1301" s="2">
        <v>-0.17927955843609311</v>
      </c>
      <c r="U1301" s="2">
        <v>8.6293476852542881</v>
      </c>
      <c r="V1301" s="2">
        <v>5.7992867620964716</v>
      </c>
    </row>
    <row r="1302" spans="1:22" ht="15">
      <c r="A1302" s="2">
        <v>1301</v>
      </c>
      <c r="B1302" s="2" t="s">
        <v>78</v>
      </c>
      <c r="C1302" s="2" t="s">
        <v>81</v>
      </c>
      <c r="D1302" s="2">
        <v>977.03412701375782</v>
      </c>
      <c r="E1302" s="2">
        <v>884.6036750706844</v>
      </c>
      <c r="F1302" s="2">
        <v>556.57920818775892</v>
      </c>
      <c r="G1302" s="2">
        <v>299.33494909899309</v>
      </c>
      <c r="H1302" s="2">
        <v>13.73460753262043</v>
      </c>
      <c r="I1302" s="2">
        <v>0.85617141498485583</v>
      </c>
      <c r="J1302" s="2">
        <v>6</v>
      </c>
      <c r="K1302" s="2">
        <v>190.1944147152355</v>
      </c>
      <c r="L1302" s="2">
        <v>14335</v>
      </c>
      <c r="M1302" s="2">
        <v>1200</v>
      </c>
      <c r="N1302" s="2">
        <v>250.00257107563425</v>
      </c>
      <c r="O1302" s="2">
        <v>2503.4844877763298</v>
      </c>
      <c r="P1302" s="2">
        <v>977.03412701375782</v>
      </c>
      <c r="Q1302" s="2">
        <v>252.40346130771619</v>
      </c>
      <c r="R1302" s="2">
        <v>2539.8261180692666</v>
      </c>
      <c r="S1302" s="2">
        <v>982.41012786015551</v>
      </c>
      <c r="T1302" s="2">
        <v>2.4008902320819345</v>
      </c>
      <c r="U1302" s="2">
        <v>36.34163029293677</v>
      </c>
      <c r="V1302" s="2">
        <v>5.3760008463976874</v>
      </c>
    </row>
    <row r="1303" spans="1:22" ht="15">
      <c r="A1303" s="2">
        <v>1302</v>
      </c>
      <c r="B1303" s="2" t="s">
        <v>78</v>
      </c>
      <c r="C1303" s="2" t="s">
        <v>81</v>
      </c>
      <c r="D1303" s="2">
        <v>1092.6877384190448</v>
      </c>
      <c r="E1303" s="2">
        <v>787.20934444572777</v>
      </c>
      <c r="F1303" s="2">
        <v>496.15858914330602</v>
      </c>
      <c r="G1303" s="2">
        <v>280.01309411600232</v>
      </c>
      <c r="H1303" s="2">
        <v>17.196038013789803</v>
      </c>
      <c r="I1303" s="2">
        <v>0.8293539964174852</v>
      </c>
      <c r="J1303" s="2">
        <v>7</v>
      </c>
      <c r="K1303" s="2">
        <v>188.21667107154101</v>
      </c>
      <c r="L1303" s="2">
        <v>13680</v>
      </c>
      <c r="M1303" s="2">
        <v>1200</v>
      </c>
      <c r="N1303" s="2">
        <v>250.0150181069038</v>
      </c>
      <c r="O1303" s="2">
        <v>2503.9007536384765</v>
      </c>
      <c r="P1303" s="2">
        <v>1092.6877384190448</v>
      </c>
      <c r="Q1303" s="2">
        <v>247.85985495776899</v>
      </c>
      <c r="R1303" s="2">
        <v>2490.967745111293</v>
      </c>
      <c r="S1303" s="2">
        <v>1093.1805693046244</v>
      </c>
      <c r="T1303" s="2">
        <v>-2.1551631491348076</v>
      </c>
      <c r="U1303" s="2">
        <v>-12.933008527183574</v>
      </c>
      <c r="V1303" s="2">
        <v>0.49283088557967858</v>
      </c>
    </row>
    <row r="1304" spans="1:22" ht="15">
      <c r="A1304" s="2">
        <v>1303</v>
      </c>
      <c r="B1304" s="2" t="s">
        <v>78</v>
      </c>
      <c r="C1304" s="2" t="s">
        <v>81</v>
      </c>
      <c r="D1304" s="2">
        <v>1080.4182631196454</v>
      </c>
      <c r="E1304" s="2">
        <v>1227.5941694271751</v>
      </c>
      <c r="F1304" s="2">
        <v>435.11381596326828</v>
      </c>
      <c r="G1304" s="2">
        <v>185.5896551697515</v>
      </c>
      <c r="H1304" s="2">
        <v>23.821381296031177</v>
      </c>
      <c r="I1304" s="2">
        <v>0.8278485917649232</v>
      </c>
      <c r="J1304" s="2">
        <v>7</v>
      </c>
      <c r="K1304" s="2">
        <v>186.44166058299879</v>
      </c>
      <c r="L1304" s="2">
        <v>11570</v>
      </c>
      <c r="M1304" s="2">
        <v>1195</v>
      </c>
      <c r="N1304" s="2">
        <v>249.98896925825539</v>
      </c>
      <c r="O1304" s="2">
        <v>2495.1194797659568</v>
      </c>
      <c r="P1304" s="2">
        <v>1080.4182631196454</v>
      </c>
      <c r="Q1304" s="2">
        <v>248.35458167360662</v>
      </c>
      <c r="R1304" s="2">
        <v>2556.3580230221824</v>
      </c>
      <c r="S1304" s="2">
        <v>1063.845735539574</v>
      </c>
      <c r="T1304" s="2">
        <v>-1.6343875846487776</v>
      </c>
      <c r="U1304" s="2">
        <v>61.238543256225512</v>
      </c>
      <c r="V1304" s="2">
        <v>-16.572527580071437</v>
      </c>
    </row>
    <row r="1305" spans="1:22" ht="15">
      <c r="A1305" s="2">
        <v>1304</v>
      </c>
      <c r="B1305" s="2" t="s">
        <v>78</v>
      </c>
      <c r="C1305" s="2" t="s">
        <v>81</v>
      </c>
      <c r="D1305" s="2">
        <v>962.08820742322132</v>
      </c>
      <c r="E1305" s="2">
        <v>638.44244470819831</v>
      </c>
      <c r="F1305" s="2">
        <v>727.67513608559966</v>
      </c>
      <c r="G1305" s="2">
        <v>205.20004494581372</v>
      </c>
      <c r="H1305" s="2">
        <v>22.417077293153852</v>
      </c>
      <c r="I1305" s="2">
        <v>0.8306473528314382</v>
      </c>
      <c r="J1305" s="2">
        <v>6</v>
      </c>
      <c r="K1305" s="2">
        <v>193.03984298987592</v>
      </c>
      <c r="L1305" s="2">
        <v>15880</v>
      </c>
      <c r="M1305" s="2">
        <v>1200</v>
      </c>
      <c r="N1305" s="2">
        <v>250.02478058311496</v>
      </c>
      <c r="O1305" s="2">
        <v>2502.6402464253902</v>
      </c>
      <c r="P1305" s="2">
        <v>962.08820742322132</v>
      </c>
      <c r="Q1305" s="2">
        <v>250.44289983236584</v>
      </c>
      <c r="R1305" s="2">
        <v>2432.6155294792552</v>
      </c>
      <c r="S1305" s="2">
        <v>955.80410059851931</v>
      </c>
      <c r="T1305" s="2">
        <v>0.41811924925087851</v>
      </c>
      <c r="U1305" s="2">
        <v>-70.024716946134959</v>
      </c>
      <c r="V1305" s="2">
        <v>-6.2841068247020075</v>
      </c>
    </row>
    <row r="1306" spans="1:22" ht="15">
      <c r="A1306" s="2">
        <v>1305</v>
      </c>
      <c r="B1306" s="2" t="s">
        <v>78</v>
      </c>
      <c r="C1306" s="2" t="s">
        <v>81</v>
      </c>
      <c r="D1306" s="2">
        <v>1018.0134937167168</v>
      </c>
      <c r="E1306" s="2">
        <v>1016.169060242828</v>
      </c>
      <c r="F1306" s="2">
        <v>416.73530805855989</v>
      </c>
      <c r="G1306" s="2">
        <v>256.92085221642628</v>
      </c>
      <c r="H1306" s="2">
        <v>29.168623534962535</v>
      </c>
      <c r="I1306" s="2">
        <v>0.79726418291451417</v>
      </c>
      <c r="J1306" s="2">
        <v>7</v>
      </c>
      <c r="K1306" s="2">
        <v>182.41193097468138</v>
      </c>
      <c r="L1306" s="2">
        <v>12655</v>
      </c>
      <c r="M1306" s="2">
        <v>1200</v>
      </c>
      <c r="N1306" s="2">
        <v>249.98827651233222</v>
      </c>
      <c r="O1306" s="2">
        <v>2504.6368105736783</v>
      </c>
      <c r="P1306" s="2">
        <v>1018.0134937167168</v>
      </c>
      <c r="Q1306" s="2">
        <v>250.32620286653599</v>
      </c>
      <c r="R1306" s="2">
        <v>2478.0698773100339</v>
      </c>
      <c r="S1306" s="2">
        <v>1010.3556212543689</v>
      </c>
      <c r="T1306" s="2">
        <v>0.33792635420377337</v>
      </c>
      <c r="U1306" s="2">
        <v>-26.566933263644387</v>
      </c>
      <c r="V1306" s="2">
        <v>-7.657872462347882</v>
      </c>
    </row>
    <row r="1307" spans="1:22" ht="15">
      <c r="A1307" s="2">
        <v>1306</v>
      </c>
      <c r="B1307" s="2" t="s">
        <v>78</v>
      </c>
      <c r="C1307" s="2" t="s">
        <v>81</v>
      </c>
      <c r="D1307" s="2">
        <v>996.35130228707567</v>
      </c>
      <c r="E1307" s="2">
        <v>1193.0148924002424</v>
      </c>
      <c r="F1307" s="2">
        <v>483.67181280627847</v>
      </c>
      <c r="G1307" s="2">
        <v>185.39909987710416</v>
      </c>
      <c r="H1307" s="2">
        <v>29.625113841611892</v>
      </c>
      <c r="I1307" s="2">
        <v>0.80848860502708708</v>
      </c>
      <c r="J1307" s="2">
        <v>7</v>
      </c>
      <c r="K1307" s="2">
        <v>176.05183232230758</v>
      </c>
      <c r="L1307" s="2">
        <v>11485</v>
      </c>
      <c r="M1307" s="2">
        <v>1195</v>
      </c>
      <c r="N1307" s="2">
        <v>250.00375769154249</v>
      </c>
      <c r="O1307" s="2">
        <v>2495.1994089973505</v>
      </c>
      <c r="P1307" s="2">
        <v>996.35130228707567</v>
      </c>
      <c r="Q1307" s="2">
        <v>249.62776259275006</v>
      </c>
      <c r="R1307" s="2">
        <v>2550.8822123841342</v>
      </c>
      <c r="S1307" s="2">
        <v>980.76534392649569</v>
      </c>
      <c r="T1307" s="2">
        <v>-0.37599509879242987</v>
      </c>
      <c r="U1307" s="2">
        <v>55.682803386783689</v>
      </c>
      <c r="V1307" s="2">
        <v>-15.58595836057998</v>
      </c>
    </row>
    <row r="1308" spans="1:22" ht="15">
      <c r="A1308" s="2">
        <v>1307</v>
      </c>
      <c r="B1308" s="2" t="s">
        <v>78</v>
      </c>
      <c r="C1308" s="2" t="s">
        <v>81</v>
      </c>
      <c r="D1308" s="2">
        <v>1069.9016318423674</v>
      </c>
      <c r="E1308" s="2">
        <v>1029.6613205806352</v>
      </c>
      <c r="F1308" s="2">
        <v>450.35917796194553</v>
      </c>
      <c r="G1308" s="2">
        <v>114.45268532959744</v>
      </c>
      <c r="H1308" s="2">
        <v>22.525741242803633</v>
      </c>
      <c r="I1308" s="2">
        <v>0.79838623265502973</v>
      </c>
      <c r="J1308" s="2">
        <v>7</v>
      </c>
      <c r="K1308" s="2">
        <v>191.44003743015003</v>
      </c>
      <c r="L1308" s="2">
        <v>13410</v>
      </c>
      <c r="M1308" s="2">
        <v>1200</v>
      </c>
      <c r="N1308" s="2">
        <v>249.95474120751268</v>
      </c>
      <c r="O1308" s="2">
        <v>2504.0817472979566</v>
      </c>
      <c r="P1308" s="2">
        <v>1069.9016318423674</v>
      </c>
      <c r="Q1308" s="2">
        <v>251.24225632998943</v>
      </c>
      <c r="R1308" s="2">
        <v>2538.5801341672568</v>
      </c>
      <c r="S1308" s="2">
        <v>1066.9988861507704</v>
      </c>
      <c r="T1308" s="2">
        <v>1.2875151224767478</v>
      </c>
      <c r="U1308" s="2">
        <v>34.498386869300248</v>
      </c>
      <c r="V1308" s="2">
        <v>-2.9027456915969196</v>
      </c>
    </row>
    <row r="1309" spans="1:22" ht="15">
      <c r="A1309" s="2">
        <v>1308</v>
      </c>
      <c r="B1309" s="2" t="s">
        <v>78</v>
      </c>
      <c r="C1309" s="2" t="s">
        <v>81</v>
      </c>
      <c r="D1309" s="2">
        <v>1096.7059500864707</v>
      </c>
      <c r="E1309" s="2">
        <v>1063.5708070825785</v>
      </c>
      <c r="F1309" s="2">
        <v>719.90973008796573</v>
      </c>
      <c r="G1309" s="2">
        <v>134.93866268079728</v>
      </c>
      <c r="H1309" s="2">
        <v>15.613385762553662</v>
      </c>
      <c r="I1309" s="2">
        <v>0.8413224410265685</v>
      </c>
      <c r="J1309" s="2">
        <v>7</v>
      </c>
      <c r="K1309" s="2">
        <v>186.22144250973795</v>
      </c>
      <c r="L1309" s="2">
        <v>11150</v>
      </c>
      <c r="M1309" s="2">
        <v>1195</v>
      </c>
      <c r="N1309" s="2">
        <v>250.05389056602914</v>
      </c>
      <c r="O1309" s="2">
        <v>2495.5259705884823</v>
      </c>
      <c r="P1309" s="2">
        <v>1096.7059500864707</v>
      </c>
      <c r="Q1309" s="2">
        <v>254.81481595545944</v>
      </c>
      <c r="R1309" s="2">
        <v>2545.1744431161824</v>
      </c>
      <c r="S1309" s="2">
        <v>1100.4145139345665</v>
      </c>
      <c r="T1309" s="2">
        <v>4.7609253894302981</v>
      </c>
      <c r="U1309" s="2">
        <v>49.648472527700051</v>
      </c>
      <c r="V1309" s="2">
        <v>3.7085638480957641</v>
      </c>
    </row>
    <row r="1310" spans="1:22" ht="15">
      <c r="A1310" s="2">
        <v>1309</v>
      </c>
      <c r="B1310" s="2" t="s">
        <v>78</v>
      </c>
      <c r="C1310" s="2" t="s">
        <v>81</v>
      </c>
      <c r="D1310" s="2">
        <v>967.22076828591526</v>
      </c>
      <c r="E1310" s="2">
        <v>750.54567240877077</v>
      </c>
      <c r="F1310" s="2">
        <v>650.80639477819204</v>
      </c>
      <c r="G1310" s="2">
        <v>241.68459953041747</v>
      </c>
      <c r="H1310" s="2">
        <v>18.300431799143553</v>
      </c>
      <c r="I1310" s="2">
        <v>0.80728988807881252</v>
      </c>
      <c r="J1310" s="2">
        <v>6</v>
      </c>
      <c r="K1310" s="2">
        <v>199.68472758232818</v>
      </c>
      <c r="L1310" s="2">
        <v>15185</v>
      </c>
      <c r="M1310" s="2">
        <v>1200</v>
      </c>
      <c r="N1310" s="2">
        <v>249.99452737338336</v>
      </c>
      <c r="O1310" s="2">
        <v>2502.9980957522525</v>
      </c>
      <c r="P1310" s="2">
        <v>967.22076828591526</v>
      </c>
      <c r="Q1310" s="2">
        <v>248.863162838503</v>
      </c>
      <c r="R1310" s="2">
        <v>2490.6895936695646</v>
      </c>
      <c r="S1310" s="2">
        <v>964.43754864044843</v>
      </c>
      <c r="T1310" s="2">
        <v>-1.1313645348803618</v>
      </c>
      <c r="U1310" s="2">
        <v>-12.308502082687937</v>
      </c>
      <c r="V1310" s="2">
        <v>-2.7832196454668292</v>
      </c>
    </row>
    <row r="1311" spans="1:22" ht="15">
      <c r="A1311" s="2">
        <v>1310</v>
      </c>
      <c r="B1311" s="2" t="s">
        <v>78</v>
      </c>
      <c r="C1311" s="2" t="s">
        <v>81</v>
      </c>
      <c r="D1311" s="2">
        <v>1021.9004541751929</v>
      </c>
      <c r="E1311" s="2">
        <v>985.21668824832886</v>
      </c>
      <c r="F1311" s="2">
        <v>387.81583504751325</v>
      </c>
      <c r="G1311" s="2">
        <v>265.78728195279837</v>
      </c>
      <c r="H1311" s="2">
        <v>19.836833792272955</v>
      </c>
      <c r="I1311" s="2">
        <v>0.84396865900140261</v>
      </c>
      <c r="J1311" s="2">
        <v>7</v>
      </c>
      <c r="K1311" s="2">
        <v>172.97535591027449</v>
      </c>
      <c r="L1311" s="2">
        <v>13050</v>
      </c>
      <c r="M1311" s="2">
        <v>1200</v>
      </c>
      <c r="N1311" s="2">
        <v>250.00978928416058</v>
      </c>
      <c r="O1311" s="2">
        <v>2504.3398978503137</v>
      </c>
      <c r="P1311" s="2">
        <v>1021.9004541751929</v>
      </c>
      <c r="Q1311" s="2">
        <v>247.71595107573125</v>
      </c>
      <c r="R1311" s="2">
        <v>2540.5233065203533</v>
      </c>
      <c r="S1311" s="2">
        <v>1023.5061518744367</v>
      </c>
      <c r="T1311" s="2">
        <v>-2.293838208429321</v>
      </c>
      <c r="U1311" s="2">
        <v>36.183408670039626</v>
      </c>
      <c r="V1311" s="2">
        <v>1.6056976992438194</v>
      </c>
    </row>
    <row r="1312" spans="1:22" ht="15">
      <c r="A1312" s="2">
        <v>1311</v>
      </c>
      <c r="B1312" s="2" t="s">
        <v>78</v>
      </c>
      <c r="C1312" s="2" t="s">
        <v>81</v>
      </c>
      <c r="D1312" s="2">
        <v>1016.1950987065211</v>
      </c>
      <c r="E1312" s="2">
        <v>739.03356111841276</v>
      </c>
      <c r="F1312" s="2">
        <v>529.54757437109947</v>
      </c>
      <c r="G1312" s="2">
        <v>280.41077717905864</v>
      </c>
      <c r="H1312" s="2">
        <v>13.095284990034997</v>
      </c>
      <c r="I1312" s="2">
        <v>0.83595033356687054</v>
      </c>
      <c r="J1312" s="2">
        <v>7</v>
      </c>
      <c r="K1312" s="2">
        <v>173.65951367855178</v>
      </c>
      <c r="L1312" s="2">
        <v>13805</v>
      </c>
      <c r="M1312" s="2">
        <v>1200</v>
      </c>
      <c r="N1312" s="2">
        <v>249.97729479574474</v>
      </c>
      <c r="O1312" s="2">
        <v>2503.8169917220266</v>
      </c>
      <c r="P1312" s="2">
        <v>1016.1950987065211</v>
      </c>
      <c r="Q1312" s="2">
        <v>253.54357559529046</v>
      </c>
      <c r="R1312" s="2">
        <v>2495.4370927056966</v>
      </c>
      <c r="S1312" s="2">
        <v>1016.8936499448934</v>
      </c>
      <c r="T1312" s="2">
        <v>3.5662807995457229</v>
      </c>
      <c r="U1312" s="2">
        <v>-8.3798990163300004</v>
      </c>
      <c r="V1312" s="2">
        <v>0.69855123837226074</v>
      </c>
    </row>
    <row r="1313" spans="1:22" ht="15">
      <c r="A1313" s="2">
        <v>1312</v>
      </c>
      <c r="B1313" s="2" t="s">
        <v>78</v>
      </c>
      <c r="C1313" s="2" t="s">
        <v>81</v>
      </c>
      <c r="D1313" s="2">
        <v>1015.4065308975987</v>
      </c>
      <c r="E1313" s="2">
        <v>995.42759284377098</v>
      </c>
      <c r="F1313" s="2">
        <v>453.02920630201697</v>
      </c>
      <c r="G1313" s="2">
        <v>320.02940871287137</v>
      </c>
      <c r="H1313" s="2">
        <v>8.9288211180828512</v>
      </c>
      <c r="I1313" s="2">
        <v>0.79370704810135073</v>
      </c>
      <c r="J1313" s="2">
        <v>7</v>
      </c>
      <c r="K1313" s="2">
        <v>182.76022140601077</v>
      </c>
      <c r="L1313" s="2">
        <v>12095</v>
      </c>
      <c r="M1313" s="2">
        <v>1200</v>
      </c>
      <c r="N1313" s="2">
        <v>250.04745774544148</v>
      </c>
      <c r="O1313" s="2">
        <v>2505.0947119131865</v>
      </c>
      <c r="P1313" s="2">
        <v>1015.4065308975987</v>
      </c>
      <c r="Q1313" s="2">
        <v>254.64819773930031</v>
      </c>
      <c r="R1313" s="2">
        <v>2515.1622733267964</v>
      </c>
      <c r="S1313" s="2">
        <v>1012.5927807589575</v>
      </c>
      <c r="T1313" s="2">
        <v>4.6007399938588378</v>
      </c>
      <c r="U1313" s="2">
        <v>10.067561413609837</v>
      </c>
      <c r="V1313" s="2">
        <v>-2.8137501386412396</v>
      </c>
    </row>
    <row r="1314" spans="1:22" ht="15">
      <c r="A1314" s="2">
        <v>1313</v>
      </c>
      <c r="B1314" s="2" t="s">
        <v>78</v>
      </c>
      <c r="C1314" s="2" t="s">
        <v>81</v>
      </c>
      <c r="D1314" s="2">
        <v>1040.7858139835298</v>
      </c>
      <c r="E1314" s="2">
        <v>783.86823380133137</v>
      </c>
      <c r="F1314" s="2">
        <v>519.4229805842042</v>
      </c>
      <c r="G1314" s="2">
        <v>130.74006976792589</v>
      </c>
      <c r="H1314" s="2">
        <v>23.280975604429841</v>
      </c>
      <c r="I1314" s="2">
        <v>0.81262736949371173</v>
      </c>
      <c r="J1314" s="2">
        <v>7</v>
      </c>
      <c r="K1314" s="2">
        <v>182.96662565594696</v>
      </c>
      <c r="L1314" s="2">
        <v>14915</v>
      </c>
      <c r="M1314" s="2">
        <v>1200</v>
      </c>
      <c r="N1314" s="2">
        <v>250.03292597609681</v>
      </c>
      <c r="O1314" s="2">
        <v>2503.1477829113137</v>
      </c>
      <c r="P1314" s="2">
        <v>1040.7858139835298</v>
      </c>
      <c r="Q1314" s="2">
        <v>250.17272749258379</v>
      </c>
      <c r="R1314" s="2">
        <v>2456.0008199553849</v>
      </c>
      <c r="S1314" s="2">
        <v>1043.6099010357427</v>
      </c>
      <c r="T1314" s="2">
        <v>0.13980151648698325</v>
      </c>
      <c r="U1314" s="2">
        <v>-47.146962955928757</v>
      </c>
      <c r="V1314" s="2">
        <v>2.8240870522129171</v>
      </c>
    </row>
    <row r="1315" spans="1:22" ht="15">
      <c r="A1315" s="2">
        <v>1314</v>
      </c>
      <c r="B1315" s="2" t="s">
        <v>78</v>
      </c>
      <c r="C1315" s="2" t="s">
        <v>81</v>
      </c>
      <c r="D1315" s="2">
        <v>1016.7625980102457</v>
      </c>
      <c r="E1315" s="2">
        <v>1028.4072007285431</v>
      </c>
      <c r="F1315" s="2">
        <v>626.45345265045762</v>
      </c>
      <c r="G1315" s="2">
        <v>191.06262006796896</v>
      </c>
      <c r="H1315" s="2">
        <v>13.868335374165326</v>
      </c>
      <c r="I1315" s="2">
        <v>0.84769329345319422</v>
      </c>
      <c r="J1315" s="2">
        <v>6</v>
      </c>
      <c r="K1315" s="2">
        <v>199.90771934904362</v>
      </c>
      <c r="L1315" s="2">
        <v>13515</v>
      </c>
      <c r="M1315" s="2">
        <v>1200</v>
      </c>
      <c r="N1315" s="2">
        <v>249.97584047949545</v>
      </c>
      <c r="O1315" s="2">
        <v>2504.0104187651905</v>
      </c>
      <c r="P1315" s="2">
        <v>1016.7625980102457</v>
      </c>
      <c r="Q1315" s="2">
        <v>255.00646515890938</v>
      </c>
      <c r="R1315" s="2">
        <v>2473.5256368784981</v>
      </c>
      <c r="S1315" s="2">
        <v>1017.9613587223913</v>
      </c>
      <c r="T1315" s="2">
        <v>5.0306246794139327</v>
      </c>
      <c r="U1315" s="2">
        <v>-30.484781886692417</v>
      </c>
      <c r="V1315" s="2">
        <v>1.1987607121455994</v>
      </c>
    </row>
    <row r="1316" spans="1:22" ht="15">
      <c r="A1316" s="2">
        <v>1315</v>
      </c>
      <c r="B1316" s="2" t="s">
        <v>79</v>
      </c>
      <c r="C1316" s="2" t="s">
        <v>81</v>
      </c>
      <c r="D1316" s="2">
        <v>1027.7215987211093</v>
      </c>
      <c r="E1316" s="2">
        <v>1161.2596185528673</v>
      </c>
      <c r="F1316" s="2">
        <v>423.85593466460705</v>
      </c>
      <c r="G1316" s="2">
        <v>295.04674636526033</v>
      </c>
      <c r="H1316" s="2">
        <v>29.516935278661549</v>
      </c>
      <c r="I1316" s="2">
        <v>0.82146248482866213</v>
      </c>
      <c r="J1316" s="2">
        <v>7</v>
      </c>
      <c r="K1316" s="2">
        <v>178.72681218850235</v>
      </c>
      <c r="L1316" s="2">
        <v>11375</v>
      </c>
      <c r="M1316" s="2">
        <v>1195</v>
      </c>
      <c r="N1316" s="2">
        <v>250.01300541782297</v>
      </c>
      <c r="O1316" s="2">
        <v>2495.3041974417542</v>
      </c>
      <c r="P1316" s="2">
        <v>1027.7215987211093</v>
      </c>
      <c r="Q1316" s="2">
        <v>249.48254865001155</v>
      </c>
      <c r="R1316" s="2">
        <v>2480.2440911761005</v>
      </c>
      <c r="S1316" s="2">
        <v>1015.056591521948</v>
      </c>
      <c r="T1316" s="2">
        <v>-0.53045676781141538</v>
      </c>
      <c r="U1316" s="2">
        <v>-15.060106265653758</v>
      </c>
      <c r="V1316" s="2">
        <v>-12.665007199161323</v>
      </c>
    </row>
    <row r="1317" spans="1:22" ht="15">
      <c r="A1317" s="2">
        <v>1316</v>
      </c>
      <c r="B1317" s="2" t="s">
        <v>79</v>
      </c>
      <c r="C1317" s="2" t="s">
        <v>81</v>
      </c>
      <c r="D1317" s="2">
        <v>1042.5970862968825</v>
      </c>
      <c r="E1317" s="2">
        <v>1035.4068950284272</v>
      </c>
      <c r="F1317" s="2">
        <v>574.85623089596629</v>
      </c>
      <c r="G1317" s="2">
        <v>150.09956089314073</v>
      </c>
      <c r="H1317" s="2">
        <v>10.693913049530238</v>
      </c>
      <c r="I1317" s="2">
        <v>0.81167538775131109</v>
      </c>
      <c r="J1317" s="2">
        <v>7</v>
      </c>
      <c r="K1317" s="2">
        <v>183.50000892867908</v>
      </c>
      <c r="L1317" s="2">
        <v>12150</v>
      </c>
      <c r="M1317" s="2">
        <v>1200</v>
      </c>
      <c r="N1317" s="2">
        <v>250.03073615348646</v>
      </c>
      <c r="O1317" s="2">
        <v>2505.0474232725019</v>
      </c>
      <c r="P1317" s="2">
        <v>1042.5970862968825</v>
      </c>
      <c r="Q1317" s="2">
        <v>253.75191536453991</v>
      </c>
      <c r="R1317" s="2">
        <v>2540.8522756323805</v>
      </c>
      <c r="S1317" s="2">
        <v>1047.3987689232449</v>
      </c>
      <c r="T1317" s="2">
        <v>3.7211792110534532</v>
      </c>
      <c r="U1317" s="2">
        <v>35.804852359878623</v>
      </c>
      <c r="V1317" s="2">
        <v>4.8016826263624353</v>
      </c>
    </row>
    <row r="1318" spans="1:22" ht="15">
      <c r="A1318" s="2">
        <v>1317</v>
      </c>
      <c r="B1318" s="2" t="s">
        <v>79</v>
      </c>
      <c r="C1318" s="2" t="s">
        <v>81</v>
      </c>
      <c r="D1318" s="2">
        <v>1011.5247047040612</v>
      </c>
      <c r="E1318" s="2">
        <v>1009.533467690926</v>
      </c>
      <c r="F1318" s="2">
        <v>626.15533601492643</v>
      </c>
      <c r="G1318" s="2">
        <v>301.94214659975842</v>
      </c>
      <c r="H1318" s="2">
        <v>13.331564135849476</v>
      </c>
      <c r="I1318" s="2">
        <v>0.83132138261804367</v>
      </c>
      <c r="J1318" s="2">
        <v>7</v>
      </c>
      <c r="K1318" s="2">
        <v>173.82390524872432</v>
      </c>
      <c r="L1318" s="2">
        <v>11035</v>
      </c>
      <c r="M1318" s="2">
        <v>1195</v>
      </c>
      <c r="N1318" s="2">
        <v>249.95310588041656</v>
      </c>
      <c r="O1318" s="2">
        <v>2495.6373400492189</v>
      </c>
      <c r="P1318" s="2">
        <v>1011.5247047040612</v>
      </c>
      <c r="Q1318" s="2">
        <v>252.49990369462245</v>
      </c>
      <c r="R1318" s="2">
        <v>2509.043683620645</v>
      </c>
      <c r="S1318" s="2">
        <v>1014.5799080429704</v>
      </c>
      <c r="T1318" s="2">
        <v>2.5467978142058882</v>
      </c>
      <c r="U1318" s="2">
        <v>13.406343571426078</v>
      </c>
      <c r="V1318" s="2">
        <v>3.055203338909223</v>
      </c>
    </row>
    <row r="1319" spans="1:22" ht="15">
      <c r="A1319" s="2">
        <v>1318</v>
      </c>
      <c r="B1319" s="2" t="s">
        <v>80</v>
      </c>
      <c r="C1319" s="2" t="s">
        <v>81</v>
      </c>
      <c r="D1319" s="2">
        <v>1052.7065302361734</v>
      </c>
      <c r="E1319" s="2">
        <v>914.82343745883554</v>
      </c>
      <c r="F1319" s="2">
        <v>556.57252343371511</v>
      </c>
      <c r="G1319" s="2">
        <v>94.997308608144522</v>
      </c>
      <c r="H1319" s="2">
        <v>25.963260917458683</v>
      </c>
      <c r="I1319" s="2">
        <v>0.83477495373692367</v>
      </c>
      <c r="J1319" s="2">
        <v>7</v>
      </c>
      <c r="K1319" s="2">
        <v>180.1523230942432</v>
      </c>
      <c r="L1319" s="2">
        <v>13655</v>
      </c>
      <c r="M1319" s="2">
        <v>1200</v>
      </c>
      <c r="N1319" s="2">
        <v>250.03914712714734</v>
      </c>
      <c r="O1319" s="2">
        <v>2503.9182885004175</v>
      </c>
      <c r="P1319" s="2">
        <v>1052.7065302361734</v>
      </c>
      <c r="Q1319" s="2">
        <v>249.4433575346109</v>
      </c>
      <c r="R1319" s="2">
        <v>2548.2105383866847</v>
      </c>
      <c r="S1319" s="2">
        <v>1044.5545515958233</v>
      </c>
      <c r="T1319" s="2">
        <v>-0.59578959253644825</v>
      </c>
      <c r="U1319" s="2">
        <v>44.2922498862672</v>
      </c>
      <c r="V1319" s="2">
        <v>-8.1519786403500802</v>
      </c>
    </row>
    <row r="1320" spans="1:22" ht="15">
      <c r="A1320" s="2">
        <v>1319</v>
      </c>
      <c r="B1320" s="2" t="s">
        <v>80</v>
      </c>
      <c r="C1320" s="2" t="s">
        <v>81</v>
      </c>
      <c r="D1320" s="2">
        <v>1010.9278629766777</v>
      </c>
      <c r="E1320" s="2">
        <v>974.96961840661243</v>
      </c>
      <c r="F1320" s="2">
        <v>477.70612239837646</v>
      </c>
      <c r="G1320" s="2">
        <v>159.88271670183167</v>
      </c>
      <c r="H1320" s="2">
        <v>15.747089642100036</v>
      </c>
      <c r="I1320" s="2">
        <v>0.84593640170758588</v>
      </c>
      <c r="J1320" s="2">
        <v>6</v>
      </c>
      <c r="K1320" s="2">
        <v>199.17333835342001</v>
      </c>
      <c r="L1320" s="2">
        <v>15470</v>
      </c>
      <c r="M1320" s="2">
        <v>1200</v>
      </c>
      <c r="N1320" s="2">
        <v>249.9620731111545</v>
      </c>
      <c r="O1320" s="2">
        <v>2502.8460216795756</v>
      </c>
      <c r="P1320" s="2">
        <v>1010.9278629766777</v>
      </c>
      <c r="Q1320" s="2">
        <v>253.39264564528077</v>
      </c>
      <c r="R1320" s="2">
        <v>2545.0841125905436</v>
      </c>
      <c r="S1320" s="2">
        <v>1016.2599902632564</v>
      </c>
      <c r="T1320" s="2">
        <v>3.4305725341262701</v>
      </c>
      <c r="U1320" s="2">
        <v>42.238090910967912</v>
      </c>
      <c r="V1320" s="2">
        <v>5.332127286578725</v>
      </c>
    </row>
    <row r="1321" spans="1:22" ht="15">
      <c r="A1321" s="2">
        <v>1320</v>
      </c>
      <c r="B1321" s="2" t="s">
        <v>80</v>
      </c>
      <c r="C1321" s="2" t="s">
        <v>81</v>
      </c>
      <c r="D1321" s="2">
        <v>1092.8815529565327</v>
      </c>
      <c r="E1321" s="2">
        <v>610.16239682212472</v>
      </c>
      <c r="F1321" s="2">
        <v>422.00894122943282</v>
      </c>
      <c r="G1321" s="2">
        <v>315.82944425288588</v>
      </c>
      <c r="H1321" s="2">
        <v>13.694658470805734</v>
      </c>
      <c r="I1321" s="2">
        <v>0.81731467873789376</v>
      </c>
      <c r="J1321" s="2">
        <v>7</v>
      </c>
      <c r="K1321" s="2">
        <v>191.02304191788028</v>
      </c>
      <c r="L1321" s="2">
        <v>15865</v>
      </c>
      <c r="M1321" s="2">
        <v>1200</v>
      </c>
      <c r="N1321" s="2">
        <v>250.00297630588909</v>
      </c>
      <c r="O1321" s="2">
        <v>2502.6469821539504</v>
      </c>
      <c r="P1321" s="2">
        <v>1092.8815529565327</v>
      </c>
      <c r="Q1321" s="2">
        <v>247.01146507190177</v>
      </c>
      <c r="R1321" s="2">
        <v>2477.2442756511796</v>
      </c>
      <c r="S1321" s="2">
        <v>1110.2097312556764</v>
      </c>
      <c r="T1321" s="2">
        <v>-2.9915112339873247</v>
      </c>
      <c r="U1321" s="2">
        <v>-25.402706502770798</v>
      </c>
      <c r="V1321" s="2">
        <v>17.328178299143701</v>
      </c>
    </row>
    <row r="1322" spans="1:22" ht="15">
      <c r="A1322" s="2">
        <v>1321</v>
      </c>
      <c r="B1322" s="2" t="s">
        <v>78</v>
      </c>
      <c r="C1322" s="2" t="s">
        <v>81</v>
      </c>
      <c r="D1322" s="2">
        <v>1043.6534700915217</v>
      </c>
      <c r="E1322" s="2">
        <v>720.09523998713121</v>
      </c>
      <c r="F1322" s="2">
        <v>370.17462272197008</v>
      </c>
      <c r="G1322" s="2">
        <v>116.4459227421321</v>
      </c>
      <c r="H1322" s="2">
        <v>26.354101976379752</v>
      </c>
      <c r="I1322" s="2">
        <v>0.84340913743944845</v>
      </c>
      <c r="J1322" s="2">
        <v>7</v>
      </c>
      <c r="K1322" s="2">
        <v>176.77464738271391</v>
      </c>
      <c r="L1322" s="2">
        <v>17720</v>
      </c>
      <c r="M1322" s="2">
        <v>1200</v>
      </c>
      <c r="N1322" s="2">
        <v>249.96775698505067</v>
      </c>
      <c r="O1322" s="2">
        <v>2501.8245339302684</v>
      </c>
      <c r="P1322" s="2">
        <v>1043.6534700915217</v>
      </c>
      <c r="Q1322" s="2">
        <v>245.41025350828005</v>
      </c>
      <c r="R1322" s="2">
        <v>2509.962765095941</v>
      </c>
      <c r="S1322" s="2">
        <v>1044.7981300602657</v>
      </c>
      <c r="T1322" s="2">
        <v>-4.55750347677062</v>
      </c>
      <c r="U1322" s="2">
        <v>8.1382311656725506</v>
      </c>
      <c r="V1322" s="2">
        <v>1.1446599687440084</v>
      </c>
    </row>
    <row r="1323" spans="1:22" ht="15">
      <c r="A1323" s="2">
        <v>1322</v>
      </c>
      <c r="B1323" s="2" t="s">
        <v>78</v>
      </c>
      <c r="C1323" s="2" t="s">
        <v>81</v>
      </c>
      <c r="D1323" s="2">
        <v>1013.3515950874425</v>
      </c>
      <c r="E1323" s="2">
        <v>813.30019200686365</v>
      </c>
      <c r="F1323" s="2">
        <v>353.41194281354547</v>
      </c>
      <c r="G1323" s="2">
        <v>179.08681618981063</v>
      </c>
      <c r="H1323" s="2">
        <v>11.672709722537547</v>
      </c>
      <c r="I1323" s="2">
        <v>0.81018673431593924</v>
      </c>
      <c r="J1323" s="2">
        <v>7</v>
      </c>
      <c r="K1323" s="2">
        <v>178.68042940267176</v>
      </c>
      <c r="L1323" s="2">
        <v>15890</v>
      </c>
      <c r="M1323" s="2">
        <v>1200</v>
      </c>
      <c r="N1323" s="2">
        <v>249.98789199238411</v>
      </c>
      <c r="O1323" s="2">
        <v>2502.6341648536204</v>
      </c>
      <c r="P1323" s="2">
        <v>1013.3515950874425</v>
      </c>
      <c r="Q1323" s="2">
        <v>247.95825882291399</v>
      </c>
      <c r="R1323" s="2">
        <v>2476.3147226026999</v>
      </c>
      <c r="S1323" s="2">
        <v>1030.2607889627734</v>
      </c>
      <c r="T1323" s="2">
        <v>-2.0296331694701166</v>
      </c>
      <c r="U1323" s="2">
        <v>-26.319442250920474</v>
      </c>
      <c r="V1323" s="2">
        <v>16.909193875330857</v>
      </c>
    </row>
    <row r="1324" spans="1:22" ht="15">
      <c r="A1324" s="2">
        <v>1323</v>
      </c>
      <c r="B1324" s="2" t="s">
        <v>78</v>
      </c>
      <c r="C1324" s="2" t="s">
        <v>81</v>
      </c>
      <c r="D1324" s="2">
        <v>950.77453095000237</v>
      </c>
      <c r="E1324" s="2">
        <v>650.005577376578</v>
      </c>
      <c r="F1324" s="2">
        <v>711.30888052284718</v>
      </c>
      <c r="G1324" s="2">
        <v>179.23717583296821</v>
      </c>
      <c r="H1324" s="2">
        <v>14.082592085935175</v>
      </c>
      <c r="I1324" s="2">
        <v>0.8274987984332256</v>
      </c>
      <c r="J1324" s="2">
        <v>6</v>
      </c>
      <c r="K1324" s="2">
        <v>191.49565186684364</v>
      </c>
      <c r="L1324" s="2">
        <v>16195</v>
      </c>
      <c r="M1324" s="2">
        <v>1200</v>
      </c>
      <c r="N1324" s="2">
        <v>249.99162429281901</v>
      </c>
      <c r="O1324" s="2">
        <v>2502.4867364316706</v>
      </c>
      <c r="P1324" s="2">
        <v>950.77453095000237</v>
      </c>
      <c r="Q1324" s="2">
        <v>250.65309820440959</v>
      </c>
      <c r="R1324" s="2">
        <v>2474.4811455376744</v>
      </c>
      <c r="S1324" s="2">
        <v>953.97195787456769</v>
      </c>
      <c r="T1324" s="2">
        <v>0.66147391159057634</v>
      </c>
      <c r="U1324" s="2">
        <v>-28.005590893996214</v>
      </c>
      <c r="V1324" s="2">
        <v>3.1974269245653204</v>
      </c>
    </row>
    <row r="1325" spans="1:22" ht="15">
      <c r="A1325" s="2">
        <v>1324</v>
      </c>
      <c r="B1325" s="2" t="s">
        <v>78</v>
      </c>
      <c r="C1325" s="2" t="s">
        <v>81</v>
      </c>
      <c r="D1325" s="2">
        <v>959.13134649163112</v>
      </c>
      <c r="E1325" s="2">
        <v>773.02643894217908</v>
      </c>
      <c r="F1325" s="2">
        <v>618.75348491594195</v>
      </c>
      <c r="G1325" s="2">
        <v>198.06681088637561</v>
      </c>
      <c r="H1325" s="2">
        <v>27.131872105877846</v>
      </c>
      <c r="I1325" s="2">
        <v>0.79194260094314817</v>
      </c>
      <c r="J1325" s="2">
        <v>7</v>
      </c>
      <c r="K1325" s="2">
        <v>173.01602871387269</v>
      </c>
      <c r="L1325" s="2">
        <v>13450</v>
      </c>
      <c r="M1325" s="2">
        <v>1200</v>
      </c>
      <c r="N1325" s="2">
        <v>249.97299859617576</v>
      </c>
      <c r="O1325" s="2">
        <v>2504.0548158122947</v>
      </c>
      <c r="P1325" s="2">
        <v>959.13134649163112</v>
      </c>
      <c r="Q1325" s="2">
        <v>246.67582203179052</v>
      </c>
      <c r="R1325" s="2">
        <v>2478.6220785024898</v>
      </c>
      <c r="S1325" s="2">
        <v>952.19227146908474</v>
      </c>
      <c r="T1325" s="2">
        <v>-3.2971765643852393</v>
      </c>
      <c r="U1325" s="2">
        <v>-25.432737309804907</v>
      </c>
      <c r="V1325" s="2">
        <v>-6.9390750225463762</v>
      </c>
    </row>
    <row r="1326" spans="1:22" ht="15">
      <c r="A1326" s="2">
        <v>1325</v>
      </c>
      <c r="B1326" s="2" t="s">
        <v>78</v>
      </c>
      <c r="C1326" s="2" t="s">
        <v>81</v>
      </c>
      <c r="D1326" s="2">
        <v>976.67176253162324</v>
      </c>
      <c r="E1326" s="2">
        <v>820.73196646524593</v>
      </c>
      <c r="F1326" s="2">
        <v>491.49215128272772</v>
      </c>
      <c r="G1326" s="2">
        <v>153.46316968323663</v>
      </c>
      <c r="H1326" s="2">
        <v>16.054990474134684</v>
      </c>
      <c r="I1326" s="2">
        <v>0.83522144593531267</v>
      </c>
      <c r="J1326" s="2">
        <v>6</v>
      </c>
      <c r="K1326" s="2">
        <v>194.89277709616061</v>
      </c>
      <c r="L1326" s="2">
        <v>17025</v>
      </c>
      <c r="M1326" s="2">
        <v>1200</v>
      </c>
      <c r="N1326" s="2">
        <v>250.03265530022571</v>
      </c>
      <c r="O1326" s="2">
        <v>2502.1131932893663</v>
      </c>
      <c r="P1326" s="2">
        <v>976.67176253162324</v>
      </c>
      <c r="Q1326" s="2">
        <v>251.59916430888401</v>
      </c>
      <c r="R1326" s="2">
        <v>2515.5711714488543</v>
      </c>
      <c r="S1326" s="2">
        <v>978.85663639131417</v>
      </c>
      <c r="T1326" s="2">
        <v>1.5665090086583007</v>
      </c>
      <c r="U1326" s="2">
        <v>13.457978159487993</v>
      </c>
      <c r="V1326" s="2">
        <v>2.1848738596909243</v>
      </c>
    </row>
    <row r="1327" spans="1:22" ht="15">
      <c r="A1327" s="2">
        <v>1326</v>
      </c>
      <c r="B1327" s="2" t="s">
        <v>78</v>
      </c>
      <c r="C1327" s="2" t="s">
        <v>81</v>
      </c>
      <c r="D1327" s="2">
        <v>950.57332423748448</v>
      </c>
      <c r="E1327" s="2">
        <v>807.72524408530444</v>
      </c>
      <c r="F1327" s="2">
        <v>605.60324536636472</v>
      </c>
      <c r="G1327" s="2">
        <v>134.01289835572243</v>
      </c>
      <c r="H1327" s="2">
        <v>19.321424583438784</v>
      </c>
      <c r="I1327" s="2">
        <v>0.84551713950466367</v>
      </c>
      <c r="J1327" s="2">
        <v>6</v>
      </c>
      <c r="K1327" s="2">
        <v>187.37513406969822</v>
      </c>
      <c r="L1327" s="2">
        <v>16125</v>
      </c>
      <c r="M1327" s="2">
        <v>1200</v>
      </c>
      <c r="N1327" s="2">
        <v>250.00823326461244</v>
      </c>
      <c r="O1327" s="2">
        <v>2502.5206145886032</v>
      </c>
      <c r="P1327" s="2">
        <v>950.57332423748448</v>
      </c>
      <c r="Q1327" s="2">
        <v>248.59010107399666</v>
      </c>
      <c r="R1327" s="2">
        <v>2510.1952364076728</v>
      </c>
      <c r="S1327" s="2">
        <v>954.83038272085298</v>
      </c>
      <c r="T1327" s="2">
        <v>-1.4181321906157791</v>
      </c>
      <c r="U1327" s="2">
        <v>7.6746218190696709</v>
      </c>
      <c r="V1327" s="2">
        <v>4.2570584833684961</v>
      </c>
    </row>
    <row r="1328" spans="1:22" ht="15">
      <c r="A1328" s="2">
        <v>1327</v>
      </c>
      <c r="B1328" s="2" t="s">
        <v>78</v>
      </c>
      <c r="C1328" s="2" t="s">
        <v>81</v>
      </c>
      <c r="D1328" s="2">
        <v>972.81805968377739</v>
      </c>
      <c r="E1328" s="2">
        <v>886.88978712307289</v>
      </c>
      <c r="F1328" s="2">
        <v>673.91090169548988</v>
      </c>
      <c r="G1328" s="2">
        <v>260.04492152249441</v>
      </c>
      <c r="H1328" s="2">
        <v>15.217251642607152</v>
      </c>
      <c r="I1328" s="2">
        <v>0.79949424659600488</v>
      </c>
      <c r="J1328" s="2">
        <v>7</v>
      </c>
      <c r="K1328" s="2">
        <v>173.82740290872829</v>
      </c>
      <c r="L1328" s="2">
        <v>11745</v>
      </c>
      <c r="M1328" s="2">
        <v>1195</v>
      </c>
      <c r="N1328" s="2">
        <v>250.00075887353623</v>
      </c>
      <c r="O1328" s="2">
        <v>2494.9603418566385</v>
      </c>
      <c r="P1328" s="2">
        <v>972.81805968377739</v>
      </c>
      <c r="Q1328" s="2">
        <v>250.50128046471076</v>
      </c>
      <c r="R1328" s="2">
        <v>2467.9360914397639</v>
      </c>
      <c r="S1328" s="2">
        <v>970.1382710603923</v>
      </c>
      <c r="T1328" s="2">
        <v>0.50052159117453243</v>
      </c>
      <c r="U1328" s="2">
        <v>-27.024250416874565</v>
      </c>
      <c r="V1328" s="2">
        <v>-2.6797886233850932</v>
      </c>
    </row>
    <row r="1329" spans="1:22" ht="15">
      <c r="A1329" s="2">
        <v>1328</v>
      </c>
      <c r="B1329" s="2" t="s">
        <v>78</v>
      </c>
      <c r="C1329" s="2" t="s">
        <v>81</v>
      </c>
      <c r="D1329" s="2">
        <v>1028.4368995460682</v>
      </c>
      <c r="E1329" s="2">
        <v>884.38416514545679</v>
      </c>
      <c r="F1329" s="2">
        <v>507.49718388542533</v>
      </c>
      <c r="G1329" s="2">
        <v>139.0212979586795</v>
      </c>
      <c r="H1329" s="2">
        <v>28.680146449711174</v>
      </c>
      <c r="I1329" s="2">
        <v>0.84715404829941698</v>
      </c>
      <c r="J1329" s="2">
        <v>7</v>
      </c>
      <c r="K1329" s="2">
        <v>173.4272029661395</v>
      </c>
      <c r="L1329" s="2">
        <v>13970</v>
      </c>
      <c r="M1329" s="2">
        <v>1200</v>
      </c>
      <c r="N1329" s="2">
        <v>250.01125187556539</v>
      </c>
      <c r="O1329" s="2">
        <v>2503.7116904886552</v>
      </c>
      <c r="P1329" s="2">
        <v>1028.4368995460682</v>
      </c>
      <c r="Q1329" s="2">
        <v>246.74968184565563</v>
      </c>
      <c r="R1329" s="2">
        <v>2540.6421486443592</v>
      </c>
      <c r="S1329" s="2">
        <v>1016.4851222408975</v>
      </c>
      <c r="T1329" s="2">
        <v>-3.2615700299097625</v>
      </c>
      <c r="U1329" s="2">
        <v>36.930458155703946</v>
      </c>
      <c r="V1329" s="2">
        <v>-11.951777305170708</v>
      </c>
    </row>
    <row r="1330" spans="1:22" ht="15">
      <c r="A1330" s="2">
        <v>1329</v>
      </c>
      <c r="B1330" s="2" t="s">
        <v>78</v>
      </c>
      <c r="C1330" s="2" t="s">
        <v>81</v>
      </c>
      <c r="D1330" s="2">
        <v>995.13519601896405</v>
      </c>
      <c r="E1330" s="2">
        <v>1239.4425356178544</v>
      </c>
      <c r="F1330" s="2">
        <v>590.02676401287317</v>
      </c>
      <c r="G1330" s="2">
        <v>232.37232303479686</v>
      </c>
      <c r="H1330" s="2">
        <v>16.801450984552503</v>
      </c>
      <c r="I1330" s="2">
        <v>0.7912522289087065</v>
      </c>
      <c r="J1330" s="2">
        <v>7</v>
      </c>
      <c r="K1330" s="2">
        <v>179.66732435739459</v>
      </c>
      <c r="L1330" s="2">
        <v>10370</v>
      </c>
      <c r="M1330" s="2">
        <v>1195</v>
      </c>
      <c r="N1330" s="2">
        <v>249.94785242577183</v>
      </c>
      <c r="O1330" s="2">
        <v>2496.3573824853029</v>
      </c>
      <c r="P1330" s="2">
        <v>995.13519601896405</v>
      </c>
      <c r="Q1330" s="2">
        <v>255.03426066480981</v>
      </c>
      <c r="R1330" s="2">
        <v>2543.0671103596037</v>
      </c>
      <c r="S1330" s="2">
        <v>991.79749037006513</v>
      </c>
      <c r="T1330" s="2">
        <v>5.0864082390379792</v>
      </c>
      <c r="U1330" s="2">
        <v>46.709727874300825</v>
      </c>
      <c r="V1330" s="2">
        <v>-3.3377056488989183</v>
      </c>
    </row>
    <row r="1331" spans="1:22" ht="15">
      <c r="A1331" s="2">
        <v>1330</v>
      </c>
      <c r="B1331" s="2" t="s">
        <v>78</v>
      </c>
      <c r="C1331" s="2" t="s">
        <v>81</v>
      </c>
      <c r="D1331" s="2">
        <v>1012.149310822133</v>
      </c>
      <c r="E1331" s="2">
        <v>1107.0277628721669</v>
      </c>
      <c r="F1331" s="2">
        <v>682.57783139124513</v>
      </c>
      <c r="G1331" s="2">
        <v>210.76481339521706</v>
      </c>
      <c r="H1331" s="2">
        <v>17.682962686289102</v>
      </c>
      <c r="I1331" s="2">
        <v>0.81755101608578118</v>
      </c>
      <c r="J1331" s="2">
        <v>7</v>
      </c>
      <c r="K1331" s="2">
        <v>176.86083907172934</v>
      </c>
      <c r="L1331" s="2">
        <v>10690</v>
      </c>
      <c r="M1331" s="2">
        <v>1195</v>
      </c>
      <c r="N1331" s="2">
        <v>249.97898169394998</v>
      </c>
      <c r="O1331" s="2">
        <v>2496.0010372328247</v>
      </c>
      <c r="P1331" s="2">
        <v>1012.149310822133</v>
      </c>
      <c r="Q1331" s="2">
        <v>254.51047139679974</v>
      </c>
      <c r="R1331" s="2">
        <v>2509.1831758471349</v>
      </c>
      <c r="S1331" s="2">
        <v>1004.3567793518918</v>
      </c>
      <c r="T1331" s="2">
        <v>4.5314897028497683</v>
      </c>
      <c r="U1331" s="2">
        <v>13.182138614310134</v>
      </c>
      <c r="V1331" s="2">
        <v>-7.7925314702412152</v>
      </c>
    </row>
    <row r="1332" spans="1:22" ht="15">
      <c r="A1332" s="2">
        <v>1331</v>
      </c>
      <c r="B1332" s="2" t="s">
        <v>78</v>
      </c>
      <c r="C1332" s="2" t="s">
        <v>81</v>
      </c>
      <c r="D1332" s="2">
        <v>992.35317984130234</v>
      </c>
      <c r="E1332" s="2">
        <v>869.03733868384734</v>
      </c>
      <c r="F1332" s="2">
        <v>398.99502359330654</v>
      </c>
      <c r="G1332" s="2">
        <v>290.04614856792614</v>
      </c>
      <c r="H1332" s="2">
        <v>18.952657801099122</v>
      </c>
      <c r="I1332" s="2">
        <v>0.84701776792062455</v>
      </c>
      <c r="J1332" s="2">
        <v>6</v>
      </c>
      <c r="K1332" s="2">
        <v>195.26414073490398</v>
      </c>
      <c r="L1332" s="2">
        <v>16015</v>
      </c>
      <c r="M1332" s="2">
        <v>1200</v>
      </c>
      <c r="N1332" s="2">
        <v>250.02573779411753</v>
      </c>
      <c r="O1332" s="2">
        <v>2502.5741885377124</v>
      </c>
      <c r="P1332" s="2">
        <v>992.35317984130234</v>
      </c>
      <c r="Q1332" s="2">
        <v>250.77319023347104</v>
      </c>
      <c r="R1332" s="2">
        <v>2477.4386966638508</v>
      </c>
      <c r="S1332" s="2">
        <v>993.69830889773266</v>
      </c>
      <c r="T1332" s="2">
        <v>0.74745243935350913</v>
      </c>
      <c r="U1332" s="2">
        <v>-25.135491873861611</v>
      </c>
      <c r="V1332" s="2">
        <v>1.3451290564303235</v>
      </c>
    </row>
    <row r="1333" spans="1:22" ht="15">
      <c r="A1333" s="2">
        <v>1332</v>
      </c>
      <c r="B1333" s="2" t="s">
        <v>78</v>
      </c>
      <c r="C1333" s="2" t="s">
        <v>81</v>
      </c>
      <c r="D1333" s="2">
        <v>972.03380925348029</v>
      </c>
      <c r="E1333" s="2">
        <v>1084.2839958611876</v>
      </c>
      <c r="F1333" s="2">
        <v>517.17232344672084</v>
      </c>
      <c r="G1333" s="2">
        <v>208.82021383848041</v>
      </c>
      <c r="H1333" s="2">
        <v>10.24017110420391</v>
      </c>
      <c r="I1333" s="2">
        <v>0.796365928594023</v>
      </c>
      <c r="J1333" s="2">
        <v>7</v>
      </c>
      <c r="K1333" s="2">
        <v>174.36955520643224</v>
      </c>
      <c r="L1333" s="2">
        <v>11815</v>
      </c>
      <c r="M1333" s="2">
        <v>1195</v>
      </c>
      <c r="N1333" s="2">
        <v>250.03085599034586</v>
      </c>
      <c r="O1333" s="2">
        <v>2494.89907349744</v>
      </c>
      <c r="P1333" s="2">
        <v>972.03380925348029</v>
      </c>
      <c r="Q1333" s="2">
        <v>250.80976383624514</v>
      </c>
      <c r="R1333" s="2">
        <v>2551.4880573387513</v>
      </c>
      <c r="S1333" s="2">
        <v>970.10678803960536</v>
      </c>
      <c r="T1333" s="2">
        <v>0.7789078458992833</v>
      </c>
      <c r="U1333" s="2">
        <v>56.588983841311347</v>
      </c>
      <c r="V1333" s="2">
        <v>-1.927021213874923</v>
      </c>
    </row>
    <row r="1334" spans="1:22" ht="15">
      <c r="A1334" s="2">
        <v>1333</v>
      </c>
      <c r="B1334" s="2" t="s">
        <v>78</v>
      </c>
      <c r="C1334" s="2" t="s">
        <v>81</v>
      </c>
      <c r="D1334" s="2">
        <v>958.53510689921677</v>
      </c>
      <c r="E1334" s="2">
        <v>1181.6269971313886</v>
      </c>
      <c r="F1334" s="2">
        <v>399.75034277886152</v>
      </c>
      <c r="G1334" s="2">
        <v>319.83823350863531</v>
      </c>
      <c r="H1334" s="2">
        <v>11.92901998758316</v>
      </c>
      <c r="I1334" s="2">
        <v>0.84469013219932099</v>
      </c>
      <c r="J1334" s="2">
        <v>6</v>
      </c>
      <c r="K1334" s="2">
        <v>189.12953408596462</v>
      </c>
      <c r="L1334" s="2">
        <v>13125</v>
      </c>
      <c r="M1334" s="2">
        <v>1200</v>
      </c>
      <c r="N1334" s="2">
        <v>250.0339293127557</v>
      </c>
      <c r="O1334" s="2">
        <v>2504.2863052251305</v>
      </c>
      <c r="P1334" s="2">
        <v>958.53510689921677</v>
      </c>
      <c r="Q1334" s="2">
        <v>255.84554888584958</v>
      </c>
      <c r="R1334" s="2">
        <v>2508.9578180406002</v>
      </c>
      <c r="S1334" s="2">
        <v>960.04966054919237</v>
      </c>
      <c r="T1334" s="2">
        <v>5.8116195730938784</v>
      </c>
      <c r="U1334" s="2">
        <v>4.6715128154696686</v>
      </c>
      <c r="V1334" s="2">
        <v>1.5145536499755963</v>
      </c>
    </row>
    <row r="1335" spans="1:22" ht="15">
      <c r="A1335" s="2">
        <v>1334</v>
      </c>
      <c r="B1335" s="2" t="s">
        <v>78</v>
      </c>
      <c r="C1335" s="2" t="s">
        <v>81</v>
      </c>
      <c r="D1335" s="2">
        <v>980.4890678380616</v>
      </c>
      <c r="E1335" s="2">
        <v>821.2311634561047</v>
      </c>
      <c r="F1335" s="2">
        <v>630.48981847241521</v>
      </c>
      <c r="G1335" s="2">
        <v>85.949991289526224</v>
      </c>
      <c r="H1335" s="2">
        <v>27.207600882742554</v>
      </c>
      <c r="I1335" s="2">
        <v>0.83789540780242533</v>
      </c>
      <c r="J1335" s="2">
        <v>6</v>
      </c>
      <c r="K1335" s="2">
        <v>195.03012323252872</v>
      </c>
      <c r="L1335" s="2">
        <v>16225</v>
      </c>
      <c r="M1335" s="2">
        <v>1200</v>
      </c>
      <c r="N1335" s="2">
        <v>249.9866730540358</v>
      </c>
      <c r="O1335" s="2">
        <v>2502.4723630879685</v>
      </c>
      <c r="P1335" s="2">
        <v>980.4890678380616</v>
      </c>
      <c r="Q1335" s="2">
        <v>249.4754588593724</v>
      </c>
      <c r="R1335" s="2">
        <v>2471.9511862239224</v>
      </c>
      <c r="S1335" s="2">
        <v>971.26467062747759</v>
      </c>
      <c r="T1335" s="2">
        <v>-0.51121419466340967</v>
      </c>
      <c r="U1335" s="2">
        <v>-30.521176864046083</v>
      </c>
      <c r="V1335" s="2">
        <v>-9.2243972105840157</v>
      </c>
    </row>
    <row r="1336" spans="1:22" ht="15">
      <c r="A1336" s="2">
        <v>1335</v>
      </c>
      <c r="B1336" s="2" t="s">
        <v>79</v>
      </c>
      <c r="C1336" s="2" t="s">
        <v>81</v>
      </c>
      <c r="D1336" s="2">
        <v>993.58464863616973</v>
      </c>
      <c r="E1336" s="2">
        <v>1131.6190375131555</v>
      </c>
      <c r="F1336" s="2">
        <v>492.68354922533035</v>
      </c>
      <c r="G1336" s="2">
        <v>98.25092633953318</v>
      </c>
      <c r="H1336" s="2">
        <v>24.032042811624706</v>
      </c>
      <c r="I1336" s="2">
        <v>0.80671891141450036</v>
      </c>
      <c r="J1336" s="2">
        <v>7</v>
      </c>
      <c r="K1336" s="2">
        <v>175.94810544605025</v>
      </c>
      <c r="L1336" s="2">
        <v>12415</v>
      </c>
      <c r="M1336" s="2">
        <v>1200</v>
      </c>
      <c r="N1336" s="2">
        <v>249.99709406084409</v>
      </c>
      <c r="O1336" s="2">
        <v>2504.8273285103296</v>
      </c>
      <c r="P1336" s="2">
        <v>993.58464863616973</v>
      </c>
      <c r="Q1336" s="2">
        <v>246.73355827131601</v>
      </c>
      <c r="R1336" s="2">
        <v>2544.2711057633087</v>
      </c>
      <c r="S1336" s="2">
        <v>990.0540437899806</v>
      </c>
      <c r="T1336" s="2">
        <v>-3.2635357895280777</v>
      </c>
      <c r="U1336" s="2">
        <v>39.443777252979089</v>
      </c>
      <c r="V1336" s="2">
        <v>-3.5306048461891351</v>
      </c>
    </row>
    <row r="1337" spans="1:22" ht="15">
      <c r="A1337" s="2">
        <v>1336</v>
      </c>
      <c r="B1337" s="2" t="s">
        <v>79</v>
      </c>
      <c r="C1337" s="2" t="s">
        <v>81</v>
      </c>
      <c r="D1337" s="2">
        <v>1042.7973440731876</v>
      </c>
      <c r="E1337" s="2">
        <v>1183.065679948777</v>
      </c>
      <c r="F1337" s="2">
        <v>475.76056635007262</v>
      </c>
      <c r="G1337" s="2">
        <v>143.206902355887</v>
      </c>
      <c r="H1337" s="2">
        <v>10.478161489125341</v>
      </c>
      <c r="I1337" s="2">
        <v>0.82482876014895745</v>
      </c>
      <c r="J1337" s="2">
        <v>7</v>
      </c>
      <c r="K1337" s="2">
        <v>180.60845638603766</v>
      </c>
      <c r="L1337" s="2">
        <v>11870</v>
      </c>
      <c r="M1337" s="2">
        <v>1195</v>
      </c>
      <c r="N1337" s="2">
        <v>250.05092356376272</v>
      </c>
      <c r="O1337" s="2">
        <v>2494.8512870509285</v>
      </c>
      <c r="P1337" s="2">
        <v>1042.7973440731876</v>
      </c>
      <c r="Q1337" s="2">
        <v>254.61043412794629</v>
      </c>
      <c r="R1337" s="2">
        <v>2550.3541680451508</v>
      </c>
      <c r="S1337" s="2">
        <v>1043.558993528409</v>
      </c>
      <c r="T1337" s="2">
        <v>4.5595105641835687</v>
      </c>
      <c r="U1337" s="2">
        <v>55.502880994222323</v>
      </c>
      <c r="V1337" s="2">
        <v>0.76164945522145899</v>
      </c>
    </row>
    <row r="1338" spans="1:22" ht="15">
      <c r="A1338" s="2">
        <v>1337</v>
      </c>
      <c r="B1338" s="2" t="s">
        <v>79</v>
      </c>
      <c r="C1338" s="2" t="s">
        <v>81</v>
      </c>
      <c r="D1338" s="2">
        <v>953.00448648631573</v>
      </c>
      <c r="E1338" s="2">
        <v>939.20826598769054</v>
      </c>
      <c r="F1338" s="2">
        <v>499.1614418104291</v>
      </c>
      <c r="G1338" s="2">
        <v>232.09793351823464</v>
      </c>
      <c r="H1338" s="2">
        <v>18.718966079875827</v>
      </c>
      <c r="I1338" s="2">
        <v>0.83520600226940589</v>
      </c>
      <c r="J1338" s="2">
        <v>6</v>
      </c>
      <c r="K1338" s="2">
        <v>190.17353880296798</v>
      </c>
      <c r="L1338" s="2">
        <v>14935</v>
      </c>
      <c r="M1338" s="2">
        <v>1200</v>
      </c>
      <c r="N1338" s="2">
        <v>249.98374698031492</v>
      </c>
      <c r="O1338" s="2">
        <v>2503.1349653431116</v>
      </c>
      <c r="P1338" s="2">
        <v>953.00448648631573</v>
      </c>
      <c r="Q1338" s="2">
        <v>250.60783555918394</v>
      </c>
      <c r="R1338" s="2">
        <v>2498.2095040198424</v>
      </c>
      <c r="S1338" s="2">
        <v>955.52773085379079</v>
      </c>
      <c r="T1338" s="2">
        <v>0.62408857886902069</v>
      </c>
      <c r="U1338" s="2">
        <v>-4.9254613232692463</v>
      </c>
      <c r="V1338" s="2">
        <v>2.5232443674750584</v>
      </c>
    </row>
    <row r="1339" spans="1:22" ht="15">
      <c r="A1339" s="2">
        <v>1338</v>
      </c>
      <c r="B1339" s="2" t="s">
        <v>80</v>
      </c>
      <c r="C1339" s="2" t="s">
        <v>81</v>
      </c>
      <c r="D1339" s="2">
        <v>999.79162091622129</v>
      </c>
      <c r="E1339" s="2">
        <v>960.60166640672833</v>
      </c>
      <c r="F1339" s="2">
        <v>652.90451804175973</v>
      </c>
      <c r="G1339" s="2">
        <v>228.32540578208864</v>
      </c>
      <c r="H1339" s="2">
        <v>21.646725338418037</v>
      </c>
      <c r="I1339" s="2">
        <v>0.8303690817253665</v>
      </c>
      <c r="J1339" s="2">
        <v>7</v>
      </c>
      <c r="K1339" s="2">
        <v>172.00468750574373</v>
      </c>
      <c r="L1339" s="2">
        <v>11610</v>
      </c>
      <c r="M1339" s="2">
        <v>1195</v>
      </c>
      <c r="N1339" s="2">
        <v>249.97559709136874</v>
      </c>
      <c r="O1339" s="2">
        <v>2495.0819964278289</v>
      </c>
      <c r="P1339" s="2">
        <v>999.79162091622129</v>
      </c>
      <c r="Q1339" s="2">
        <v>252.04576918625597</v>
      </c>
      <c r="R1339" s="2">
        <v>2544.6220299581369</v>
      </c>
      <c r="S1339" s="2">
        <v>997.44745446460104</v>
      </c>
      <c r="T1339" s="2">
        <v>2.0701720948872264</v>
      </c>
      <c r="U1339" s="2">
        <v>49.540033530307937</v>
      </c>
      <c r="V1339" s="2">
        <v>-2.3441664516202536</v>
      </c>
    </row>
    <row r="1340" spans="1:22" ht="15">
      <c r="A1340" s="2">
        <v>1339</v>
      </c>
      <c r="B1340" s="2" t="s">
        <v>80</v>
      </c>
      <c r="C1340" s="2" t="s">
        <v>81</v>
      </c>
      <c r="D1340" s="2">
        <v>1069.2970496369526</v>
      </c>
      <c r="E1340" s="2">
        <v>1063.4809591458179</v>
      </c>
      <c r="F1340" s="2">
        <v>686.59469224512577</v>
      </c>
      <c r="G1340" s="2">
        <v>314.08531694440171</v>
      </c>
      <c r="H1340" s="2">
        <v>23.065940865315497</v>
      </c>
      <c r="I1340" s="2">
        <v>0.84222106489120052</v>
      </c>
      <c r="J1340" s="2">
        <v>7</v>
      </c>
      <c r="K1340" s="2">
        <v>181.37366511539446</v>
      </c>
      <c r="L1340" s="2">
        <v>10360</v>
      </c>
      <c r="M1340" s="2">
        <v>1195</v>
      </c>
      <c r="N1340" s="2">
        <v>249.98789617352352</v>
      </c>
      <c r="O1340" s="2">
        <v>2496.3708276045863</v>
      </c>
      <c r="P1340" s="2">
        <v>1069.2970496369526</v>
      </c>
      <c r="Q1340" s="2">
        <v>249.47225281491021</v>
      </c>
      <c r="R1340" s="2">
        <v>2525.247000618951</v>
      </c>
      <c r="S1340" s="2">
        <v>1057.7893245504829</v>
      </c>
      <c r="T1340" s="2">
        <v>-0.51564335861331756</v>
      </c>
      <c r="U1340" s="2">
        <v>28.876173014364667</v>
      </c>
      <c r="V1340" s="2">
        <v>-11.507725086469691</v>
      </c>
    </row>
    <row r="1341" spans="1:22" ht="15">
      <c r="A1341" s="2">
        <v>1340</v>
      </c>
      <c r="B1341" s="2" t="s">
        <v>80</v>
      </c>
      <c r="C1341" s="2" t="s">
        <v>81</v>
      </c>
      <c r="D1341" s="2">
        <v>1051.3990600011311</v>
      </c>
      <c r="E1341" s="2">
        <v>1058.2871745806187</v>
      </c>
      <c r="F1341" s="2">
        <v>573.20799184963107</v>
      </c>
      <c r="G1341" s="2">
        <v>190.66293518524617</v>
      </c>
      <c r="H1341" s="2">
        <v>10.746146928053349</v>
      </c>
      <c r="I1341" s="2">
        <v>0.8135738153755665</v>
      </c>
      <c r="J1341" s="2">
        <v>7</v>
      </c>
      <c r="K1341" s="2">
        <v>184.61737936478596</v>
      </c>
      <c r="L1341" s="2">
        <v>11735</v>
      </c>
      <c r="M1341" s="2">
        <v>1195</v>
      </c>
      <c r="N1341" s="2">
        <v>249.96783910455815</v>
      </c>
      <c r="O1341" s="2">
        <v>2494.9679502963691</v>
      </c>
      <c r="P1341" s="2">
        <v>1051.3990600011311</v>
      </c>
      <c r="Q1341" s="2">
        <v>251.44692614345655</v>
      </c>
      <c r="R1341" s="2">
        <v>2545.3563232680572</v>
      </c>
      <c r="S1341" s="2">
        <v>1051.0455348988839</v>
      </c>
      <c r="T1341" s="2">
        <v>1.479087038898399</v>
      </c>
      <c r="U1341" s="2">
        <v>50.388372971688113</v>
      </c>
      <c r="V1341" s="2">
        <v>-0.3535251022472039</v>
      </c>
    </row>
    <row r="1342" spans="1:22" ht="15">
      <c r="A1342" s="2">
        <v>1341</v>
      </c>
      <c r="B1342" s="2" t="s">
        <v>78</v>
      </c>
      <c r="C1342" s="2" t="s">
        <v>81</v>
      </c>
      <c r="D1342" s="2">
        <v>1014.0688355546445</v>
      </c>
      <c r="E1342" s="2">
        <v>876.95109219057485</v>
      </c>
      <c r="F1342" s="2">
        <v>639.33704551309347</v>
      </c>
      <c r="G1342" s="2">
        <v>105.06866940530017</v>
      </c>
      <c r="H1342" s="2">
        <v>28.764378841966391</v>
      </c>
      <c r="I1342" s="2">
        <v>0.85008997116470719</v>
      </c>
      <c r="J1342" s="2">
        <v>6</v>
      </c>
      <c r="K1342" s="2">
        <v>198.81598221995063</v>
      </c>
      <c r="L1342" s="2">
        <v>15390</v>
      </c>
      <c r="M1342" s="2">
        <v>1200</v>
      </c>
      <c r="N1342" s="2">
        <v>250.02651650530171</v>
      </c>
      <c r="O1342" s="2">
        <v>2502.8899219247505</v>
      </c>
      <c r="P1342" s="2">
        <v>1014.0688355546445</v>
      </c>
      <c r="Q1342" s="2">
        <v>247.85693419151306</v>
      </c>
      <c r="R1342" s="2">
        <v>2467.6903643119349</v>
      </c>
      <c r="S1342" s="2">
        <v>1006.5311307862756</v>
      </c>
      <c r="T1342" s="2">
        <v>-2.1695823137886521</v>
      </c>
      <c r="U1342" s="2">
        <v>-35.199557612815624</v>
      </c>
      <c r="V1342" s="2">
        <v>-7.5377047683688261</v>
      </c>
    </row>
    <row r="1343" spans="1:22" ht="15">
      <c r="A1343" s="2">
        <v>1342</v>
      </c>
      <c r="B1343" s="2" t="s">
        <v>78</v>
      </c>
      <c r="C1343" s="2" t="s">
        <v>81</v>
      </c>
      <c r="D1343" s="2">
        <v>1056.4745854702778</v>
      </c>
      <c r="E1343" s="2">
        <v>1227.423810469918</v>
      </c>
      <c r="F1343" s="2">
        <v>732.5025369413197</v>
      </c>
      <c r="G1343" s="2">
        <v>286.08089957386255</v>
      </c>
      <c r="H1343" s="2">
        <v>18.41745555633679</v>
      </c>
      <c r="I1343" s="2">
        <v>0.81037447649519889</v>
      </c>
      <c r="J1343" s="2">
        <v>7</v>
      </c>
      <c r="K1343" s="2">
        <v>186.24098507421641</v>
      </c>
      <c r="L1343" s="2">
        <v>9520</v>
      </c>
      <c r="M1343" s="2">
        <v>1195</v>
      </c>
      <c r="N1343" s="2">
        <v>249.95602823495764</v>
      </c>
      <c r="O1343" s="2">
        <v>2497.424980480374</v>
      </c>
      <c r="P1343" s="2">
        <v>1056.4745854702778</v>
      </c>
      <c r="Q1343" s="2">
        <v>252.5714796075859</v>
      </c>
      <c r="R1343" s="2">
        <v>2519.0992168966636</v>
      </c>
      <c r="S1343" s="2">
        <v>1041.8918787395639</v>
      </c>
      <c r="T1343" s="2">
        <v>2.6154513726282573</v>
      </c>
      <c r="U1343" s="2">
        <v>21.674236416289659</v>
      </c>
      <c r="V1343" s="2">
        <v>-14.58270673071388</v>
      </c>
    </row>
    <row r="1344" spans="1:22" ht="15">
      <c r="A1344" s="2">
        <v>1343</v>
      </c>
      <c r="B1344" s="2" t="s">
        <v>78</v>
      </c>
      <c r="C1344" s="2" t="s">
        <v>81</v>
      </c>
      <c r="D1344" s="2">
        <v>988.99138944689184</v>
      </c>
      <c r="E1344" s="2">
        <v>721.02689548628405</v>
      </c>
      <c r="F1344" s="2">
        <v>686.4021472632885</v>
      </c>
      <c r="G1344" s="2">
        <v>254.12538401549682</v>
      </c>
      <c r="H1344" s="2">
        <v>18.018394148908556</v>
      </c>
      <c r="I1344" s="2">
        <v>0.80499975086888298</v>
      </c>
      <c r="J1344" s="2">
        <v>7</v>
      </c>
      <c r="K1344" s="2">
        <v>175.50873034954643</v>
      </c>
      <c r="L1344" s="2">
        <v>12870</v>
      </c>
      <c r="M1344" s="2">
        <v>1200</v>
      </c>
      <c r="N1344" s="2">
        <v>249.98177948191699</v>
      </c>
      <c r="O1344" s="2">
        <v>2504.4722406290844</v>
      </c>
      <c r="P1344" s="2">
        <v>988.99138944689184</v>
      </c>
      <c r="Q1344" s="2">
        <v>248.96561015353294</v>
      </c>
      <c r="R1344" s="2">
        <v>2467.0243635533234</v>
      </c>
      <c r="S1344" s="2">
        <v>986.75928086362148</v>
      </c>
      <c r="T1344" s="2">
        <v>-1.0161693283840521</v>
      </c>
      <c r="U1344" s="2">
        <v>-37.447877075760971</v>
      </c>
      <c r="V1344" s="2">
        <v>-2.2321085832703602</v>
      </c>
    </row>
    <row r="1345" spans="1:22" ht="15">
      <c r="A1345" s="2">
        <v>1344</v>
      </c>
      <c r="B1345" s="2" t="s">
        <v>78</v>
      </c>
      <c r="C1345" s="2" t="s">
        <v>81</v>
      </c>
      <c r="D1345" s="2">
        <v>979.7192761558108</v>
      </c>
      <c r="E1345" s="2">
        <v>658.73160324990749</v>
      </c>
      <c r="F1345" s="2">
        <v>580.98075976595283</v>
      </c>
      <c r="G1345" s="2">
        <v>169.73538235295564</v>
      </c>
      <c r="H1345" s="2">
        <v>16.476868109311908</v>
      </c>
      <c r="I1345" s="2">
        <v>0.79026456120423971</v>
      </c>
      <c r="J1345" s="2">
        <v>7</v>
      </c>
      <c r="K1345" s="2">
        <v>177.10511576073998</v>
      </c>
      <c r="L1345" s="2">
        <v>15175</v>
      </c>
      <c r="M1345" s="2">
        <v>1200</v>
      </c>
      <c r="N1345" s="2">
        <v>250.0303636734852</v>
      </c>
      <c r="O1345" s="2">
        <v>2503.004677215341</v>
      </c>
      <c r="P1345" s="2">
        <v>979.7192761558108</v>
      </c>
      <c r="Q1345" s="2">
        <v>247.90686359265263</v>
      </c>
      <c r="R1345" s="2">
        <v>2510.2222633936003</v>
      </c>
      <c r="S1345" s="2">
        <v>988.22944687324514</v>
      </c>
      <c r="T1345" s="2">
        <v>-2.1235000808325708</v>
      </c>
      <c r="U1345" s="2">
        <v>7.2175861782593529</v>
      </c>
      <c r="V1345" s="2">
        <v>8.5101707174343346</v>
      </c>
    </row>
    <row r="1346" spans="1:22" ht="15">
      <c r="A1346" s="2">
        <v>1345</v>
      </c>
      <c r="B1346" s="2" t="s">
        <v>78</v>
      </c>
      <c r="C1346" s="2" t="s">
        <v>81</v>
      </c>
      <c r="D1346" s="2">
        <v>1007.1606907062232</v>
      </c>
      <c r="E1346" s="2">
        <v>1181.1345461173914</v>
      </c>
      <c r="F1346" s="2">
        <v>370.81245128065348</v>
      </c>
      <c r="G1346" s="2">
        <v>167.43444929132238</v>
      </c>
      <c r="H1346" s="2">
        <v>19.943679580464959</v>
      </c>
      <c r="I1346" s="2">
        <v>0.8423319008504041</v>
      </c>
      <c r="J1346" s="2">
        <v>6</v>
      </c>
      <c r="K1346" s="2">
        <v>199.2802539571814</v>
      </c>
      <c r="L1346" s="2">
        <v>14510</v>
      </c>
      <c r="M1346" s="2">
        <v>1200</v>
      </c>
      <c r="N1346" s="2">
        <v>249.98169061389439</v>
      </c>
      <c r="O1346" s="2">
        <v>2503.3790256664015</v>
      </c>
      <c r="P1346" s="2">
        <v>1007.1606907062232</v>
      </c>
      <c r="Q1346" s="2">
        <v>251.96191380148721</v>
      </c>
      <c r="R1346" s="2">
        <v>2571.1142114031195</v>
      </c>
      <c r="S1346" s="2">
        <v>998.89365204477315</v>
      </c>
      <c r="T1346" s="2">
        <v>1.9802231875928271</v>
      </c>
      <c r="U1346" s="2">
        <v>67.735185736717995</v>
      </c>
      <c r="V1346" s="2">
        <v>-8.2670386614501012</v>
      </c>
    </row>
    <row r="1347" spans="1:22" ht="15">
      <c r="A1347" s="2">
        <v>1346</v>
      </c>
      <c r="B1347" s="2" t="s">
        <v>78</v>
      </c>
      <c r="C1347" s="2" t="s">
        <v>81</v>
      </c>
      <c r="D1347" s="2">
        <v>1015.2184782200493</v>
      </c>
      <c r="E1347" s="2">
        <v>1132.4341683881357</v>
      </c>
      <c r="F1347" s="2">
        <v>650.0495039857924</v>
      </c>
      <c r="G1347" s="2">
        <v>326.90571264363825</v>
      </c>
      <c r="H1347" s="2">
        <v>11.551252775359899</v>
      </c>
      <c r="I1347" s="2">
        <v>0.84797082243952904</v>
      </c>
      <c r="J1347" s="2">
        <v>6</v>
      </c>
      <c r="K1347" s="2">
        <v>199.53879924377688</v>
      </c>
      <c r="L1347" s="2">
        <v>11830</v>
      </c>
      <c r="M1347" s="2">
        <v>1195</v>
      </c>
      <c r="N1347" s="2">
        <v>250.04018549463885</v>
      </c>
      <c r="O1347" s="2">
        <v>2494.886155070169</v>
      </c>
      <c r="P1347" s="2">
        <v>1015.2184782200493</v>
      </c>
      <c r="Q1347" s="2">
        <v>252.50175989981815</v>
      </c>
      <c r="R1347" s="2">
        <v>2558.4541873287258</v>
      </c>
      <c r="S1347" s="2">
        <v>1009.6884449459021</v>
      </c>
      <c r="T1347" s="2">
        <v>2.4615744051793058</v>
      </c>
      <c r="U1347" s="2">
        <v>63.568032258556741</v>
      </c>
      <c r="V1347" s="2">
        <v>-5.5300332741471721</v>
      </c>
    </row>
    <row r="1348" spans="1:22" ht="15">
      <c r="A1348" s="2">
        <v>1347</v>
      </c>
      <c r="B1348" s="2" t="s">
        <v>78</v>
      </c>
      <c r="C1348" s="2" t="s">
        <v>81</v>
      </c>
      <c r="D1348" s="2">
        <v>1050.957241258584</v>
      </c>
      <c r="E1348" s="2">
        <v>1195.4699417226948</v>
      </c>
      <c r="F1348" s="2">
        <v>447.34778515994549</v>
      </c>
      <c r="G1348" s="2">
        <v>277.825342125725</v>
      </c>
      <c r="H1348" s="2">
        <v>11.222455774433911</v>
      </c>
      <c r="I1348" s="2">
        <v>0.85806365684373309</v>
      </c>
      <c r="J1348" s="2">
        <v>7</v>
      </c>
      <c r="K1348" s="2">
        <v>174.97157414111123</v>
      </c>
      <c r="L1348" s="2">
        <v>11135</v>
      </c>
      <c r="M1348" s="2">
        <v>1195</v>
      </c>
      <c r="N1348" s="2">
        <v>250.00685565946097</v>
      </c>
      <c r="O1348" s="2">
        <v>2495.5388622356722</v>
      </c>
      <c r="P1348" s="2">
        <v>1050.957241258584</v>
      </c>
      <c r="Q1348" s="2">
        <v>250.49113515482222</v>
      </c>
      <c r="R1348" s="2">
        <v>2527.7211327835394</v>
      </c>
      <c r="S1348" s="2">
        <v>1052.27688611396</v>
      </c>
      <c r="T1348" s="2">
        <v>0.4842794953612497</v>
      </c>
      <c r="U1348" s="2">
        <v>32.18227054786712</v>
      </c>
      <c r="V1348" s="2">
        <v>1.3196448553760547</v>
      </c>
    </row>
    <row r="1349" spans="1:22" ht="15">
      <c r="A1349" s="2">
        <v>1348</v>
      </c>
      <c r="B1349" s="2" t="s">
        <v>78</v>
      </c>
      <c r="C1349" s="2" t="s">
        <v>81</v>
      </c>
      <c r="D1349" s="2">
        <v>1077.6091597392224</v>
      </c>
      <c r="E1349" s="2">
        <v>1128.7755419034511</v>
      </c>
      <c r="F1349" s="2">
        <v>634.51139954850078</v>
      </c>
      <c r="G1349" s="2">
        <v>99.850410870276392</v>
      </c>
      <c r="H1349" s="2">
        <v>13.647033921908587</v>
      </c>
      <c r="I1349" s="2">
        <v>0.797421146389097</v>
      </c>
      <c r="J1349" s="2">
        <v>7</v>
      </c>
      <c r="K1349" s="2">
        <v>193.05252484728518</v>
      </c>
      <c r="L1349" s="2">
        <v>11480</v>
      </c>
      <c r="M1349" s="2">
        <v>1195</v>
      </c>
      <c r="N1349" s="2">
        <v>250.03562295322433</v>
      </c>
      <c r="O1349" s="2">
        <v>2495.2055047588574</v>
      </c>
      <c r="P1349" s="2">
        <v>1077.6091597392224</v>
      </c>
      <c r="Q1349" s="2">
        <v>250.41990119790043</v>
      </c>
      <c r="R1349" s="2">
        <v>2562.5442541154516</v>
      </c>
      <c r="S1349" s="2">
        <v>1080.9840583585797</v>
      </c>
      <c r="T1349" s="2">
        <v>0.38427824467609639</v>
      </c>
      <c r="U1349" s="2">
        <v>67.338749356594235</v>
      </c>
      <c r="V1349" s="2">
        <v>3.3748986193572819</v>
      </c>
    </row>
    <row r="1350" spans="1:22" ht="15">
      <c r="A1350" s="2">
        <v>1349</v>
      </c>
      <c r="B1350" s="2" t="s">
        <v>78</v>
      </c>
      <c r="C1350" s="2" t="s">
        <v>81</v>
      </c>
      <c r="D1350" s="2">
        <v>1090.1165726128966</v>
      </c>
      <c r="E1350" s="2">
        <v>918.2342694955878</v>
      </c>
      <c r="F1350" s="2">
        <v>350.53927730768919</v>
      </c>
      <c r="G1350" s="2">
        <v>164.36735655413941</v>
      </c>
      <c r="H1350" s="2">
        <v>19.720303945243359</v>
      </c>
      <c r="I1350" s="2">
        <v>0.79673893692204734</v>
      </c>
      <c r="J1350" s="2">
        <v>7</v>
      </c>
      <c r="K1350" s="2">
        <v>195.46043468933183</v>
      </c>
      <c r="L1350" s="2">
        <v>14920</v>
      </c>
      <c r="M1350" s="2">
        <v>1200</v>
      </c>
      <c r="N1350" s="2">
        <v>249.96137819120594</v>
      </c>
      <c r="O1350" s="2">
        <v>2503.1425998266241</v>
      </c>
      <c r="P1350" s="2">
        <v>1090.1165726128966</v>
      </c>
      <c r="Q1350" s="2">
        <v>251.47013108173189</v>
      </c>
      <c r="R1350" s="2">
        <v>2483.5928063950596</v>
      </c>
      <c r="S1350" s="2">
        <v>1088.2701569662765</v>
      </c>
      <c r="T1350" s="2">
        <v>1.5087528905259546</v>
      </c>
      <c r="U1350" s="2">
        <v>-19.549793431564467</v>
      </c>
      <c r="V1350" s="2">
        <v>-1.8464156466200166</v>
      </c>
    </row>
    <row r="1351" spans="1:22" ht="15">
      <c r="A1351" s="2">
        <v>1350</v>
      </c>
      <c r="B1351" s="2" t="s">
        <v>78</v>
      </c>
      <c r="C1351" s="2" t="s">
        <v>81</v>
      </c>
      <c r="D1351" s="2">
        <v>950.47001308994368</v>
      </c>
      <c r="E1351" s="2">
        <v>1180.4445158457384</v>
      </c>
      <c r="F1351" s="2">
        <v>356.88142152503133</v>
      </c>
      <c r="G1351" s="2">
        <v>325.36946369335055</v>
      </c>
      <c r="H1351" s="2">
        <v>22.57026274362579</v>
      </c>
      <c r="I1351" s="2">
        <v>0.83386718356516221</v>
      </c>
      <c r="J1351" s="2">
        <v>6</v>
      </c>
      <c r="K1351" s="2">
        <v>189.97230250870635</v>
      </c>
      <c r="L1351" s="2">
        <v>13395</v>
      </c>
      <c r="M1351" s="2">
        <v>1200</v>
      </c>
      <c r="N1351" s="2">
        <v>250.00765130126959</v>
      </c>
      <c r="O1351" s="2">
        <v>2504.0941049731491</v>
      </c>
      <c r="P1351" s="2">
        <v>950.47001308994368</v>
      </c>
      <c r="Q1351" s="2">
        <v>252.66279954796659</v>
      </c>
      <c r="R1351" s="2">
        <v>2525.8472208525563</v>
      </c>
      <c r="S1351" s="2">
        <v>940.45950389617406</v>
      </c>
      <c r="T1351" s="2">
        <v>2.6551482466969958</v>
      </c>
      <c r="U1351" s="2">
        <v>21.753115879407233</v>
      </c>
      <c r="V1351" s="2">
        <v>-10.010509193769622</v>
      </c>
    </row>
    <row r="1352" spans="1:22" ht="15">
      <c r="A1352" s="2">
        <v>1351</v>
      </c>
      <c r="B1352" s="2" t="s">
        <v>78</v>
      </c>
      <c r="C1352" s="2" t="s">
        <v>81</v>
      </c>
      <c r="D1352" s="2">
        <v>1061.2491852836683</v>
      </c>
      <c r="E1352" s="2">
        <v>1187.3594738659449</v>
      </c>
      <c r="F1352" s="2">
        <v>707.95747339725494</v>
      </c>
      <c r="G1352" s="2">
        <v>116.14609682699665</v>
      </c>
      <c r="H1352" s="2">
        <v>20.393739583902061</v>
      </c>
      <c r="I1352" s="2">
        <v>0.81728214993840087</v>
      </c>
      <c r="J1352" s="2">
        <v>7</v>
      </c>
      <c r="K1352" s="2">
        <v>185.50145317687679</v>
      </c>
      <c r="L1352" s="2">
        <v>10630</v>
      </c>
      <c r="M1352" s="2">
        <v>1195</v>
      </c>
      <c r="N1352" s="2">
        <v>249.95442386078028</v>
      </c>
      <c r="O1352" s="2">
        <v>2496.0653406361234</v>
      </c>
      <c r="P1352" s="2">
        <v>1061.2491852836683</v>
      </c>
      <c r="Q1352" s="2">
        <v>251.76459043254701</v>
      </c>
      <c r="R1352" s="2">
        <v>2534.5880153415878</v>
      </c>
      <c r="S1352" s="2">
        <v>1055.6252072812485</v>
      </c>
      <c r="T1352" s="2">
        <v>1.8101665717667288</v>
      </c>
      <c r="U1352" s="2">
        <v>38.522674705464397</v>
      </c>
      <c r="V1352" s="2">
        <v>-5.6239780024197898</v>
      </c>
    </row>
    <row r="1353" spans="1:22" ht="15">
      <c r="A1353" s="2">
        <v>1352</v>
      </c>
      <c r="B1353" s="2" t="s">
        <v>78</v>
      </c>
      <c r="C1353" s="2" t="s">
        <v>81</v>
      </c>
      <c r="D1353" s="2">
        <v>976.59617037279531</v>
      </c>
      <c r="E1353" s="2">
        <v>928.89988319948316</v>
      </c>
      <c r="F1353" s="2">
        <v>584.78572433814406</v>
      </c>
      <c r="G1353" s="2">
        <v>81.394461491145194</v>
      </c>
      <c r="H1353" s="2">
        <v>23.402687666472048</v>
      </c>
      <c r="I1353" s="2">
        <v>0.79598668568767605</v>
      </c>
      <c r="J1353" s="2">
        <v>7</v>
      </c>
      <c r="K1353" s="2">
        <v>175.27144754205918</v>
      </c>
      <c r="L1353" s="2">
        <v>13405</v>
      </c>
      <c r="M1353" s="2">
        <v>1200</v>
      </c>
      <c r="N1353" s="2">
        <v>249.95666555038306</v>
      </c>
      <c r="O1353" s="2">
        <v>2504.0852800978305</v>
      </c>
      <c r="P1353" s="2">
        <v>976.59617037279531</v>
      </c>
      <c r="Q1353" s="2">
        <v>247.1423097876324</v>
      </c>
      <c r="R1353" s="2">
        <v>2496.6862116053417</v>
      </c>
      <c r="S1353" s="2">
        <v>977.89378267460336</v>
      </c>
      <c r="T1353" s="2">
        <v>-2.8143557627506652</v>
      </c>
      <c r="U1353" s="2">
        <v>-7.3990684924888228</v>
      </c>
      <c r="V1353" s="2">
        <v>1.2976123018080443</v>
      </c>
    </row>
    <row r="1354" spans="1:22" ht="15">
      <c r="A1354" s="2">
        <v>1353</v>
      </c>
      <c r="B1354" s="2" t="s">
        <v>78</v>
      </c>
      <c r="C1354" s="2" t="s">
        <v>81</v>
      </c>
      <c r="D1354" s="2">
        <v>969.3751061335206</v>
      </c>
      <c r="E1354" s="2">
        <v>963.7707420042716</v>
      </c>
      <c r="F1354" s="2">
        <v>410.17159540206194</v>
      </c>
      <c r="G1354" s="2">
        <v>92.039878929499537</v>
      </c>
      <c r="H1354" s="2">
        <v>28.987306421622634</v>
      </c>
      <c r="I1354" s="2">
        <v>0.83268392169149597</v>
      </c>
      <c r="J1354" s="2">
        <v>6</v>
      </c>
      <c r="K1354" s="2">
        <v>194.02622469366949</v>
      </c>
      <c r="L1354" s="2">
        <v>17020</v>
      </c>
      <c r="M1354" s="2">
        <v>1200</v>
      </c>
      <c r="N1354" s="2">
        <v>250.0097861141011</v>
      </c>
      <c r="O1354" s="2">
        <v>2502.114664866629</v>
      </c>
      <c r="P1354" s="2">
        <v>969.3751061335206</v>
      </c>
      <c r="Q1354" s="2">
        <v>245.7683104114214</v>
      </c>
      <c r="R1354" s="2">
        <v>2465.5044662216678</v>
      </c>
      <c r="S1354" s="2">
        <v>966.66013857617872</v>
      </c>
      <c r="T1354" s="2">
        <v>-4.2414757026797076</v>
      </c>
      <c r="U1354" s="2">
        <v>-36.610198644961201</v>
      </c>
      <c r="V1354" s="2">
        <v>-2.714967557341879</v>
      </c>
    </row>
    <row r="1355" spans="1:22" ht="15">
      <c r="A1355" s="2">
        <v>1354</v>
      </c>
      <c r="B1355" s="2" t="s">
        <v>78</v>
      </c>
      <c r="C1355" s="2" t="s">
        <v>81</v>
      </c>
      <c r="D1355" s="2">
        <v>950.74813148239627</v>
      </c>
      <c r="E1355" s="2">
        <v>682.18570353928953</v>
      </c>
      <c r="F1355" s="2">
        <v>357.15564200654626</v>
      </c>
      <c r="G1355" s="2">
        <v>104.6488347183913</v>
      </c>
      <c r="H1355" s="2">
        <v>22.135142866987735</v>
      </c>
      <c r="I1355" s="2">
        <v>0.81505417142529046</v>
      </c>
      <c r="J1355" s="2">
        <v>6</v>
      </c>
      <c r="K1355" s="2">
        <v>194.41409843548945</v>
      </c>
      <c r="L1355" s="2">
        <v>21810</v>
      </c>
      <c r="M1355" s="2">
        <v>1200</v>
      </c>
      <c r="N1355" s="2">
        <v>250.0036199354083</v>
      </c>
      <c r="O1355" s="2">
        <v>2500.5080534034464</v>
      </c>
      <c r="P1355" s="2">
        <v>950.74813148239627</v>
      </c>
      <c r="Q1355" s="2">
        <v>247.57946771037018</v>
      </c>
      <c r="R1355" s="2">
        <v>2433.8180398904269</v>
      </c>
      <c r="S1355" s="2">
        <v>953.69902554432952</v>
      </c>
      <c r="T1355" s="2">
        <v>-2.4241522250381138</v>
      </c>
      <c r="U1355" s="2">
        <v>-66.690013513019494</v>
      </c>
      <c r="V1355" s="2">
        <v>2.9508940619332407</v>
      </c>
    </row>
    <row r="1356" spans="1:22" ht="15">
      <c r="A1356" s="2">
        <v>1355</v>
      </c>
      <c r="B1356" s="2" t="s">
        <v>79</v>
      </c>
      <c r="C1356" s="2" t="s">
        <v>81</v>
      </c>
      <c r="D1356" s="2">
        <v>1070.0362960575148</v>
      </c>
      <c r="E1356" s="2">
        <v>604.78976691374555</v>
      </c>
      <c r="F1356" s="2">
        <v>713.21002133190632</v>
      </c>
      <c r="G1356" s="2">
        <v>239.49042531428859</v>
      </c>
      <c r="H1356" s="2">
        <v>17.610766828991473</v>
      </c>
      <c r="I1356" s="2">
        <v>0.79270302592543884</v>
      </c>
      <c r="J1356" s="2">
        <v>7</v>
      </c>
      <c r="K1356" s="2">
        <v>192.83681657422429</v>
      </c>
      <c r="L1356" s="2">
        <v>13730</v>
      </c>
      <c r="M1356" s="2">
        <v>1200</v>
      </c>
      <c r="N1356" s="2">
        <v>249.9833244940377</v>
      </c>
      <c r="O1356" s="2">
        <v>2503.8664620311752</v>
      </c>
      <c r="P1356" s="2">
        <v>1070.0362960575148</v>
      </c>
      <c r="Q1356" s="2">
        <v>248.83919624143462</v>
      </c>
      <c r="R1356" s="2">
        <v>2470.6944664628431</v>
      </c>
      <c r="S1356" s="2">
        <v>1072.3293272377578</v>
      </c>
      <c r="T1356" s="2">
        <v>-1.1441282526030818</v>
      </c>
      <c r="U1356" s="2">
        <v>-33.171995568332022</v>
      </c>
      <c r="V1356" s="2">
        <v>2.293031180242906</v>
      </c>
    </row>
    <row r="1357" spans="1:22" ht="15">
      <c r="A1357" s="2">
        <v>1356</v>
      </c>
      <c r="B1357" s="2" t="s">
        <v>79</v>
      </c>
      <c r="C1357" s="2" t="s">
        <v>81</v>
      </c>
      <c r="D1357" s="2">
        <v>991.62661380833015</v>
      </c>
      <c r="E1357" s="2">
        <v>1140.6245288904756</v>
      </c>
      <c r="F1357" s="2">
        <v>625.32037002965808</v>
      </c>
      <c r="G1357" s="2">
        <v>163.34425359498709</v>
      </c>
      <c r="H1357" s="2">
        <v>21.440432641189545</v>
      </c>
      <c r="I1357" s="2">
        <v>0.81970409091562035</v>
      </c>
      <c r="J1357" s="2">
        <v>7</v>
      </c>
      <c r="K1357" s="2">
        <v>172.81961429706212</v>
      </c>
      <c r="L1357" s="2">
        <v>11085</v>
      </c>
      <c r="M1357" s="2">
        <v>1195</v>
      </c>
      <c r="N1357" s="2">
        <v>250.00490708903135</v>
      </c>
      <c r="O1357" s="2">
        <v>2495.5889831062268</v>
      </c>
      <c r="P1357" s="2">
        <v>991.62661380833015</v>
      </c>
      <c r="Q1357" s="2">
        <v>252.19693408930232</v>
      </c>
      <c r="R1357" s="2">
        <v>2558.4901788581678</v>
      </c>
      <c r="S1357" s="2">
        <v>984.25100464159152</v>
      </c>
      <c r="T1357" s="2">
        <v>2.1920270002709685</v>
      </c>
      <c r="U1357" s="2">
        <v>62.901195751941032</v>
      </c>
      <c r="V1357" s="2">
        <v>-7.3756091667386272</v>
      </c>
    </row>
    <row r="1358" spans="1:22" ht="15">
      <c r="A1358" s="2">
        <v>1357</v>
      </c>
      <c r="B1358" s="2" t="s">
        <v>79</v>
      </c>
      <c r="C1358" s="2" t="s">
        <v>81</v>
      </c>
      <c r="D1358" s="2">
        <v>999.09506230615079</v>
      </c>
      <c r="E1358" s="2">
        <v>1223.9798135007732</v>
      </c>
      <c r="F1358" s="2">
        <v>566.9301887974143</v>
      </c>
      <c r="G1358" s="2">
        <v>215.58450323762372</v>
      </c>
      <c r="H1358" s="2">
        <v>17.175636697560549</v>
      </c>
      <c r="I1358" s="2">
        <v>0.85957841664785528</v>
      </c>
      <c r="J1358" s="2">
        <v>6</v>
      </c>
      <c r="K1358" s="2">
        <v>193.7180372292998</v>
      </c>
      <c r="L1358" s="2">
        <v>12435</v>
      </c>
      <c r="M1358" s="2">
        <v>1200</v>
      </c>
      <c r="N1358" s="2">
        <v>250.00708750054577</v>
      </c>
      <c r="O1358" s="2">
        <v>2504.8116049848213</v>
      </c>
      <c r="P1358" s="2">
        <v>999.09506230615079</v>
      </c>
      <c r="Q1358" s="2">
        <v>252.02214131115198</v>
      </c>
      <c r="R1358" s="2">
        <v>2513.5128871940205</v>
      </c>
      <c r="S1358" s="2">
        <v>989.54222608509531</v>
      </c>
      <c r="T1358" s="2">
        <v>2.0150538106062186</v>
      </c>
      <c r="U1358" s="2">
        <v>8.7012822091992348</v>
      </c>
      <c r="V1358" s="2">
        <v>-9.552836221055486</v>
      </c>
    </row>
    <row r="1359" spans="1:22" ht="15">
      <c r="A1359" s="2">
        <v>1358</v>
      </c>
      <c r="B1359" s="2" t="s">
        <v>80</v>
      </c>
      <c r="C1359" s="2" t="s">
        <v>81</v>
      </c>
      <c r="D1359" s="2">
        <v>960.59651692630723</v>
      </c>
      <c r="E1359" s="2">
        <v>611.90348237287253</v>
      </c>
      <c r="F1359" s="2">
        <v>656.11746953800321</v>
      </c>
      <c r="G1359" s="2">
        <v>252.13120870292187</v>
      </c>
      <c r="H1359" s="2">
        <v>8.8081237324513495</v>
      </c>
      <c r="I1359" s="2">
        <v>0.79429308086168027</v>
      </c>
      <c r="J1359" s="2">
        <v>7</v>
      </c>
      <c r="K1359" s="2">
        <v>172.76755539371555</v>
      </c>
      <c r="L1359" s="2">
        <v>14070</v>
      </c>
      <c r="M1359" s="2">
        <v>1200</v>
      </c>
      <c r="N1359" s="2">
        <v>250.03222980759517</v>
      </c>
      <c r="O1359" s="2">
        <v>2503.6491097573648</v>
      </c>
      <c r="P1359" s="2">
        <v>960.59651692630723</v>
      </c>
      <c r="Q1359" s="2">
        <v>248.688100612325</v>
      </c>
      <c r="R1359" s="2">
        <v>2499.9021832100393</v>
      </c>
      <c r="S1359" s="2">
        <v>967.80434433671849</v>
      </c>
      <c r="T1359" s="2">
        <v>-1.3441291952701704</v>
      </c>
      <c r="U1359" s="2">
        <v>-3.7469265473255291</v>
      </c>
      <c r="V1359" s="2">
        <v>7.2078274104112552</v>
      </c>
    </row>
    <row r="1360" spans="1:22" ht="15">
      <c r="A1360" s="2">
        <v>1359</v>
      </c>
      <c r="B1360" s="2" t="s">
        <v>80</v>
      </c>
      <c r="C1360" s="2" t="s">
        <v>81</v>
      </c>
      <c r="D1360" s="2">
        <v>1083.2934266189113</v>
      </c>
      <c r="E1360" s="2">
        <v>714.19650363968685</v>
      </c>
      <c r="F1360" s="2">
        <v>558.40925052762032</v>
      </c>
      <c r="G1360" s="2">
        <v>143.85104771470651</v>
      </c>
      <c r="H1360" s="2">
        <v>27.730859725736082</v>
      </c>
      <c r="I1360" s="2">
        <v>0.8297042426257395</v>
      </c>
      <c r="J1360" s="2">
        <v>7</v>
      </c>
      <c r="K1360" s="2">
        <v>186.51972094652598</v>
      </c>
      <c r="L1360" s="2">
        <v>15100</v>
      </c>
      <c r="M1360" s="2">
        <v>1200</v>
      </c>
      <c r="N1360" s="2">
        <v>250.03208587561437</v>
      </c>
      <c r="O1360" s="2">
        <v>2503.0454783351151</v>
      </c>
      <c r="P1360" s="2">
        <v>1083.2934266189113</v>
      </c>
      <c r="Q1360" s="2">
        <v>248.07676944099484</v>
      </c>
      <c r="R1360" s="2">
        <v>2459.6582051552873</v>
      </c>
      <c r="S1360" s="2">
        <v>1085.2077594560308</v>
      </c>
      <c r="T1360" s="2">
        <v>-1.9553164346195331</v>
      </c>
      <c r="U1360" s="2">
        <v>-43.387273179827844</v>
      </c>
      <c r="V1360" s="2">
        <v>1.9143328371194457</v>
      </c>
    </row>
    <row r="1361" spans="1:22" ht="15">
      <c r="A1361" s="2">
        <v>1360</v>
      </c>
      <c r="B1361" s="2" t="s">
        <v>80</v>
      </c>
      <c r="C1361" s="2" t="s">
        <v>81</v>
      </c>
      <c r="D1361" s="2">
        <v>1019.439055013936</v>
      </c>
      <c r="E1361" s="2">
        <v>1156.6481603309512</v>
      </c>
      <c r="F1361" s="2">
        <v>400.78095933422446</v>
      </c>
      <c r="G1361" s="2">
        <v>249.22686819452792</v>
      </c>
      <c r="H1361" s="2">
        <v>22.23826710274443</v>
      </c>
      <c r="I1361" s="2">
        <v>0.84327219887636606</v>
      </c>
      <c r="J1361" s="2">
        <v>7</v>
      </c>
      <c r="K1361" s="2">
        <v>172.70123562751095</v>
      </c>
      <c r="L1361" s="2">
        <v>11835</v>
      </c>
      <c r="M1361" s="2">
        <v>1195</v>
      </c>
      <c r="N1361" s="2">
        <v>249.95349392640307</v>
      </c>
      <c r="O1361" s="2">
        <v>2494.8780853955432</v>
      </c>
      <c r="P1361" s="2">
        <v>1019.439055013936</v>
      </c>
      <c r="Q1361" s="2">
        <v>247.52894668877326</v>
      </c>
      <c r="R1361" s="2">
        <v>2489.3235859146293</v>
      </c>
      <c r="S1361" s="2">
        <v>1012.4735347711046</v>
      </c>
      <c r="T1361" s="2">
        <v>-2.4245472376298096</v>
      </c>
      <c r="U1361" s="2">
        <v>-5.5544994809138188</v>
      </c>
      <c r="V1361" s="2">
        <v>-6.9655202428314169</v>
      </c>
    </row>
    <row r="1362" spans="1:22" ht="15">
      <c r="A1362" s="2">
        <v>1361</v>
      </c>
      <c r="B1362" s="2" t="s">
        <v>78</v>
      </c>
      <c r="C1362" s="2" t="s">
        <v>81</v>
      </c>
      <c r="D1362" s="2">
        <v>1009.9120722152293</v>
      </c>
      <c r="E1362" s="2">
        <v>935.46175187220797</v>
      </c>
      <c r="F1362" s="2">
        <v>458.29493496567011</v>
      </c>
      <c r="G1362" s="2">
        <v>155.65682573476806</v>
      </c>
      <c r="H1362" s="2">
        <v>28.844837905839086</v>
      </c>
      <c r="I1362" s="2">
        <v>0.81866408429341397</v>
      </c>
      <c r="J1362" s="2">
        <v>7</v>
      </c>
      <c r="K1362" s="2">
        <v>176.22997752261946</v>
      </c>
      <c r="L1362" s="2">
        <v>13800</v>
      </c>
      <c r="M1362" s="2">
        <v>1200</v>
      </c>
      <c r="N1362" s="2">
        <v>249.95511000365073</v>
      </c>
      <c r="O1362" s="2">
        <v>2503.8194459393881</v>
      </c>
      <c r="P1362" s="2">
        <v>1009.9120722152293</v>
      </c>
      <c r="Q1362" s="2">
        <v>247.88202913237765</v>
      </c>
      <c r="R1362" s="2">
        <v>2490.7166621403612</v>
      </c>
      <c r="S1362" s="2">
        <v>996.43684450770013</v>
      </c>
      <c r="T1362" s="2">
        <v>-2.0730808712730777</v>
      </c>
      <c r="U1362" s="2">
        <v>-13.102783799026838</v>
      </c>
      <c r="V1362" s="2">
        <v>-13.475227707529143</v>
      </c>
    </row>
    <row r="1363" spans="1:22" ht="15">
      <c r="A1363" s="2">
        <v>1362</v>
      </c>
      <c r="B1363" s="2" t="s">
        <v>78</v>
      </c>
      <c r="C1363" s="2" t="s">
        <v>81</v>
      </c>
      <c r="D1363" s="2">
        <v>962.52634410047904</v>
      </c>
      <c r="E1363" s="2">
        <v>1242.7375317784026</v>
      </c>
      <c r="F1363" s="2">
        <v>530.63238644972444</v>
      </c>
      <c r="G1363" s="2">
        <v>90.926510440185666</v>
      </c>
      <c r="H1363" s="2">
        <v>8.7750550066120923</v>
      </c>
      <c r="I1363" s="2">
        <v>0.79518119762185968</v>
      </c>
      <c r="J1363" s="2">
        <v>7</v>
      </c>
      <c r="K1363" s="2">
        <v>172.92129624563142</v>
      </c>
      <c r="L1363" s="2">
        <v>11470</v>
      </c>
      <c r="M1363" s="2">
        <v>1195</v>
      </c>
      <c r="N1363" s="2">
        <v>249.97310977744502</v>
      </c>
      <c r="O1363" s="2">
        <v>2495.2122238606862</v>
      </c>
      <c r="P1363" s="2">
        <v>962.52634410047904</v>
      </c>
      <c r="Q1363" s="2">
        <v>253.21996952429708</v>
      </c>
      <c r="R1363" s="2">
        <v>2532.5620790807579</v>
      </c>
      <c r="S1363" s="2">
        <v>965.41950480790604</v>
      </c>
      <c r="T1363" s="2">
        <v>3.246859746852067</v>
      </c>
      <c r="U1363" s="2">
        <v>37.349855220071731</v>
      </c>
      <c r="V1363" s="2">
        <v>2.8931607074270005</v>
      </c>
    </row>
    <row r="1364" spans="1:22" ht="15">
      <c r="A1364" s="2">
        <v>1363</v>
      </c>
      <c r="B1364" s="2" t="s">
        <v>78</v>
      </c>
      <c r="C1364" s="2" t="s">
        <v>81</v>
      </c>
      <c r="D1364" s="2">
        <v>1055.3030395647511</v>
      </c>
      <c r="E1364" s="2">
        <v>935.14742400730029</v>
      </c>
      <c r="F1364" s="2">
        <v>485.00919006764889</v>
      </c>
      <c r="G1364" s="2">
        <v>246.57783900154755</v>
      </c>
      <c r="H1364" s="2">
        <v>11.210331884212792</v>
      </c>
      <c r="I1364" s="2">
        <v>0.83732338768197223</v>
      </c>
      <c r="J1364" s="2">
        <v>7</v>
      </c>
      <c r="K1364" s="2">
        <v>180.0470156435409</v>
      </c>
      <c r="L1364" s="2">
        <v>12830</v>
      </c>
      <c r="M1364" s="2">
        <v>1200</v>
      </c>
      <c r="N1364" s="2">
        <v>249.98159402280754</v>
      </c>
      <c r="O1364" s="2">
        <v>2504.5023945982484</v>
      </c>
      <c r="P1364" s="2">
        <v>1055.3030395647511</v>
      </c>
      <c r="Q1364" s="2">
        <v>252.92593474425917</v>
      </c>
      <c r="R1364" s="2">
        <v>2486.9759943282274</v>
      </c>
      <c r="S1364" s="2">
        <v>1063.2981085317144</v>
      </c>
      <c r="T1364" s="2">
        <v>2.9443407214516242</v>
      </c>
      <c r="U1364" s="2">
        <v>-17.526400270020986</v>
      </c>
      <c r="V1364" s="2">
        <v>7.9950689669633448</v>
      </c>
    </row>
    <row r="1365" spans="1:22" ht="15">
      <c r="A1365" s="2">
        <v>1364</v>
      </c>
      <c r="B1365" s="2" t="s">
        <v>78</v>
      </c>
      <c r="C1365" s="2" t="s">
        <v>81</v>
      </c>
      <c r="D1365" s="2">
        <v>1029.6623406349681</v>
      </c>
      <c r="E1365" s="2">
        <v>1219.4743371102959</v>
      </c>
      <c r="F1365" s="2">
        <v>703.4908908419311</v>
      </c>
      <c r="G1365" s="2">
        <v>154.69115906860679</v>
      </c>
      <c r="H1365" s="2">
        <v>17.729778602253646</v>
      </c>
      <c r="I1365" s="2">
        <v>0.82474994616582997</v>
      </c>
      <c r="J1365" s="2">
        <v>7</v>
      </c>
      <c r="K1365" s="2">
        <v>178.35056646506754</v>
      </c>
      <c r="L1365" s="2">
        <v>10295</v>
      </c>
      <c r="M1365" s="2">
        <v>1195</v>
      </c>
      <c r="N1365" s="2">
        <v>250.04344715247896</v>
      </c>
      <c r="O1365" s="2">
        <v>2496.4490598044581</v>
      </c>
      <c r="P1365" s="2">
        <v>1029.6623406349681</v>
      </c>
      <c r="Q1365" s="2">
        <v>253.91821772988715</v>
      </c>
      <c r="R1365" s="2">
        <v>2554.592177816332</v>
      </c>
      <c r="S1365" s="2">
        <v>1026.9062820383995</v>
      </c>
      <c r="T1365" s="2">
        <v>3.8747705774081851</v>
      </c>
      <c r="U1365" s="2">
        <v>58.143118011873867</v>
      </c>
      <c r="V1365" s="2">
        <v>-2.7560585965686641</v>
      </c>
    </row>
    <row r="1366" spans="1:22" ht="15">
      <c r="A1366" s="2">
        <v>1365</v>
      </c>
      <c r="B1366" s="2" t="s">
        <v>78</v>
      </c>
      <c r="C1366" s="2" t="s">
        <v>81</v>
      </c>
      <c r="D1366" s="2">
        <v>1041.5527627337724</v>
      </c>
      <c r="E1366" s="2">
        <v>1240.4650565120392</v>
      </c>
      <c r="F1366" s="2">
        <v>381.77531342953444</v>
      </c>
      <c r="G1366" s="2">
        <v>141.25842808978632</v>
      </c>
      <c r="H1366" s="2">
        <v>29.474916741251945</v>
      </c>
      <c r="I1366" s="2">
        <v>0.81221617935458201</v>
      </c>
      <c r="J1366" s="2">
        <v>7</v>
      </c>
      <c r="K1366" s="2">
        <v>183.19414904705192</v>
      </c>
      <c r="L1366" s="2">
        <v>12125</v>
      </c>
      <c r="M1366" s="2">
        <v>1200</v>
      </c>
      <c r="N1366" s="2">
        <v>249.96124894077147</v>
      </c>
      <c r="O1366" s="2">
        <v>2505.0656792031</v>
      </c>
      <c r="P1366" s="2">
        <v>1041.5527627337724</v>
      </c>
      <c r="Q1366" s="2">
        <v>247.43137096877416</v>
      </c>
      <c r="R1366" s="2">
        <v>2514.3498402950099</v>
      </c>
      <c r="S1366" s="2">
        <v>1030.758823248271</v>
      </c>
      <c r="T1366" s="2">
        <v>-2.5298779719973084</v>
      </c>
      <c r="U1366" s="2">
        <v>9.2841610919099367</v>
      </c>
      <c r="V1366" s="2">
        <v>-10.793939485501369</v>
      </c>
    </row>
    <row r="1367" spans="1:22" ht="15">
      <c r="A1367" s="2">
        <v>1366</v>
      </c>
      <c r="B1367" s="2" t="s">
        <v>78</v>
      </c>
      <c r="C1367" s="2" t="s">
        <v>81</v>
      </c>
      <c r="D1367" s="2">
        <v>1088.793012232054</v>
      </c>
      <c r="E1367" s="2">
        <v>704.41494116093963</v>
      </c>
      <c r="F1367" s="2">
        <v>678.23390485718846</v>
      </c>
      <c r="G1367" s="2">
        <v>101.81850047782063</v>
      </c>
      <c r="H1367" s="2">
        <v>29.870185709092766</v>
      </c>
      <c r="I1367" s="2">
        <v>0.82201202785130589</v>
      </c>
      <c r="J1367" s="2">
        <v>7</v>
      </c>
      <c r="K1367" s="2">
        <v>189.22090385571519</v>
      </c>
      <c r="L1367" s="2">
        <v>14405</v>
      </c>
      <c r="M1367" s="2">
        <v>1200</v>
      </c>
      <c r="N1367" s="2">
        <v>249.97668073206123</v>
      </c>
      <c r="O1367" s="2">
        <v>2503.4413813174224</v>
      </c>
      <c r="P1367" s="2">
        <v>1088.793012232054</v>
      </c>
      <c r="Q1367" s="2">
        <v>250.66650659386843</v>
      </c>
      <c r="R1367" s="2">
        <v>2497.0843073585825</v>
      </c>
      <c r="S1367" s="2">
        <v>1078.9085079488277</v>
      </c>
      <c r="T1367" s="2">
        <v>0.68982586180720773</v>
      </c>
      <c r="U1367" s="2">
        <v>-6.3570739588399192</v>
      </c>
      <c r="V1367" s="2">
        <v>-9.8845042832263061</v>
      </c>
    </row>
    <row r="1368" spans="1:22" ht="15">
      <c r="A1368" s="2">
        <v>1367</v>
      </c>
      <c r="B1368" s="2" t="s">
        <v>78</v>
      </c>
      <c r="C1368" s="2" t="s">
        <v>81</v>
      </c>
      <c r="D1368" s="2">
        <v>1004.9363349797204</v>
      </c>
      <c r="E1368" s="2">
        <v>983.03336520912126</v>
      </c>
      <c r="F1368" s="2">
        <v>359.64239686727524</v>
      </c>
      <c r="G1368" s="2">
        <v>145.67043153336272</v>
      </c>
      <c r="H1368" s="2">
        <v>19.797725613228977</v>
      </c>
      <c r="I1368" s="2">
        <v>0.84860863070702186</v>
      </c>
      <c r="J1368" s="2">
        <v>6</v>
      </c>
      <c r="K1368" s="2">
        <v>197.36941518464434</v>
      </c>
      <c r="L1368" s="2">
        <v>16765</v>
      </c>
      <c r="M1368" s="2">
        <v>1200</v>
      </c>
      <c r="N1368" s="2">
        <v>250.02069269054252</v>
      </c>
      <c r="O1368" s="2">
        <v>2502.2262521676353</v>
      </c>
      <c r="P1368" s="2">
        <v>1004.9363349797204</v>
      </c>
      <c r="Q1368" s="2">
        <v>250.25952038339599</v>
      </c>
      <c r="R1368" s="2">
        <v>2510.6187290992184</v>
      </c>
      <c r="S1368" s="2">
        <v>1007.7889106123636</v>
      </c>
      <c r="T1368" s="2">
        <v>0.23882769285347649</v>
      </c>
      <c r="U1368" s="2">
        <v>8.3924769315831327</v>
      </c>
      <c r="V1368" s="2">
        <v>2.8525756326431519</v>
      </c>
    </row>
    <row r="1369" spans="1:22" ht="15">
      <c r="A1369" s="2">
        <v>1368</v>
      </c>
      <c r="B1369" s="2" t="s">
        <v>78</v>
      </c>
      <c r="C1369" s="2" t="s">
        <v>81</v>
      </c>
      <c r="D1369" s="2">
        <v>1032.2319808299653</v>
      </c>
      <c r="E1369" s="2">
        <v>1134.3051738105714</v>
      </c>
      <c r="F1369" s="2">
        <v>364.08075308427215</v>
      </c>
      <c r="G1369" s="2">
        <v>242.4717420199886</v>
      </c>
      <c r="H1369" s="2">
        <v>15.515447696205229</v>
      </c>
      <c r="I1369" s="2">
        <v>0.84017734085209672</v>
      </c>
      <c r="J1369" s="2">
        <v>7</v>
      </c>
      <c r="K1369" s="2">
        <v>175.5126023722375</v>
      </c>
      <c r="L1369" s="2">
        <v>12285</v>
      </c>
      <c r="M1369" s="2">
        <v>1200</v>
      </c>
      <c r="N1369" s="2">
        <v>250.0078188800573</v>
      </c>
      <c r="O1369" s="2">
        <v>2504.9338806622868</v>
      </c>
      <c r="P1369" s="2">
        <v>1032.2319808299653</v>
      </c>
      <c r="Q1369" s="2">
        <v>252.39417143720073</v>
      </c>
      <c r="R1369" s="2">
        <v>2487.7471808906553</v>
      </c>
      <c r="S1369" s="2">
        <v>1036.1992046733565</v>
      </c>
      <c r="T1369" s="2">
        <v>2.3863525571434252</v>
      </c>
      <c r="U1369" s="2">
        <v>-17.186699771631538</v>
      </c>
      <c r="V1369" s="2">
        <v>3.9672238433911389</v>
      </c>
    </row>
    <row r="1370" spans="1:22" ht="15">
      <c r="A1370" s="2">
        <v>1369</v>
      </c>
      <c r="B1370" s="2" t="s">
        <v>78</v>
      </c>
      <c r="C1370" s="2" t="s">
        <v>81</v>
      </c>
      <c r="D1370" s="2">
        <v>991.02506414055824</v>
      </c>
      <c r="E1370" s="2">
        <v>947.96128742164001</v>
      </c>
      <c r="F1370" s="2">
        <v>421.00903857499361</v>
      </c>
      <c r="G1370" s="2">
        <v>88.975768985692412</v>
      </c>
      <c r="H1370" s="2">
        <v>25.678135452792048</v>
      </c>
      <c r="I1370" s="2">
        <v>0.85875289936782795</v>
      </c>
      <c r="J1370" s="2">
        <v>6</v>
      </c>
      <c r="K1370" s="2">
        <v>192.33803361248283</v>
      </c>
      <c r="L1370" s="2">
        <v>17115</v>
      </c>
      <c r="M1370" s="2">
        <v>1200</v>
      </c>
      <c r="N1370" s="2">
        <v>250.02705109355105</v>
      </c>
      <c r="O1370" s="2">
        <v>2502.0745678355233</v>
      </c>
      <c r="P1370" s="2">
        <v>991.02506414055824</v>
      </c>
      <c r="Q1370" s="2">
        <v>248.01984522395452</v>
      </c>
      <c r="R1370" s="2">
        <v>2480.4873083150369</v>
      </c>
      <c r="S1370" s="2">
        <v>983.89455721342597</v>
      </c>
      <c r="T1370" s="2">
        <v>-2.0072058695965325</v>
      </c>
      <c r="U1370" s="2">
        <v>-21.587259520486441</v>
      </c>
      <c r="V1370" s="2">
        <v>-7.1305069271322736</v>
      </c>
    </row>
    <row r="1371" spans="1:22" ht="15">
      <c r="A1371" s="2">
        <v>1370</v>
      </c>
      <c r="B1371" s="2" t="s">
        <v>78</v>
      </c>
      <c r="C1371" s="2" t="s">
        <v>81</v>
      </c>
      <c r="D1371" s="2">
        <v>990.35061286995187</v>
      </c>
      <c r="E1371" s="2">
        <v>770.2893944690004</v>
      </c>
      <c r="F1371" s="2">
        <v>600.93704322353005</v>
      </c>
      <c r="G1371" s="2">
        <v>252.68677218817174</v>
      </c>
      <c r="H1371" s="2">
        <v>8.7474288609810174</v>
      </c>
      <c r="I1371" s="2">
        <v>0.85114919946063317</v>
      </c>
      <c r="J1371" s="2">
        <v>6</v>
      </c>
      <c r="K1371" s="2">
        <v>193.92420927250078</v>
      </c>
      <c r="L1371" s="2">
        <v>15365</v>
      </c>
      <c r="M1371" s="2">
        <v>1200</v>
      </c>
      <c r="N1371" s="2">
        <v>250.01349129948849</v>
      </c>
      <c r="O1371" s="2">
        <v>2502.9026773520204</v>
      </c>
      <c r="P1371" s="2">
        <v>990.35061286995187</v>
      </c>
      <c r="Q1371" s="2">
        <v>252.72716160326149</v>
      </c>
      <c r="R1371" s="2">
        <v>2513.8436468672808</v>
      </c>
      <c r="S1371" s="2">
        <v>989.87244923355422</v>
      </c>
      <c r="T1371" s="2">
        <v>2.7136703037730001</v>
      </c>
      <c r="U1371" s="2">
        <v>10.940969515260349</v>
      </c>
      <c r="V1371" s="2">
        <v>-0.47816363639765314</v>
      </c>
    </row>
    <row r="1372" spans="1:22" ht="15">
      <c r="A1372" s="2">
        <v>1371</v>
      </c>
      <c r="B1372" s="2" t="s">
        <v>78</v>
      </c>
      <c r="C1372" s="2" t="s">
        <v>81</v>
      </c>
      <c r="D1372" s="2">
        <v>986.18242524098605</v>
      </c>
      <c r="E1372" s="2">
        <v>976.06594233075157</v>
      </c>
      <c r="F1372" s="2">
        <v>667.60140098631382</v>
      </c>
      <c r="G1372" s="2">
        <v>309.00245821801946</v>
      </c>
      <c r="H1372" s="2">
        <v>19.068846100009978</v>
      </c>
      <c r="I1372" s="2">
        <v>0.83533490980742497</v>
      </c>
      <c r="J1372" s="2">
        <v>6</v>
      </c>
      <c r="K1372" s="2">
        <v>196.76387950559393</v>
      </c>
      <c r="L1372" s="2">
        <v>12775</v>
      </c>
      <c r="M1372" s="2">
        <v>1200</v>
      </c>
      <c r="N1372" s="2">
        <v>249.95299360427248</v>
      </c>
      <c r="O1372" s="2">
        <v>2504.543041241739</v>
      </c>
      <c r="P1372" s="2">
        <v>986.18242524098605</v>
      </c>
      <c r="Q1372" s="2">
        <v>253.57463183338083</v>
      </c>
      <c r="R1372" s="2">
        <v>2479.9061363477372</v>
      </c>
      <c r="S1372" s="2">
        <v>984.93146955113252</v>
      </c>
      <c r="T1372" s="2">
        <v>3.6216382291083562</v>
      </c>
      <c r="U1372" s="2">
        <v>-24.636904894001873</v>
      </c>
      <c r="V1372" s="2">
        <v>-1.2509556898535266</v>
      </c>
    </row>
    <row r="1373" spans="1:22" ht="15">
      <c r="A1373" s="2">
        <v>1372</v>
      </c>
      <c r="B1373" s="2" t="s">
        <v>78</v>
      </c>
      <c r="C1373" s="2" t="s">
        <v>81</v>
      </c>
      <c r="D1373" s="2">
        <v>992.2186404815875</v>
      </c>
      <c r="E1373" s="2">
        <v>894.48384488932788</v>
      </c>
      <c r="F1373" s="2">
        <v>642.52836359664798</v>
      </c>
      <c r="G1373" s="2">
        <v>123.02681225817651</v>
      </c>
      <c r="H1373" s="2">
        <v>9.2048110323958099</v>
      </c>
      <c r="I1373" s="2">
        <v>0.82588198103010657</v>
      </c>
      <c r="J1373" s="2">
        <v>7</v>
      </c>
      <c r="K1373" s="2">
        <v>171.62926825452928</v>
      </c>
      <c r="L1373" s="2">
        <v>12885</v>
      </c>
      <c r="M1373" s="2">
        <v>1200</v>
      </c>
      <c r="N1373" s="2">
        <v>250.04466956375447</v>
      </c>
      <c r="O1373" s="2">
        <v>2504.4634191475557</v>
      </c>
      <c r="P1373" s="2">
        <v>992.2186404815875</v>
      </c>
      <c r="Q1373" s="2">
        <v>250.6686962671007</v>
      </c>
      <c r="R1373" s="2">
        <v>2502.8459490310734</v>
      </c>
      <c r="S1373" s="2">
        <v>999.86680207637744</v>
      </c>
      <c r="T1373" s="2">
        <v>0.62402670334623167</v>
      </c>
      <c r="U1373" s="2">
        <v>-1.6174701164823091</v>
      </c>
      <c r="V1373" s="2">
        <v>7.64816159478994</v>
      </c>
    </row>
    <row r="1374" spans="1:22" ht="15">
      <c r="A1374" s="2">
        <v>1373</v>
      </c>
      <c r="B1374" s="2" t="s">
        <v>78</v>
      </c>
      <c r="C1374" s="2" t="s">
        <v>81</v>
      </c>
      <c r="D1374" s="2">
        <v>1025.6034396123141</v>
      </c>
      <c r="E1374" s="2">
        <v>603.16715993685648</v>
      </c>
      <c r="F1374" s="2">
        <v>639.43881746381521</v>
      </c>
      <c r="G1374" s="2">
        <v>231.29134134622291</v>
      </c>
      <c r="H1374" s="2">
        <v>10.549475710839033</v>
      </c>
      <c r="I1374" s="2">
        <v>0.80034434464061632</v>
      </c>
      <c r="J1374" s="2">
        <v>7</v>
      </c>
      <c r="K1374" s="2">
        <v>183.06467468482444</v>
      </c>
      <c r="L1374" s="2">
        <v>14510</v>
      </c>
      <c r="M1374" s="2">
        <v>1200</v>
      </c>
      <c r="N1374" s="2">
        <v>250.00548042694956</v>
      </c>
      <c r="O1374" s="2">
        <v>2503.3798510718893</v>
      </c>
      <c r="P1374" s="2">
        <v>1025.6034396123141</v>
      </c>
      <c r="Q1374" s="2">
        <v>251.81233003039236</v>
      </c>
      <c r="R1374" s="2">
        <v>2441.3860520503094</v>
      </c>
      <c r="S1374" s="2">
        <v>1030.2611065012095</v>
      </c>
      <c r="T1374" s="2">
        <v>1.8068496034427994</v>
      </c>
      <c r="U1374" s="2">
        <v>-61.993799021579889</v>
      </c>
      <c r="V1374" s="2">
        <v>4.6576668888953918</v>
      </c>
    </row>
    <row r="1375" spans="1:22" ht="15">
      <c r="A1375" s="2">
        <v>1374</v>
      </c>
      <c r="B1375" s="2" t="s">
        <v>78</v>
      </c>
      <c r="C1375" s="2" t="s">
        <v>81</v>
      </c>
      <c r="D1375" s="2">
        <v>977.82788203330711</v>
      </c>
      <c r="E1375" s="2">
        <v>993.2573078898713</v>
      </c>
      <c r="F1375" s="2">
        <v>580.06742792204022</v>
      </c>
      <c r="G1375" s="2">
        <v>254.9307019636035</v>
      </c>
      <c r="H1375" s="2">
        <v>15.541860508266836</v>
      </c>
      <c r="I1375" s="2">
        <v>0.79813278536777943</v>
      </c>
      <c r="J1375" s="2">
        <v>7</v>
      </c>
      <c r="K1375" s="2">
        <v>175.02062312721637</v>
      </c>
      <c r="L1375" s="2">
        <v>11695</v>
      </c>
      <c r="M1375" s="2">
        <v>1195</v>
      </c>
      <c r="N1375" s="2">
        <v>249.94951576674509</v>
      </c>
      <c r="O1375" s="2">
        <v>2495.0032962187352</v>
      </c>
      <c r="P1375" s="2">
        <v>977.82788203330711</v>
      </c>
      <c r="Q1375" s="2">
        <v>249.88265187317472</v>
      </c>
      <c r="R1375" s="2">
        <v>2480.784921933729</v>
      </c>
      <c r="S1375" s="2">
        <v>973.81814419476007</v>
      </c>
      <c r="T1375" s="2">
        <v>-6.6863893570371147E-2</v>
      </c>
      <c r="U1375" s="2">
        <v>-14.218374285006121</v>
      </c>
      <c r="V1375" s="2">
        <v>-4.0097378385470392</v>
      </c>
    </row>
    <row r="1376" spans="1:22" ht="15">
      <c r="A1376" s="2">
        <v>1375</v>
      </c>
      <c r="B1376" s="2" t="s">
        <v>79</v>
      </c>
      <c r="C1376" s="2" t="s">
        <v>81</v>
      </c>
      <c r="D1376" s="2">
        <v>980.89430669788271</v>
      </c>
      <c r="E1376" s="2">
        <v>735.48811963992193</v>
      </c>
      <c r="F1376" s="2">
        <v>452.02327594161034</v>
      </c>
      <c r="G1376" s="2">
        <v>322.3836863017641</v>
      </c>
      <c r="H1376" s="2">
        <v>9.2723424648866057</v>
      </c>
      <c r="I1376" s="2">
        <v>0.85692910248180854</v>
      </c>
      <c r="J1376" s="2">
        <v>6</v>
      </c>
      <c r="K1376" s="2">
        <v>190.77702458251804</v>
      </c>
      <c r="L1376" s="2">
        <v>16525</v>
      </c>
      <c r="M1376" s="2">
        <v>1200</v>
      </c>
      <c r="N1376" s="2">
        <v>250.00937782521581</v>
      </c>
      <c r="O1376" s="2">
        <v>2502.3337725005645</v>
      </c>
      <c r="P1376" s="2">
        <v>980.89430669788271</v>
      </c>
      <c r="Q1376" s="2">
        <v>251.52243286167183</v>
      </c>
      <c r="R1376" s="2">
        <v>2451.7595827837831</v>
      </c>
      <c r="S1376" s="2">
        <v>982.50298029519331</v>
      </c>
      <c r="T1376" s="2">
        <v>1.5130550364560236</v>
      </c>
      <c r="U1376" s="2">
        <v>-50.574189716781348</v>
      </c>
      <c r="V1376" s="2">
        <v>1.6086735973105988</v>
      </c>
    </row>
    <row r="1377" spans="1:22" ht="15">
      <c r="A1377" s="2">
        <v>1376</v>
      </c>
      <c r="B1377" s="2" t="s">
        <v>79</v>
      </c>
      <c r="C1377" s="2" t="s">
        <v>81</v>
      </c>
      <c r="D1377" s="2">
        <v>1050.6624897825532</v>
      </c>
      <c r="E1377" s="2">
        <v>670.26716768741608</v>
      </c>
      <c r="F1377" s="2">
        <v>725.83943298086524</v>
      </c>
      <c r="G1377" s="2">
        <v>221.63103990722448</v>
      </c>
      <c r="H1377" s="2">
        <v>26.983233810868114</v>
      </c>
      <c r="I1377" s="2">
        <v>0.79143987025134266</v>
      </c>
      <c r="J1377" s="2">
        <v>7</v>
      </c>
      <c r="K1377" s="2">
        <v>189.64756141213996</v>
      </c>
      <c r="L1377" s="2">
        <v>13220</v>
      </c>
      <c r="M1377" s="2">
        <v>1200</v>
      </c>
      <c r="N1377" s="2">
        <v>250.0086955842888</v>
      </c>
      <c r="O1377" s="2">
        <v>2504.2171743533181</v>
      </c>
      <c r="P1377" s="2">
        <v>1050.6624897825532</v>
      </c>
      <c r="Q1377" s="2">
        <v>250.48711978548783</v>
      </c>
      <c r="R1377" s="2">
        <v>2485.1553085295945</v>
      </c>
      <c r="S1377" s="2">
        <v>1043.2724426334714</v>
      </c>
      <c r="T1377" s="2">
        <v>0.47842420119903295</v>
      </c>
      <c r="U1377" s="2">
        <v>-19.061865823723565</v>
      </c>
      <c r="V1377" s="2">
        <v>-7.3900471490817381</v>
      </c>
    </row>
    <row r="1378" spans="1:22" ht="15">
      <c r="A1378" s="2">
        <v>1377</v>
      </c>
      <c r="B1378" s="2" t="s">
        <v>79</v>
      </c>
      <c r="C1378" s="2" t="s">
        <v>81</v>
      </c>
      <c r="D1378" s="2">
        <v>1047.327786590904</v>
      </c>
      <c r="E1378" s="2">
        <v>900.67015507956967</v>
      </c>
      <c r="F1378" s="2">
        <v>622.81723264604807</v>
      </c>
      <c r="G1378" s="2">
        <v>329.12334518739954</v>
      </c>
      <c r="H1378" s="2">
        <v>16.374524349346757</v>
      </c>
      <c r="I1378" s="2">
        <v>0.83561483758734545</v>
      </c>
      <c r="J1378" s="2">
        <v>7</v>
      </c>
      <c r="K1378" s="2">
        <v>179.05169762095406</v>
      </c>
      <c r="L1378" s="2">
        <v>11545</v>
      </c>
      <c r="M1378" s="2">
        <v>1195</v>
      </c>
      <c r="N1378" s="2">
        <v>250.03071271865358</v>
      </c>
      <c r="O1378" s="2">
        <v>2495.144482525106</v>
      </c>
      <c r="P1378" s="2">
        <v>1047.327786590904</v>
      </c>
      <c r="Q1378" s="2">
        <v>250.15193266801171</v>
      </c>
      <c r="R1378" s="2">
        <v>2452.8214360440811</v>
      </c>
      <c r="S1378" s="2">
        <v>1043.9346771286384</v>
      </c>
      <c r="T1378" s="2">
        <v>0.12121994935813518</v>
      </c>
      <c r="U1378" s="2">
        <v>-42.323046481024903</v>
      </c>
      <c r="V1378" s="2">
        <v>-3.3931094622655564</v>
      </c>
    </row>
    <row r="1379" spans="1:22" ht="15">
      <c r="A1379" s="2">
        <v>1378</v>
      </c>
      <c r="B1379" s="2" t="s">
        <v>80</v>
      </c>
      <c r="C1379" s="2" t="s">
        <v>81</v>
      </c>
      <c r="D1379" s="2">
        <v>1036.8693867349066</v>
      </c>
      <c r="E1379" s="2">
        <v>822.58217066992074</v>
      </c>
      <c r="F1379" s="2">
        <v>498.35601979866624</v>
      </c>
      <c r="G1379" s="2">
        <v>328.92660253681242</v>
      </c>
      <c r="H1379" s="2">
        <v>17.865203120280057</v>
      </c>
      <c r="I1379" s="2">
        <v>0.84223679861519485</v>
      </c>
      <c r="J1379" s="2">
        <v>7</v>
      </c>
      <c r="K1379" s="2">
        <v>175.87001464259501</v>
      </c>
      <c r="L1379" s="2">
        <v>12960</v>
      </c>
      <c r="M1379" s="2">
        <v>1200</v>
      </c>
      <c r="N1379" s="2">
        <v>249.95888690026618</v>
      </c>
      <c r="O1379" s="2">
        <v>2504.4041929330429</v>
      </c>
      <c r="P1379" s="2">
        <v>1036.8693867349066</v>
      </c>
      <c r="Q1379" s="2">
        <v>249.5089430438662</v>
      </c>
      <c r="R1379" s="2">
        <v>2471.7399214006132</v>
      </c>
      <c r="S1379" s="2">
        <v>1041.2193859826477</v>
      </c>
      <c r="T1379" s="2">
        <v>-0.44994385639998313</v>
      </c>
      <c r="U1379" s="2">
        <v>-32.664271532429666</v>
      </c>
      <c r="V1379" s="2">
        <v>4.3499992477411524</v>
      </c>
    </row>
    <row r="1380" spans="1:22" ht="15">
      <c r="A1380" s="2">
        <v>1379</v>
      </c>
      <c r="B1380" s="2" t="s">
        <v>80</v>
      </c>
      <c r="C1380" s="2" t="s">
        <v>81</v>
      </c>
      <c r="D1380" s="2">
        <v>969.22037822660059</v>
      </c>
      <c r="E1380" s="2">
        <v>970.40392250055447</v>
      </c>
      <c r="F1380" s="2">
        <v>530.02733401954174</v>
      </c>
      <c r="G1380" s="2">
        <v>137.8662917832844</v>
      </c>
      <c r="H1380" s="2">
        <v>25.45458569098264</v>
      </c>
      <c r="I1380" s="2">
        <v>0.80094793089432648</v>
      </c>
      <c r="J1380" s="2">
        <v>7</v>
      </c>
      <c r="K1380" s="2">
        <v>172.87023124932614</v>
      </c>
      <c r="L1380" s="2">
        <v>13055</v>
      </c>
      <c r="M1380" s="2">
        <v>1200</v>
      </c>
      <c r="N1380" s="2">
        <v>250.02600328066688</v>
      </c>
      <c r="O1380" s="2">
        <v>2504.336857688184</v>
      </c>
      <c r="P1380" s="2">
        <v>969.22037822660059</v>
      </c>
      <c r="Q1380" s="2">
        <v>247.71317071060923</v>
      </c>
      <c r="R1380" s="2">
        <v>2516.3541255937539</v>
      </c>
      <c r="S1380" s="2">
        <v>966.25817518342603</v>
      </c>
      <c r="T1380" s="2">
        <v>-2.3128325700576511</v>
      </c>
      <c r="U1380" s="2">
        <v>12.017267905569952</v>
      </c>
      <c r="V1380" s="2">
        <v>-2.9622030431745543</v>
      </c>
    </row>
    <row r="1381" spans="1:22" ht="15">
      <c r="A1381" s="2">
        <v>1380</v>
      </c>
      <c r="B1381" s="2" t="s">
        <v>80</v>
      </c>
      <c r="C1381" s="2" t="s">
        <v>81</v>
      </c>
      <c r="D1381" s="2">
        <v>1097.5071641965769</v>
      </c>
      <c r="E1381" s="2">
        <v>1024.2095135618001</v>
      </c>
      <c r="F1381" s="2">
        <v>438.61885396763682</v>
      </c>
      <c r="G1381" s="2">
        <v>325.20479363854975</v>
      </c>
      <c r="H1381" s="2">
        <v>13.99704161984846</v>
      </c>
      <c r="I1381" s="2">
        <v>0.84375927982851873</v>
      </c>
      <c r="J1381" s="2">
        <v>7</v>
      </c>
      <c r="K1381" s="2">
        <v>185.81927510679665</v>
      </c>
      <c r="L1381" s="2">
        <v>11960</v>
      </c>
      <c r="M1381" s="2">
        <v>1200</v>
      </c>
      <c r="N1381" s="2">
        <v>249.98955654874177</v>
      </c>
      <c r="O1381" s="2">
        <v>2505.2084986377913</v>
      </c>
      <c r="P1381" s="2">
        <v>1097.5071641965769</v>
      </c>
      <c r="Q1381" s="2">
        <v>250.93855547923366</v>
      </c>
      <c r="R1381" s="2">
        <v>2542.1362885487865</v>
      </c>
      <c r="S1381" s="2">
        <v>1100.0747940314754</v>
      </c>
      <c r="T1381" s="2">
        <v>0.94899893049188222</v>
      </c>
      <c r="U1381" s="2">
        <v>36.927789910995216</v>
      </c>
      <c r="V1381" s="2">
        <v>2.5676298348985256</v>
      </c>
    </row>
    <row r="1382" spans="1:22" ht="15">
      <c r="A1382" s="2">
        <v>1381</v>
      </c>
      <c r="B1382" s="2" t="s">
        <v>78</v>
      </c>
      <c r="C1382" s="2" t="s">
        <v>81</v>
      </c>
      <c r="D1382" s="2">
        <v>983.23476002551615</v>
      </c>
      <c r="E1382" s="2">
        <v>1138.8138955342583</v>
      </c>
      <c r="F1382" s="2">
        <v>351.78974997252226</v>
      </c>
      <c r="G1382" s="2">
        <v>316.25012609409168</v>
      </c>
      <c r="H1382" s="2">
        <v>12.413530983030796</v>
      </c>
      <c r="I1382" s="2">
        <v>0.85953235144028439</v>
      </c>
      <c r="J1382" s="2">
        <v>6</v>
      </c>
      <c r="K1382" s="2">
        <v>190.65304491408392</v>
      </c>
      <c r="L1382" s="2">
        <v>13810</v>
      </c>
      <c r="M1382" s="2">
        <v>1200</v>
      </c>
      <c r="N1382" s="2">
        <v>250.02587160488861</v>
      </c>
      <c r="O1382" s="2">
        <v>2503.8154775787793</v>
      </c>
      <c r="P1382" s="2">
        <v>983.23476002551615</v>
      </c>
      <c r="Q1382" s="2">
        <v>249.76114837712831</v>
      </c>
      <c r="R1382" s="2">
        <v>2519.3154790508111</v>
      </c>
      <c r="S1382" s="2">
        <v>980.70905801603737</v>
      </c>
      <c r="T1382" s="2">
        <v>-0.26472322776029955</v>
      </c>
      <c r="U1382" s="2">
        <v>15.500001472031727</v>
      </c>
      <c r="V1382" s="2">
        <v>-2.5257020094787777</v>
      </c>
    </row>
    <row r="1383" spans="1:22" ht="15">
      <c r="A1383" s="2">
        <v>1382</v>
      </c>
      <c r="B1383" s="2" t="s">
        <v>78</v>
      </c>
      <c r="C1383" s="2" t="s">
        <v>81</v>
      </c>
      <c r="D1383" s="2">
        <v>1057.685695879627</v>
      </c>
      <c r="E1383" s="2">
        <v>896.15833905991167</v>
      </c>
      <c r="F1383" s="2">
        <v>665.54946573451161</v>
      </c>
      <c r="G1383" s="2">
        <v>123.04932942613959</v>
      </c>
      <c r="H1383" s="2">
        <v>29.479043363127857</v>
      </c>
      <c r="I1383" s="2">
        <v>0.8276966093620286</v>
      </c>
      <c r="J1383" s="2">
        <v>7</v>
      </c>
      <c r="K1383" s="2">
        <v>182.55234447643275</v>
      </c>
      <c r="L1383" s="2">
        <v>12695</v>
      </c>
      <c r="M1383" s="2">
        <v>1200</v>
      </c>
      <c r="N1383" s="2">
        <v>250.02631684534708</v>
      </c>
      <c r="O1383" s="2">
        <v>2504.6073082297244</v>
      </c>
      <c r="P1383" s="2">
        <v>1057.685695879627</v>
      </c>
      <c r="Q1383" s="2">
        <v>247.31916225313211</v>
      </c>
      <c r="R1383" s="2">
        <v>2546.8259364534697</v>
      </c>
      <c r="S1383" s="2">
        <v>1051.4474938904327</v>
      </c>
      <c r="T1383" s="2">
        <v>-2.7071545922149767</v>
      </c>
      <c r="U1383" s="2">
        <v>42.218628223745327</v>
      </c>
      <c r="V1383" s="2">
        <v>-6.2382019891942946</v>
      </c>
    </row>
    <row r="1384" spans="1:22" ht="15">
      <c r="A1384" s="2">
        <v>1383</v>
      </c>
      <c r="B1384" s="2" t="s">
        <v>78</v>
      </c>
      <c r="C1384" s="2" t="s">
        <v>81</v>
      </c>
      <c r="D1384" s="2">
        <v>1020.6902566598728</v>
      </c>
      <c r="E1384" s="2">
        <v>751.13353991182521</v>
      </c>
      <c r="F1384" s="2">
        <v>417.05594658851624</v>
      </c>
      <c r="G1384" s="2">
        <v>326.20152445277199</v>
      </c>
      <c r="H1384" s="2">
        <v>21.332593428902328</v>
      </c>
      <c r="I1384" s="2">
        <v>0.80995235152309764</v>
      </c>
      <c r="J1384" s="2">
        <v>7</v>
      </c>
      <c r="K1384" s="2">
        <v>180.02650839195084</v>
      </c>
      <c r="L1384" s="2">
        <v>14310</v>
      </c>
      <c r="M1384" s="2">
        <v>1200</v>
      </c>
      <c r="N1384" s="2">
        <v>249.98800099891648</v>
      </c>
      <c r="O1384" s="2">
        <v>2503.4991489529602</v>
      </c>
      <c r="P1384" s="2">
        <v>1020.6902566598728</v>
      </c>
      <c r="Q1384" s="2">
        <v>250.48242048505099</v>
      </c>
      <c r="R1384" s="2">
        <v>2450.8314330204857</v>
      </c>
      <c r="S1384" s="2">
        <v>1017.8747713798332</v>
      </c>
      <c r="T1384" s="2">
        <v>0.49441948613451814</v>
      </c>
      <c r="U1384" s="2">
        <v>-52.667715932474493</v>
      </c>
      <c r="V1384" s="2">
        <v>-2.8154852800396384</v>
      </c>
    </row>
    <row r="1385" spans="1:22" ht="15">
      <c r="A1385" s="2">
        <v>1384</v>
      </c>
      <c r="B1385" s="2" t="s">
        <v>78</v>
      </c>
      <c r="C1385" s="2" t="s">
        <v>81</v>
      </c>
      <c r="D1385" s="2">
        <v>1030.227083794307</v>
      </c>
      <c r="E1385" s="2">
        <v>1128.9392971433699</v>
      </c>
      <c r="F1385" s="2">
        <v>372.78261547908187</v>
      </c>
      <c r="G1385" s="2">
        <v>284.66094242874533</v>
      </c>
      <c r="H1385" s="2">
        <v>13.650761646684259</v>
      </c>
      <c r="I1385" s="2">
        <v>0.8002564080152661</v>
      </c>
      <c r="J1385" s="2">
        <v>7</v>
      </c>
      <c r="K1385" s="2">
        <v>183.91017705176989</v>
      </c>
      <c r="L1385" s="2">
        <v>11970</v>
      </c>
      <c r="M1385" s="2">
        <v>1200</v>
      </c>
      <c r="N1385" s="2">
        <v>249.96764252698168</v>
      </c>
      <c r="O1385" s="2">
        <v>2505.1988918758238</v>
      </c>
      <c r="P1385" s="2">
        <v>1030.227083794307</v>
      </c>
      <c r="Q1385" s="2">
        <v>252.87722616644461</v>
      </c>
      <c r="R1385" s="2">
        <v>2489.3724366773799</v>
      </c>
      <c r="S1385" s="2">
        <v>1029.8517640643286</v>
      </c>
      <c r="T1385" s="2">
        <v>2.9095836394629373</v>
      </c>
      <c r="U1385" s="2">
        <v>-15.826455198443909</v>
      </c>
      <c r="V1385" s="2">
        <v>-0.37531972997840057</v>
      </c>
    </row>
    <row r="1386" spans="1:22" ht="15">
      <c r="A1386" s="2">
        <v>1385</v>
      </c>
      <c r="B1386" s="2" t="s">
        <v>78</v>
      </c>
      <c r="C1386" s="2" t="s">
        <v>81</v>
      </c>
      <c r="D1386" s="2">
        <v>1013.0402674898505</v>
      </c>
      <c r="E1386" s="2">
        <v>975.4995372495614</v>
      </c>
      <c r="F1386" s="2">
        <v>485.80585140734911</v>
      </c>
      <c r="G1386" s="2">
        <v>285.77562932157889</v>
      </c>
      <c r="H1386" s="2">
        <v>28.980387499555945</v>
      </c>
      <c r="I1386" s="2">
        <v>0.79857879833551126</v>
      </c>
      <c r="J1386" s="2">
        <v>7</v>
      </c>
      <c r="K1386" s="2">
        <v>181.22198900656736</v>
      </c>
      <c r="L1386" s="2">
        <v>12240</v>
      </c>
      <c r="M1386" s="2">
        <v>1200</v>
      </c>
      <c r="N1386" s="2">
        <v>249.98284178068323</v>
      </c>
      <c r="O1386" s="2">
        <v>2504.970108021856</v>
      </c>
      <c r="P1386" s="2">
        <v>1013.0402674898505</v>
      </c>
      <c r="Q1386" s="2">
        <v>251.49360983282924</v>
      </c>
      <c r="R1386" s="2">
        <v>2553.4801631070231</v>
      </c>
      <c r="S1386" s="2">
        <v>1004.8205829032848</v>
      </c>
      <c r="T1386" s="2">
        <v>1.5107680521460054</v>
      </c>
      <c r="U1386" s="2">
        <v>48.510055085167096</v>
      </c>
      <c r="V1386" s="2">
        <v>-8.2196845865656769</v>
      </c>
    </row>
    <row r="1387" spans="1:22" ht="15">
      <c r="A1387" s="2">
        <v>1386</v>
      </c>
      <c r="B1387" s="2" t="s">
        <v>78</v>
      </c>
      <c r="C1387" s="2" t="s">
        <v>81</v>
      </c>
      <c r="D1387" s="2">
        <v>1006.1562855378725</v>
      </c>
      <c r="E1387" s="2">
        <v>715.24553338531405</v>
      </c>
      <c r="F1387" s="2">
        <v>703.78607520833611</v>
      </c>
      <c r="G1387" s="2">
        <v>243.2895905058831</v>
      </c>
      <c r="H1387" s="2">
        <v>22.489534248132259</v>
      </c>
      <c r="I1387" s="2">
        <v>0.8383250337513164</v>
      </c>
      <c r="J1387" s="2">
        <v>7</v>
      </c>
      <c r="K1387" s="2">
        <v>171.45690088307038</v>
      </c>
      <c r="L1387" s="2">
        <v>12865</v>
      </c>
      <c r="M1387" s="2">
        <v>1200</v>
      </c>
      <c r="N1387" s="2">
        <v>250.00008173992572</v>
      </c>
      <c r="O1387" s="2">
        <v>2504.4767041641981</v>
      </c>
      <c r="P1387" s="2">
        <v>1006.1562855378725</v>
      </c>
      <c r="Q1387" s="2">
        <v>251.05342643894559</v>
      </c>
      <c r="R1387" s="2">
        <v>2494.1787028690756</v>
      </c>
      <c r="S1387" s="2">
        <v>1006.4865050585158</v>
      </c>
      <c r="T1387" s="2">
        <v>1.053344699019874</v>
      </c>
      <c r="U1387" s="2">
        <v>-10.298001295122504</v>
      </c>
      <c r="V1387" s="2">
        <v>0.33021952064336801</v>
      </c>
    </row>
    <row r="1388" spans="1:22" ht="15">
      <c r="A1388" s="2">
        <v>1387</v>
      </c>
      <c r="B1388" s="2" t="s">
        <v>78</v>
      </c>
      <c r="C1388" s="2" t="s">
        <v>81</v>
      </c>
      <c r="D1388" s="2">
        <v>986.42363909166306</v>
      </c>
      <c r="E1388" s="2">
        <v>787.50006767222658</v>
      </c>
      <c r="F1388" s="2">
        <v>690.66848941147327</v>
      </c>
      <c r="G1388" s="2">
        <v>149.85301355598494</v>
      </c>
      <c r="H1388" s="2">
        <v>20.883751676417887</v>
      </c>
      <c r="I1388" s="2">
        <v>0.84712217918364341</v>
      </c>
      <c r="J1388" s="2">
        <v>6</v>
      </c>
      <c r="K1388" s="2">
        <v>194.07346884370762</v>
      </c>
      <c r="L1388" s="2">
        <v>15325</v>
      </c>
      <c r="M1388" s="2">
        <v>1200</v>
      </c>
      <c r="N1388" s="2">
        <v>249.99376842601959</v>
      </c>
      <c r="O1388" s="2">
        <v>2502.9231764288629</v>
      </c>
      <c r="P1388" s="2">
        <v>986.42363909166306</v>
      </c>
      <c r="Q1388" s="2">
        <v>249.37526293909858</v>
      </c>
      <c r="R1388" s="2">
        <v>2475.3612595929631</v>
      </c>
      <c r="S1388" s="2">
        <v>981.51388846371401</v>
      </c>
      <c r="T1388" s="2">
        <v>-0.61850548692100915</v>
      </c>
      <c r="U1388" s="2">
        <v>-27.561916835899865</v>
      </c>
      <c r="V1388" s="2">
        <v>-4.9097506279490517</v>
      </c>
    </row>
    <row r="1389" spans="1:22" ht="15">
      <c r="A1389" s="2">
        <v>1388</v>
      </c>
      <c r="B1389" s="2" t="s">
        <v>78</v>
      </c>
      <c r="C1389" s="2" t="s">
        <v>81</v>
      </c>
      <c r="D1389" s="2">
        <v>969.24188196426257</v>
      </c>
      <c r="E1389" s="2">
        <v>725.60929371975362</v>
      </c>
      <c r="F1389" s="2">
        <v>542.66034169122577</v>
      </c>
      <c r="G1389" s="2">
        <v>111.05048544239253</v>
      </c>
      <c r="H1389" s="2">
        <v>18.410223263781518</v>
      </c>
      <c r="I1389" s="2">
        <v>0.79659158606082203</v>
      </c>
      <c r="J1389" s="2">
        <v>7</v>
      </c>
      <c r="K1389" s="2">
        <v>173.8194683672225</v>
      </c>
      <c r="L1389" s="2">
        <v>15505</v>
      </c>
      <c r="M1389" s="2">
        <v>1200</v>
      </c>
      <c r="N1389" s="2">
        <v>250.00688465052514</v>
      </c>
      <c r="O1389" s="2">
        <v>2502.8292982875118</v>
      </c>
      <c r="P1389" s="2">
        <v>969.24188196426257</v>
      </c>
      <c r="Q1389" s="2">
        <v>246.4978982935838</v>
      </c>
      <c r="R1389" s="2">
        <v>2460.8546829531101</v>
      </c>
      <c r="S1389" s="2">
        <v>976.86050657864587</v>
      </c>
      <c r="T1389" s="2">
        <v>-3.5089863569413353</v>
      </c>
      <c r="U1389" s="2">
        <v>-41.974615334401733</v>
      </c>
      <c r="V1389" s="2">
        <v>7.6186246143832932</v>
      </c>
    </row>
    <row r="1390" spans="1:22" ht="15">
      <c r="A1390" s="2">
        <v>1389</v>
      </c>
      <c r="B1390" s="2" t="s">
        <v>78</v>
      </c>
      <c r="C1390" s="2" t="s">
        <v>81</v>
      </c>
      <c r="D1390" s="2">
        <v>1033.4918861743063</v>
      </c>
      <c r="E1390" s="2">
        <v>1108.0594266648404</v>
      </c>
      <c r="F1390" s="2">
        <v>639.6082928404212</v>
      </c>
      <c r="G1390" s="2">
        <v>291.29211952211335</v>
      </c>
      <c r="H1390" s="2">
        <v>14.535279426723719</v>
      </c>
      <c r="I1390" s="2">
        <v>0.85739492677384987</v>
      </c>
      <c r="J1390" s="2">
        <v>7</v>
      </c>
      <c r="K1390" s="2">
        <v>172.19800749281026</v>
      </c>
      <c r="L1390" s="2">
        <v>10490</v>
      </c>
      <c r="M1390" s="2">
        <v>1195</v>
      </c>
      <c r="N1390" s="2">
        <v>250.03418425114131</v>
      </c>
      <c r="O1390" s="2">
        <v>2496.2247380440504</v>
      </c>
      <c r="P1390" s="2">
        <v>1033.4918861743063</v>
      </c>
      <c r="Q1390" s="2">
        <v>252.45054502532452</v>
      </c>
      <c r="R1390" s="2">
        <v>2513.0993511058678</v>
      </c>
      <c r="S1390" s="2">
        <v>1030.6031412512193</v>
      </c>
      <c r="T1390" s="2">
        <v>2.4163607741832038</v>
      </c>
      <c r="U1390" s="2">
        <v>16.874613061817399</v>
      </c>
      <c r="V1390" s="2">
        <v>-2.8887449230869606</v>
      </c>
    </row>
    <row r="1391" spans="1:22" ht="15">
      <c r="A1391" s="2">
        <v>1390</v>
      </c>
      <c r="B1391" s="2" t="s">
        <v>78</v>
      </c>
      <c r="C1391" s="2" t="s">
        <v>81</v>
      </c>
      <c r="D1391" s="2">
        <v>1001.3289285940118</v>
      </c>
      <c r="E1391" s="2">
        <v>1121.2052882416174</v>
      </c>
      <c r="F1391" s="2">
        <v>648.98742185905576</v>
      </c>
      <c r="G1391" s="2">
        <v>162.99820870161057</v>
      </c>
      <c r="H1391" s="2">
        <v>21.407331655267626</v>
      </c>
      <c r="I1391" s="2">
        <v>0.85973584465216846</v>
      </c>
      <c r="J1391" s="2">
        <v>6</v>
      </c>
      <c r="K1391" s="2">
        <v>194.11561795843019</v>
      </c>
      <c r="L1391" s="2">
        <v>12905</v>
      </c>
      <c r="M1391" s="2">
        <v>1200</v>
      </c>
      <c r="N1391" s="2">
        <v>249.97782178503388</v>
      </c>
      <c r="O1391" s="2">
        <v>2504.4458494084556</v>
      </c>
      <c r="P1391" s="2">
        <v>1001.3289285940118</v>
      </c>
      <c r="Q1391" s="2">
        <v>253.47058210883745</v>
      </c>
      <c r="R1391" s="2">
        <v>2519.039934805548</v>
      </c>
      <c r="S1391" s="2">
        <v>995.03915932113341</v>
      </c>
      <c r="T1391" s="2">
        <v>3.4927603238035658</v>
      </c>
      <c r="U1391" s="2">
        <v>14.594085397092385</v>
      </c>
      <c r="V1391" s="2">
        <v>-6.2897692728784023</v>
      </c>
    </row>
    <row r="1392" spans="1:22" ht="15">
      <c r="A1392" s="2">
        <v>1391</v>
      </c>
      <c r="B1392" s="2" t="s">
        <v>78</v>
      </c>
      <c r="C1392" s="2" t="s">
        <v>81</v>
      </c>
      <c r="D1392" s="2">
        <v>1060.4309620568529</v>
      </c>
      <c r="E1392" s="2">
        <v>740.95414216862991</v>
      </c>
      <c r="F1392" s="2">
        <v>625.03841295838356</v>
      </c>
      <c r="G1392" s="2">
        <v>85.472964083310217</v>
      </c>
      <c r="H1392" s="2">
        <v>25.121083333157003</v>
      </c>
      <c r="I1392" s="2">
        <v>0.81045469542732462</v>
      </c>
      <c r="J1392" s="2">
        <v>7</v>
      </c>
      <c r="K1392" s="2">
        <v>186.91993308375834</v>
      </c>
      <c r="L1392" s="2">
        <v>14735</v>
      </c>
      <c r="M1392" s="2">
        <v>1200</v>
      </c>
      <c r="N1392" s="2">
        <v>250.01856474735251</v>
      </c>
      <c r="O1392" s="2">
        <v>2503.2492710804272</v>
      </c>
      <c r="P1392" s="2">
        <v>1060.4309620568529</v>
      </c>
      <c r="Q1392" s="2">
        <v>250.79205194906632</v>
      </c>
      <c r="R1392" s="2">
        <v>2470.8765582485776</v>
      </c>
      <c r="S1392" s="2">
        <v>1059.7353793908781</v>
      </c>
      <c r="T1392" s="2">
        <v>0.77348720171380592</v>
      </c>
      <c r="U1392" s="2">
        <v>-32.37271283184964</v>
      </c>
      <c r="V1392" s="2">
        <v>-0.69558266597482543</v>
      </c>
    </row>
    <row r="1393" spans="1:22" ht="15">
      <c r="A1393" s="2">
        <v>1392</v>
      </c>
      <c r="B1393" s="2" t="s">
        <v>78</v>
      </c>
      <c r="C1393" s="2" t="s">
        <v>81</v>
      </c>
      <c r="D1393" s="2">
        <v>1038.7116934987716</v>
      </c>
      <c r="E1393" s="2">
        <v>673.80203474313021</v>
      </c>
      <c r="F1393" s="2">
        <v>371.73845609650016</v>
      </c>
      <c r="G1393" s="2">
        <v>266.28826003987342</v>
      </c>
      <c r="H1393" s="2">
        <v>10.205267989542335</v>
      </c>
      <c r="I1393" s="2">
        <v>0.81193478113971651</v>
      </c>
      <c r="J1393" s="2">
        <v>7</v>
      </c>
      <c r="K1393" s="2">
        <v>182.75776359432066</v>
      </c>
      <c r="L1393" s="2">
        <v>16300</v>
      </c>
      <c r="M1393" s="2">
        <v>1200</v>
      </c>
      <c r="N1393" s="2">
        <v>249.96521970276731</v>
      </c>
      <c r="O1393" s="2">
        <v>2502.4364175246196</v>
      </c>
      <c r="P1393" s="2">
        <v>1038.7116934987716</v>
      </c>
      <c r="Q1393" s="2">
        <v>251.95107056011443</v>
      </c>
      <c r="R1393" s="2">
        <v>2520.7019701661475</v>
      </c>
      <c r="S1393" s="2">
        <v>1046.9634932528711</v>
      </c>
      <c r="T1393" s="2">
        <v>1.985850857347117</v>
      </c>
      <c r="U1393" s="2">
        <v>18.265552641527847</v>
      </c>
      <c r="V1393" s="2">
        <v>8.2517997540994656</v>
      </c>
    </row>
    <row r="1394" spans="1:22" ht="15">
      <c r="A1394" s="2">
        <v>1393</v>
      </c>
      <c r="B1394" s="2" t="s">
        <v>78</v>
      </c>
      <c r="C1394" s="2" t="s">
        <v>81</v>
      </c>
      <c r="D1394" s="2">
        <v>1096.1099517531693</v>
      </c>
      <c r="E1394" s="2">
        <v>612.35927356174216</v>
      </c>
      <c r="F1394" s="2">
        <v>733.55048689991236</v>
      </c>
      <c r="G1394" s="2">
        <v>247.89641609648243</v>
      </c>
      <c r="H1394" s="2">
        <v>16.009759174659848</v>
      </c>
      <c r="I1394" s="2">
        <v>0.82049357845680793</v>
      </c>
      <c r="J1394" s="2">
        <v>7</v>
      </c>
      <c r="K1394" s="2">
        <v>190.84504751304578</v>
      </c>
      <c r="L1394" s="2">
        <v>13420</v>
      </c>
      <c r="M1394" s="2">
        <v>1200</v>
      </c>
      <c r="N1394" s="2">
        <v>250.03634997991011</v>
      </c>
      <c r="O1394" s="2">
        <v>2504.0778645149799</v>
      </c>
      <c r="P1394" s="2">
        <v>1096.1099517531693</v>
      </c>
      <c r="Q1394" s="2">
        <v>252.84694346794794</v>
      </c>
      <c r="R1394" s="2">
        <v>2460.4938079229814</v>
      </c>
      <c r="S1394" s="2">
        <v>1105.8660636086256</v>
      </c>
      <c r="T1394" s="2">
        <v>2.8105934880378243</v>
      </c>
      <c r="U1394" s="2">
        <v>-43.584056591998433</v>
      </c>
      <c r="V1394" s="2">
        <v>9.7561118554563109</v>
      </c>
    </row>
    <row r="1395" spans="1:22" ht="15">
      <c r="A1395" s="2">
        <v>1394</v>
      </c>
      <c r="B1395" s="2" t="s">
        <v>78</v>
      </c>
      <c r="C1395" s="2" t="s">
        <v>81</v>
      </c>
      <c r="D1395" s="2">
        <v>1001.6593187698163</v>
      </c>
      <c r="E1395" s="2">
        <v>656.2706058146432</v>
      </c>
      <c r="F1395" s="2">
        <v>524.51557004824281</v>
      </c>
      <c r="G1395" s="2">
        <v>94.788587810471654</v>
      </c>
      <c r="H1395" s="2">
        <v>10.916515231598169</v>
      </c>
      <c r="I1395" s="2">
        <v>0.8208934542769567</v>
      </c>
      <c r="J1395" s="2">
        <v>7</v>
      </c>
      <c r="K1395" s="2">
        <v>174.31517774949913</v>
      </c>
      <c r="L1395" s="2">
        <v>16765</v>
      </c>
      <c r="M1395" s="2">
        <v>1200</v>
      </c>
      <c r="N1395" s="2">
        <v>249.99097175467955</v>
      </c>
      <c r="O1395" s="2">
        <v>2502.2253758142951</v>
      </c>
      <c r="P1395" s="2">
        <v>1001.6593187698163</v>
      </c>
      <c r="Q1395" s="2">
        <v>249.67168228278118</v>
      </c>
      <c r="R1395" s="2">
        <v>2507.7033815012514</v>
      </c>
      <c r="S1395" s="2">
        <v>1012.1488990745274</v>
      </c>
      <c r="T1395" s="2">
        <v>-0.31928947189837231</v>
      </c>
      <c r="U1395" s="2">
        <v>5.4780056869562941</v>
      </c>
      <c r="V1395" s="2">
        <v>10.489580304711126</v>
      </c>
    </row>
    <row r="1396" spans="1:22" ht="15">
      <c r="A1396" s="2">
        <v>1395</v>
      </c>
      <c r="B1396" s="2" t="s">
        <v>79</v>
      </c>
      <c r="C1396" s="2" t="s">
        <v>81</v>
      </c>
      <c r="D1396" s="2">
        <v>1065.4746075859293</v>
      </c>
      <c r="E1396" s="2">
        <v>1061.942714790348</v>
      </c>
      <c r="F1396" s="2">
        <v>627.40343771874905</v>
      </c>
      <c r="G1396" s="2">
        <v>237.24749368382618</v>
      </c>
      <c r="H1396" s="2">
        <v>25.022813630290329</v>
      </c>
      <c r="I1396" s="2">
        <v>0.80289099131478003</v>
      </c>
      <c r="J1396" s="2">
        <v>7</v>
      </c>
      <c r="K1396" s="2">
        <v>189.57823648924949</v>
      </c>
      <c r="L1396" s="2">
        <v>11100</v>
      </c>
      <c r="M1396" s="2">
        <v>1195</v>
      </c>
      <c r="N1396" s="2">
        <v>249.99353720215467</v>
      </c>
      <c r="O1396" s="2">
        <v>2495.5733574043297</v>
      </c>
      <c r="P1396" s="2">
        <v>1065.4746075859293</v>
      </c>
      <c r="Q1396" s="2">
        <v>248.54958628824147</v>
      </c>
      <c r="R1396" s="2">
        <v>2536.1327607049798</v>
      </c>
      <c r="S1396" s="2">
        <v>1056.4574886460127</v>
      </c>
      <c r="T1396" s="2">
        <v>-1.4439509139131985</v>
      </c>
      <c r="U1396" s="2">
        <v>40.559403300650047</v>
      </c>
      <c r="V1396" s="2">
        <v>-9.0171189399165996</v>
      </c>
    </row>
    <row r="1397" spans="1:22" ht="15">
      <c r="A1397" s="2">
        <v>1396</v>
      </c>
      <c r="B1397" s="2" t="s">
        <v>79</v>
      </c>
      <c r="C1397" s="2" t="s">
        <v>81</v>
      </c>
      <c r="D1397" s="2">
        <v>958.80705205490813</v>
      </c>
      <c r="E1397" s="2">
        <v>1006.1715314630419</v>
      </c>
      <c r="F1397" s="2">
        <v>517.29397056624293</v>
      </c>
      <c r="G1397" s="2">
        <v>261.73997791018337</v>
      </c>
      <c r="H1397" s="2">
        <v>12.025818824302405</v>
      </c>
      <c r="I1397" s="2">
        <v>0.83222914615646004</v>
      </c>
      <c r="J1397" s="2">
        <v>6</v>
      </c>
      <c r="K1397" s="2">
        <v>192.01583611978171</v>
      </c>
      <c r="L1397" s="2">
        <v>13975</v>
      </c>
      <c r="M1397" s="2">
        <v>1200</v>
      </c>
      <c r="N1397" s="2">
        <v>249.98173014354467</v>
      </c>
      <c r="O1397" s="2">
        <v>2503.7074612627057</v>
      </c>
      <c r="P1397" s="2">
        <v>958.80705205490813</v>
      </c>
      <c r="Q1397" s="2">
        <v>249.84248656864406</v>
      </c>
      <c r="R1397" s="2">
        <v>2483.165817207966</v>
      </c>
      <c r="S1397" s="2">
        <v>957.21978493276981</v>
      </c>
      <c r="T1397" s="2">
        <v>-0.13924357490060402</v>
      </c>
      <c r="U1397" s="2">
        <v>-20.541644054739663</v>
      </c>
      <c r="V1397" s="2">
        <v>-1.5872671221383143</v>
      </c>
    </row>
    <row r="1398" spans="1:22" ht="15">
      <c r="A1398" s="2">
        <v>1397</v>
      </c>
      <c r="B1398" s="2" t="s">
        <v>79</v>
      </c>
      <c r="C1398" s="2" t="s">
        <v>81</v>
      </c>
      <c r="D1398" s="2">
        <v>992.5360691267997</v>
      </c>
      <c r="E1398" s="2">
        <v>1188.785089540761</v>
      </c>
      <c r="F1398" s="2">
        <v>598.99201076477766</v>
      </c>
      <c r="G1398" s="2">
        <v>280.71589417057112</v>
      </c>
      <c r="H1398" s="2">
        <v>24.082991153001785</v>
      </c>
      <c r="I1398" s="2">
        <v>0.79013505449751398</v>
      </c>
      <c r="J1398" s="2">
        <v>7</v>
      </c>
      <c r="K1398" s="2">
        <v>179.45143201915789</v>
      </c>
      <c r="L1398" s="2">
        <v>10340</v>
      </c>
      <c r="M1398" s="2">
        <v>1195</v>
      </c>
      <c r="N1398" s="2">
        <v>250.02895788283203</v>
      </c>
      <c r="O1398" s="2">
        <v>2496.3959401218635</v>
      </c>
      <c r="P1398" s="2">
        <v>992.5360691267997</v>
      </c>
      <c r="Q1398" s="2">
        <v>252.22531946267694</v>
      </c>
      <c r="R1398" s="2">
        <v>2531.8018461368861</v>
      </c>
      <c r="S1398" s="2">
        <v>979.21865851465702</v>
      </c>
      <c r="T1398" s="2">
        <v>2.1963615798449041</v>
      </c>
      <c r="U1398" s="2">
        <v>35.405906015022538</v>
      </c>
      <c r="V1398" s="2">
        <v>-13.31741061214268</v>
      </c>
    </row>
    <row r="1399" spans="1:22" ht="15">
      <c r="A1399" s="2">
        <v>1398</v>
      </c>
      <c r="B1399" s="2" t="s">
        <v>80</v>
      </c>
      <c r="C1399" s="2" t="s">
        <v>81</v>
      </c>
      <c r="D1399" s="2">
        <v>1039.834679022897</v>
      </c>
      <c r="E1399" s="2">
        <v>1052.8800623258576</v>
      </c>
      <c r="F1399" s="2">
        <v>743.34592642262578</v>
      </c>
      <c r="G1399" s="2">
        <v>219.12863144651055</v>
      </c>
      <c r="H1399" s="2">
        <v>20.696243664715439</v>
      </c>
      <c r="I1399" s="2">
        <v>0.85420751867350198</v>
      </c>
      <c r="J1399" s="2">
        <v>7</v>
      </c>
      <c r="K1399" s="2">
        <v>173.901315595612</v>
      </c>
      <c r="L1399" s="2">
        <v>10610</v>
      </c>
      <c r="M1399" s="2">
        <v>1195</v>
      </c>
      <c r="N1399" s="2">
        <v>249.9668290686671</v>
      </c>
      <c r="O1399" s="2">
        <v>2496.0878998887661</v>
      </c>
      <c r="P1399" s="2">
        <v>1039.834679022897</v>
      </c>
      <c r="Q1399" s="2">
        <v>249.95331473903167</v>
      </c>
      <c r="R1399" s="2">
        <v>2477.5795723217902</v>
      </c>
      <c r="S1399" s="2">
        <v>1028.9685574233661</v>
      </c>
      <c r="T1399" s="2">
        <v>-1.3514329635427202E-2</v>
      </c>
      <c r="U1399" s="2">
        <v>-18.508327566975822</v>
      </c>
      <c r="V1399" s="2">
        <v>-10.86612159953097</v>
      </c>
    </row>
    <row r="1400" spans="1:22" ht="15">
      <c r="A1400" s="2">
        <v>1399</v>
      </c>
      <c r="B1400" s="2" t="s">
        <v>80</v>
      </c>
      <c r="C1400" s="2" t="s">
        <v>81</v>
      </c>
      <c r="D1400" s="2">
        <v>1006.4594061346725</v>
      </c>
      <c r="E1400" s="2">
        <v>1156.4282169681974</v>
      </c>
      <c r="F1400" s="2">
        <v>707.71887451410294</v>
      </c>
      <c r="G1400" s="2">
        <v>145.0173602043651</v>
      </c>
      <c r="H1400" s="2">
        <v>15.08498243521899</v>
      </c>
      <c r="I1400" s="2">
        <v>0.83321379456436262</v>
      </c>
      <c r="J1400" s="2">
        <v>7</v>
      </c>
      <c r="K1400" s="2">
        <v>172.5606514199275</v>
      </c>
      <c r="L1400" s="2">
        <v>10645</v>
      </c>
      <c r="M1400" s="2">
        <v>1195</v>
      </c>
      <c r="N1400" s="2">
        <v>250.02094742389986</v>
      </c>
      <c r="O1400" s="2">
        <v>2496.0520158223826</v>
      </c>
      <c r="P1400" s="2">
        <v>1006.4594061346725</v>
      </c>
      <c r="Q1400" s="2">
        <v>255.72201619374636</v>
      </c>
      <c r="R1400" s="2">
        <v>2541.1385708441226</v>
      </c>
      <c r="S1400" s="2">
        <v>1001.3703062988013</v>
      </c>
      <c r="T1400" s="2">
        <v>5.7010687698465006</v>
      </c>
      <c r="U1400" s="2">
        <v>45.086555021739969</v>
      </c>
      <c r="V1400" s="2">
        <v>-5.0890998358711386</v>
      </c>
    </row>
    <row r="1401" spans="1:22" ht="15">
      <c r="A1401" s="2">
        <v>1400</v>
      </c>
      <c r="B1401" s="2" t="s">
        <v>80</v>
      </c>
      <c r="C1401" s="2" t="s">
        <v>81</v>
      </c>
      <c r="D1401" s="2">
        <v>1083.0471469904296</v>
      </c>
      <c r="E1401" s="2">
        <v>763.60257668420672</v>
      </c>
      <c r="F1401" s="2">
        <v>739.16889941319823</v>
      </c>
      <c r="G1401" s="2">
        <v>240.45183932874352</v>
      </c>
      <c r="H1401" s="2">
        <v>21.805058961268514</v>
      </c>
      <c r="I1401" s="2">
        <v>0.79942136642523109</v>
      </c>
      <c r="J1401" s="2">
        <v>7</v>
      </c>
      <c r="K1401" s="2">
        <v>193.54126308944942</v>
      </c>
      <c r="L1401" s="2">
        <v>12270</v>
      </c>
      <c r="M1401" s="2">
        <v>1200</v>
      </c>
      <c r="N1401" s="2">
        <v>250.04203239552501</v>
      </c>
      <c r="O1401" s="2">
        <v>2504.9476515637589</v>
      </c>
      <c r="P1401" s="2">
        <v>1083.0471469904296</v>
      </c>
      <c r="Q1401" s="2">
        <v>248.51153616078835</v>
      </c>
      <c r="R1401" s="2">
        <v>2494.7717587289126</v>
      </c>
      <c r="S1401" s="2">
        <v>1078.5906045667107</v>
      </c>
      <c r="T1401" s="2">
        <v>-1.5304962347366597</v>
      </c>
      <c r="U1401" s="2">
        <v>-10.175892834846309</v>
      </c>
      <c r="V1401" s="2">
        <v>-4.4565424237189291</v>
      </c>
    </row>
    <row r="1402" spans="1:22" ht="15">
      <c r="A1402" s="2">
        <v>1401</v>
      </c>
      <c r="B1402" s="2" t="s">
        <v>78</v>
      </c>
      <c r="C1402" s="2" t="s">
        <v>81</v>
      </c>
      <c r="D1402" s="2">
        <v>1099.2077950388193</v>
      </c>
      <c r="E1402" s="2">
        <v>775.27114212280139</v>
      </c>
      <c r="F1402" s="2">
        <v>720.02223897725344</v>
      </c>
      <c r="G1402" s="2">
        <v>181.1005011969246</v>
      </c>
      <c r="H1402" s="2">
        <v>18.6279187630862</v>
      </c>
      <c r="I1402" s="2">
        <v>0.85895834100665525</v>
      </c>
      <c r="J1402" s="2">
        <v>7</v>
      </c>
      <c r="K1402" s="2">
        <v>182.81408714363826</v>
      </c>
      <c r="L1402" s="2">
        <v>12755</v>
      </c>
      <c r="M1402" s="2">
        <v>1200</v>
      </c>
      <c r="N1402" s="2">
        <v>249.96073791792477</v>
      </c>
      <c r="O1402" s="2">
        <v>2504.5586240676271</v>
      </c>
      <c r="P1402" s="2">
        <v>1099.2077950388193</v>
      </c>
      <c r="Q1402" s="2">
        <v>251.63682227790028</v>
      </c>
      <c r="R1402" s="2">
        <v>2513.9398432448124</v>
      </c>
      <c r="S1402" s="2">
        <v>1103.2867576846256</v>
      </c>
      <c r="T1402" s="2">
        <v>1.6760843599755049</v>
      </c>
      <c r="U1402" s="2">
        <v>9.3812191771853577</v>
      </c>
      <c r="V1402" s="2">
        <v>4.078962645806314</v>
      </c>
    </row>
    <row r="1403" spans="1:22" ht="15">
      <c r="A1403" s="2">
        <v>1402</v>
      </c>
      <c r="B1403" s="2" t="s">
        <v>78</v>
      </c>
      <c r="C1403" s="2" t="s">
        <v>81</v>
      </c>
      <c r="D1403" s="2">
        <v>1033.5251043201424</v>
      </c>
      <c r="E1403" s="2">
        <v>858.6076176026836</v>
      </c>
      <c r="F1403" s="2">
        <v>595.00571647658944</v>
      </c>
      <c r="G1403" s="2">
        <v>226.65336511097848</v>
      </c>
      <c r="H1403" s="2">
        <v>8.1388943311758339</v>
      </c>
      <c r="I1403" s="2">
        <v>0.79089121409226215</v>
      </c>
      <c r="J1403" s="2">
        <v>7</v>
      </c>
      <c r="K1403" s="2">
        <v>186.68363087553811</v>
      </c>
      <c r="L1403" s="2">
        <v>12730</v>
      </c>
      <c r="M1403" s="2">
        <v>1200</v>
      </c>
      <c r="N1403" s="2">
        <v>250.04689515578897</v>
      </c>
      <c r="O1403" s="2">
        <v>2504.5811685093258</v>
      </c>
      <c r="P1403" s="2">
        <v>1033.5251043201424</v>
      </c>
      <c r="Q1403" s="2">
        <v>251.06027105810958</v>
      </c>
      <c r="R1403" s="2">
        <v>2507.12789606448</v>
      </c>
      <c r="S1403" s="2">
        <v>1035.4647823590908</v>
      </c>
      <c r="T1403" s="2">
        <v>1.0133759023206039</v>
      </c>
      <c r="U1403" s="2">
        <v>2.5467275551541206</v>
      </c>
      <c r="V1403" s="2">
        <v>1.9396780389483865</v>
      </c>
    </row>
    <row r="1404" spans="1:22" ht="15">
      <c r="A1404" s="2">
        <v>1403</v>
      </c>
      <c r="B1404" s="2" t="s">
        <v>78</v>
      </c>
      <c r="C1404" s="2" t="s">
        <v>81</v>
      </c>
      <c r="D1404" s="2">
        <v>971.82118638884276</v>
      </c>
      <c r="E1404" s="2">
        <v>797.96436583856121</v>
      </c>
      <c r="F1404" s="2">
        <v>712.76406981050968</v>
      </c>
      <c r="G1404" s="2">
        <v>303.58032985357568</v>
      </c>
      <c r="H1404" s="2">
        <v>17.465853431262076</v>
      </c>
      <c r="I1404" s="2">
        <v>0.85006053107557822</v>
      </c>
      <c r="J1404" s="2">
        <v>6</v>
      </c>
      <c r="K1404" s="2">
        <v>190.53960489911648</v>
      </c>
      <c r="L1404" s="2">
        <v>13750</v>
      </c>
      <c r="M1404" s="2">
        <v>1200</v>
      </c>
      <c r="N1404" s="2">
        <v>249.96683210575509</v>
      </c>
      <c r="O1404" s="2">
        <v>2503.8526750163519</v>
      </c>
      <c r="P1404" s="2">
        <v>971.82118638884276</v>
      </c>
      <c r="Q1404" s="2">
        <v>250.3249116494635</v>
      </c>
      <c r="R1404" s="2">
        <v>2515.6111643320073</v>
      </c>
      <c r="S1404" s="2">
        <v>971.20675099715766</v>
      </c>
      <c r="T1404" s="2">
        <v>0.35807954370841344</v>
      </c>
      <c r="U1404" s="2">
        <v>11.758489315655424</v>
      </c>
      <c r="V1404" s="2">
        <v>-0.61443539168510597</v>
      </c>
    </row>
    <row r="1405" spans="1:22" ht="15">
      <c r="A1405" s="2">
        <v>1404</v>
      </c>
      <c r="B1405" s="2" t="s">
        <v>78</v>
      </c>
      <c r="C1405" s="2" t="s">
        <v>81</v>
      </c>
      <c r="D1405" s="2">
        <v>1001.8001895747148</v>
      </c>
      <c r="E1405" s="2">
        <v>799.16887464933097</v>
      </c>
      <c r="F1405" s="2">
        <v>518.93529845401645</v>
      </c>
      <c r="G1405" s="2">
        <v>281.30397554021329</v>
      </c>
      <c r="H1405" s="2">
        <v>13.183469872456044</v>
      </c>
      <c r="I1405" s="2">
        <v>0.84212755322456367</v>
      </c>
      <c r="J1405" s="2">
        <v>6</v>
      </c>
      <c r="K1405" s="2">
        <v>198.26770614870111</v>
      </c>
      <c r="L1405" s="2">
        <v>15600</v>
      </c>
      <c r="M1405" s="2">
        <v>1200</v>
      </c>
      <c r="N1405" s="2">
        <v>250.00698055296428</v>
      </c>
      <c r="O1405" s="2">
        <v>2502.7804068984715</v>
      </c>
      <c r="P1405" s="2">
        <v>1001.8001895747148</v>
      </c>
      <c r="Q1405" s="2">
        <v>251.8237289167559</v>
      </c>
      <c r="R1405" s="2">
        <v>2525.9915754576409</v>
      </c>
      <c r="S1405" s="2">
        <v>1005.9712198173963</v>
      </c>
      <c r="T1405" s="2">
        <v>1.8167483637916177</v>
      </c>
      <c r="U1405" s="2">
        <v>23.211168559169437</v>
      </c>
      <c r="V1405" s="2">
        <v>4.1710302426815815</v>
      </c>
    </row>
    <row r="1406" spans="1:22" ht="15">
      <c r="A1406" s="2">
        <v>1405</v>
      </c>
      <c r="B1406" s="2" t="s">
        <v>78</v>
      </c>
      <c r="C1406" s="2" t="s">
        <v>81</v>
      </c>
      <c r="D1406" s="2">
        <v>1080.5782425682992</v>
      </c>
      <c r="E1406" s="2">
        <v>750.02517447574064</v>
      </c>
      <c r="F1406" s="2">
        <v>692.76210125535727</v>
      </c>
      <c r="G1406" s="2">
        <v>193.13703918131068</v>
      </c>
      <c r="H1406" s="2">
        <v>29.04610326513648</v>
      </c>
      <c r="I1406" s="2">
        <v>0.8034619440534152</v>
      </c>
      <c r="J1406" s="2">
        <v>7</v>
      </c>
      <c r="K1406" s="2">
        <v>192.12897575225702</v>
      </c>
      <c r="L1406" s="2">
        <v>13075</v>
      </c>
      <c r="M1406" s="2">
        <v>1200</v>
      </c>
      <c r="N1406" s="2">
        <v>250.04637726228563</v>
      </c>
      <c r="O1406" s="2">
        <v>2504.3230426219679</v>
      </c>
      <c r="P1406" s="2">
        <v>1080.5782425682992</v>
      </c>
      <c r="Q1406" s="2">
        <v>250.80649596113602</v>
      </c>
      <c r="R1406" s="2">
        <v>2485.880005664174</v>
      </c>
      <c r="S1406" s="2">
        <v>1064.0600998757218</v>
      </c>
      <c r="T1406" s="2">
        <v>0.76011869885039118</v>
      </c>
      <c r="U1406" s="2">
        <v>-18.443036957793993</v>
      </c>
      <c r="V1406" s="2">
        <v>-16.518142692577385</v>
      </c>
    </row>
    <row r="1407" spans="1:22" ht="15">
      <c r="A1407" s="2">
        <v>1406</v>
      </c>
      <c r="B1407" s="2" t="s">
        <v>78</v>
      </c>
      <c r="C1407" s="2" t="s">
        <v>81</v>
      </c>
      <c r="D1407" s="2">
        <v>1036.9063887861557</v>
      </c>
      <c r="E1407" s="2">
        <v>1216.2193777738139</v>
      </c>
      <c r="F1407" s="2">
        <v>573.52808611467481</v>
      </c>
      <c r="G1407" s="2">
        <v>193.7295113876462</v>
      </c>
      <c r="H1407" s="2">
        <v>23.308437319938093</v>
      </c>
      <c r="I1407" s="2">
        <v>0.79580193522851916</v>
      </c>
      <c r="J1407" s="2">
        <v>7</v>
      </c>
      <c r="K1407" s="2">
        <v>186.13863268599835</v>
      </c>
      <c r="L1407" s="2">
        <v>10780</v>
      </c>
      <c r="M1407" s="2">
        <v>1195</v>
      </c>
      <c r="N1407" s="2">
        <v>249.95484296166336</v>
      </c>
      <c r="O1407" s="2">
        <v>2495.9031069344419</v>
      </c>
      <c r="P1407" s="2">
        <v>1036.9063887861557</v>
      </c>
      <c r="Q1407" s="2">
        <v>248.07236165975326</v>
      </c>
      <c r="R1407" s="2">
        <v>2487.9920614918969</v>
      </c>
      <c r="S1407" s="2">
        <v>1021.0594265803671</v>
      </c>
      <c r="T1407" s="2">
        <v>-1.8824813019101043</v>
      </c>
      <c r="U1407" s="2">
        <v>-7.9110454425449461</v>
      </c>
      <c r="V1407" s="2">
        <v>-15.8469622057886</v>
      </c>
    </row>
    <row r="1408" spans="1:22" ht="15">
      <c r="A1408" s="2">
        <v>1407</v>
      </c>
      <c r="B1408" s="2" t="s">
        <v>78</v>
      </c>
      <c r="C1408" s="2" t="s">
        <v>81</v>
      </c>
      <c r="D1408" s="2">
        <v>1050.8821219438687</v>
      </c>
      <c r="E1408" s="2">
        <v>814.23486053245142</v>
      </c>
      <c r="F1408" s="2">
        <v>555.95197603106499</v>
      </c>
      <c r="G1408" s="2">
        <v>272.08143599098548</v>
      </c>
      <c r="H1408" s="2">
        <v>22.190870172344148</v>
      </c>
      <c r="I1408" s="2">
        <v>0.83889537082752219</v>
      </c>
      <c r="J1408" s="2">
        <v>7</v>
      </c>
      <c r="K1408" s="2">
        <v>178.95678369575691</v>
      </c>
      <c r="L1408" s="2">
        <v>13020</v>
      </c>
      <c r="M1408" s="2">
        <v>1200</v>
      </c>
      <c r="N1408" s="2">
        <v>249.95997996857267</v>
      </c>
      <c r="O1408" s="2">
        <v>2504.3599720681941</v>
      </c>
      <c r="P1408" s="2">
        <v>1050.8821219438687</v>
      </c>
      <c r="Q1408" s="2">
        <v>250.99503509799879</v>
      </c>
      <c r="R1408" s="2">
        <v>2538.272651867846</v>
      </c>
      <c r="S1408" s="2">
        <v>1044.2372814870128</v>
      </c>
      <c r="T1408" s="2">
        <v>1.0350551294261265</v>
      </c>
      <c r="U1408" s="2">
        <v>33.912679799651869</v>
      </c>
      <c r="V1408" s="2">
        <v>-6.6448404568559454</v>
      </c>
    </row>
    <row r="1409" spans="1:22" ht="15">
      <c r="A1409" s="2">
        <v>1408</v>
      </c>
      <c r="B1409" s="2" t="s">
        <v>78</v>
      </c>
      <c r="C1409" s="2" t="s">
        <v>81</v>
      </c>
      <c r="D1409" s="2">
        <v>1020.5396385747008</v>
      </c>
      <c r="E1409" s="2">
        <v>1151.6712490469217</v>
      </c>
      <c r="F1409" s="2">
        <v>435.70092907175422</v>
      </c>
      <c r="G1409" s="2">
        <v>225.86896926630288</v>
      </c>
      <c r="H1409" s="2">
        <v>17.247478769626468</v>
      </c>
      <c r="I1409" s="2">
        <v>0.83070343422703452</v>
      </c>
      <c r="J1409" s="2">
        <v>7</v>
      </c>
      <c r="K1409" s="2">
        <v>175.50352018816574</v>
      </c>
      <c r="L1409" s="2">
        <v>11795</v>
      </c>
      <c r="M1409" s="2">
        <v>1195</v>
      </c>
      <c r="N1409" s="2">
        <v>250.0165624770415</v>
      </c>
      <c r="O1409" s="2">
        <v>2494.9162592031275</v>
      </c>
      <c r="P1409" s="2">
        <v>1020.5396385747008</v>
      </c>
      <c r="Q1409" s="2">
        <v>250.28239404448448</v>
      </c>
      <c r="R1409" s="2">
        <v>2544.664425601778</v>
      </c>
      <c r="S1409" s="2">
        <v>1017.3921914314359</v>
      </c>
      <c r="T1409" s="2">
        <v>0.26583156744297298</v>
      </c>
      <c r="U1409" s="2">
        <v>49.748166398650483</v>
      </c>
      <c r="V1409" s="2">
        <v>-3.1474471432649125</v>
      </c>
    </row>
    <row r="1410" spans="1:22" ht="15">
      <c r="A1410" s="2">
        <v>1409</v>
      </c>
      <c r="B1410" s="2" t="s">
        <v>78</v>
      </c>
      <c r="C1410" s="2" t="s">
        <v>81</v>
      </c>
      <c r="D1410" s="2">
        <v>1037.5993574969471</v>
      </c>
      <c r="E1410" s="2">
        <v>1059.1071407659911</v>
      </c>
      <c r="F1410" s="2">
        <v>483.49396530538797</v>
      </c>
      <c r="G1410" s="2">
        <v>165.64196253428236</v>
      </c>
      <c r="H1410" s="2">
        <v>29.709984520450234</v>
      </c>
      <c r="I1410" s="2">
        <v>0.83192808400141083</v>
      </c>
      <c r="J1410" s="2">
        <v>7</v>
      </c>
      <c r="K1410" s="2">
        <v>178.17463130883993</v>
      </c>
      <c r="L1410" s="2">
        <v>12520</v>
      </c>
      <c r="M1410" s="2">
        <v>1200</v>
      </c>
      <c r="N1410" s="2">
        <v>250.01711329152482</v>
      </c>
      <c r="O1410" s="2">
        <v>2504.7440245509674</v>
      </c>
      <c r="P1410" s="2">
        <v>1037.5993574969471</v>
      </c>
      <c r="Q1410" s="2">
        <v>247.04686062266026</v>
      </c>
      <c r="R1410" s="2">
        <v>2521.863823019261</v>
      </c>
      <c r="S1410" s="2">
        <v>1026.1165580781194</v>
      </c>
      <c r="T1410" s="2">
        <v>-2.9702526688645605</v>
      </c>
      <c r="U1410" s="2">
        <v>17.119798468293538</v>
      </c>
      <c r="V1410" s="2">
        <v>-11.482799418827653</v>
      </c>
    </row>
    <row r="1411" spans="1:22" ht="15">
      <c r="A1411" s="2">
        <v>1410</v>
      </c>
      <c r="B1411" s="2" t="s">
        <v>78</v>
      </c>
      <c r="C1411" s="2" t="s">
        <v>81</v>
      </c>
      <c r="D1411" s="2">
        <v>1035.2980872266926</v>
      </c>
      <c r="E1411" s="2">
        <v>1180.8885610895231</v>
      </c>
      <c r="F1411" s="2">
        <v>402.67182821407914</v>
      </c>
      <c r="G1411" s="2">
        <v>123.30326826311648</v>
      </c>
      <c r="H1411" s="2">
        <v>23.982793830800802</v>
      </c>
      <c r="I1411" s="2">
        <v>0.79348316533956675</v>
      </c>
      <c r="J1411" s="2">
        <v>7</v>
      </c>
      <c r="K1411" s="2">
        <v>186.3930240830976</v>
      </c>
      <c r="L1411" s="2">
        <v>12530</v>
      </c>
      <c r="M1411" s="2">
        <v>1200</v>
      </c>
      <c r="N1411" s="2">
        <v>250.01461983703393</v>
      </c>
      <c r="O1411" s="2">
        <v>2504.7359947234272</v>
      </c>
      <c r="P1411" s="2">
        <v>1035.2980872266926</v>
      </c>
      <c r="Q1411" s="2">
        <v>247.51316439598932</v>
      </c>
      <c r="R1411" s="2">
        <v>2569.1341234446049</v>
      </c>
      <c r="S1411" s="2">
        <v>1029.7812375566302</v>
      </c>
      <c r="T1411" s="2">
        <v>-2.5014554410446124</v>
      </c>
      <c r="U1411" s="2">
        <v>64.398128721177727</v>
      </c>
      <c r="V1411" s="2">
        <v>-5.5168496700623564</v>
      </c>
    </row>
    <row r="1412" spans="1:22" ht="15">
      <c r="A1412" s="2">
        <v>1411</v>
      </c>
      <c r="B1412" s="2" t="s">
        <v>78</v>
      </c>
      <c r="C1412" s="2" t="s">
        <v>81</v>
      </c>
      <c r="D1412" s="2">
        <v>1072.6416248595342</v>
      </c>
      <c r="E1412" s="2">
        <v>1189.4612190895714</v>
      </c>
      <c r="F1412" s="2">
        <v>374.09184686839581</v>
      </c>
      <c r="G1412" s="2">
        <v>314.89737854106352</v>
      </c>
      <c r="H1412" s="2">
        <v>18.386909012682736</v>
      </c>
      <c r="I1412" s="2">
        <v>0.79928400815231726</v>
      </c>
      <c r="J1412" s="2">
        <v>7</v>
      </c>
      <c r="K1412" s="2">
        <v>191.71473002606959</v>
      </c>
      <c r="L1412" s="2">
        <v>11385</v>
      </c>
      <c r="M1412" s="2">
        <v>1195</v>
      </c>
      <c r="N1412" s="2">
        <v>250.0046722702827</v>
      </c>
      <c r="O1412" s="2">
        <v>2495.2942739119862</v>
      </c>
      <c r="P1412" s="2">
        <v>1072.6416248595342</v>
      </c>
      <c r="Q1412" s="2">
        <v>248.57349281574147</v>
      </c>
      <c r="R1412" s="2">
        <v>2487.5034308583472</v>
      </c>
      <c r="S1412" s="2">
        <v>1062.218691622224</v>
      </c>
      <c r="T1412" s="2">
        <v>-1.4311794545412226</v>
      </c>
      <c r="U1412" s="2">
        <v>-7.790843053639037</v>
      </c>
      <c r="V1412" s="2">
        <v>-10.42293323731019</v>
      </c>
    </row>
    <row r="1413" spans="1:22" ht="15">
      <c r="A1413" s="2">
        <v>1412</v>
      </c>
      <c r="B1413" s="2" t="s">
        <v>78</v>
      </c>
      <c r="C1413" s="2" t="s">
        <v>81</v>
      </c>
      <c r="D1413" s="2">
        <v>1058.9500352158211</v>
      </c>
      <c r="E1413" s="2">
        <v>1002.0371791440994</v>
      </c>
      <c r="F1413" s="2">
        <v>404.80554727837443</v>
      </c>
      <c r="G1413" s="2">
        <v>141.25670333858579</v>
      </c>
      <c r="H1413" s="2">
        <v>18.836465440224856</v>
      </c>
      <c r="I1413" s="2">
        <v>0.83718759080395111</v>
      </c>
      <c r="J1413" s="2">
        <v>7</v>
      </c>
      <c r="K1413" s="2">
        <v>180.69854130796446</v>
      </c>
      <c r="L1413" s="2">
        <v>13815</v>
      </c>
      <c r="M1413" s="2">
        <v>1200</v>
      </c>
      <c r="N1413" s="2">
        <v>250.01436205157361</v>
      </c>
      <c r="O1413" s="2">
        <v>2503.8117964005251</v>
      </c>
      <c r="P1413" s="2">
        <v>1058.9500352158211</v>
      </c>
      <c r="Q1413" s="2">
        <v>250.25992140694152</v>
      </c>
      <c r="R1413" s="2">
        <v>2506.7255353592409</v>
      </c>
      <c r="S1413" s="2">
        <v>1063.2255529049735</v>
      </c>
      <c r="T1413" s="2">
        <v>0.2455593553679023</v>
      </c>
      <c r="U1413" s="2">
        <v>2.9137389587158395</v>
      </c>
      <c r="V1413" s="2">
        <v>4.2755176891523661</v>
      </c>
    </row>
    <row r="1414" spans="1:22" ht="15">
      <c r="A1414" s="2">
        <v>1413</v>
      </c>
      <c r="B1414" s="2" t="s">
        <v>78</v>
      </c>
      <c r="C1414" s="2" t="s">
        <v>81</v>
      </c>
      <c r="D1414" s="2">
        <v>1025.6876165512949</v>
      </c>
      <c r="E1414" s="2">
        <v>666.51770713506266</v>
      </c>
      <c r="F1414" s="2">
        <v>466.86964463442564</v>
      </c>
      <c r="G1414" s="2">
        <v>167.28894154774025</v>
      </c>
      <c r="H1414" s="2">
        <v>24.231313608586788</v>
      </c>
      <c r="I1414" s="2">
        <v>0.79788399921962994</v>
      </c>
      <c r="J1414" s="2">
        <v>7</v>
      </c>
      <c r="K1414" s="2">
        <v>183.64424215522706</v>
      </c>
      <c r="L1414" s="2">
        <v>16440</v>
      </c>
      <c r="M1414" s="2">
        <v>1200</v>
      </c>
      <c r="N1414" s="2">
        <v>249.96909202922257</v>
      </c>
      <c r="O1414" s="2">
        <v>2502.371496838658</v>
      </c>
      <c r="P1414" s="2">
        <v>1025.6876165512949</v>
      </c>
      <c r="Q1414" s="2">
        <v>246.00654580135446</v>
      </c>
      <c r="R1414" s="2">
        <v>2458.7484977698823</v>
      </c>
      <c r="S1414" s="2">
        <v>1021.5582830259292</v>
      </c>
      <c r="T1414" s="2">
        <v>-3.9625462278681027</v>
      </c>
      <c r="U1414" s="2">
        <v>-43.622999068775698</v>
      </c>
      <c r="V1414" s="2">
        <v>-4.1293335253657233</v>
      </c>
    </row>
    <row r="1415" spans="1:22" ht="15">
      <c r="A1415" s="2">
        <v>1414</v>
      </c>
      <c r="B1415" s="2" t="s">
        <v>78</v>
      </c>
      <c r="C1415" s="2" t="s">
        <v>81</v>
      </c>
      <c r="D1415" s="2">
        <v>1072.7605610270984</v>
      </c>
      <c r="E1415" s="2">
        <v>1069.0999168669805</v>
      </c>
      <c r="F1415" s="2">
        <v>714.65673418715596</v>
      </c>
      <c r="G1415" s="2">
        <v>295.56254057213664</v>
      </c>
      <c r="H1415" s="2">
        <v>12.123928947839886</v>
      </c>
      <c r="I1415" s="2">
        <v>0.83462626823689789</v>
      </c>
      <c r="J1415" s="2">
        <v>7</v>
      </c>
      <c r="K1415" s="2">
        <v>183.61692478466117</v>
      </c>
      <c r="L1415" s="2">
        <v>10285</v>
      </c>
      <c r="M1415" s="2">
        <v>1195</v>
      </c>
      <c r="N1415" s="2">
        <v>250.00032881980354</v>
      </c>
      <c r="O1415" s="2">
        <v>2496.4586989913018</v>
      </c>
      <c r="P1415" s="2">
        <v>1072.7605610270984</v>
      </c>
      <c r="Q1415" s="2">
        <v>251.09584200374246</v>
      </c>
      <c r="R1415" s="2">
        <v>2497.4086220824879</v>
      </c>
      <c r="S1415" s="2">
        <v>1073.7018370094506</v>
      </c>
      <c r="T1415" s="2">
        <v>1.0955131839389196</v>
      </c>
      <c r="U1415" s="2">
        <v>0.94992309118606499</v>
      </c>
      <c r="V1415" s="2">
        <v>0.94127598235218102</v>
      </c>
    </row>
    <row r="1416" spans="1:22" ht="15">
      <c r="A1416" s="2">
        <v>1415</v>
      </c>
      <c r="B1416" s="2" t="s">
        <v>79</v>
      </c>
      <c r="C1416" s="2" t="s">
        <v>81</v>
      </c>
      <c r="D1416" s="2">
        <v>1058.9715360896662</v>
      </c>
      <c r="E1416" s="2">
        <v>736.58600599737838</v>
      </c>
      <c r="F1416" s="2">
        <v>642.35505759716034</v>
      </c>
      <c r="G1416" s="2">
        <v>327.92131403228268</v>
      </c>
      <c r="H1416" s="2">
        <v>11.014578911475837</v>
      </c>
      <c r="I1416" s="2">
        <v>0.85731492638355122</v>
      </c>
      <c r="J1416" s="2">
        <v>7</v>
      </c>
      <c r="K1416" s="2">
        <v>176.4598321540573</v>
      </c>
      <c r="L1416" s="2">
        <v>12530</v>
      </c>
      <c r="M1416" s="2">
        <v>1200</v>
      </c>
      <c r="N1416" s="2">
        <v>250.01412371364481</v>
      </c>
      <c r="O1416" s="2">
        <v>2504.7359872726411</v>
      </c>
      <c r="P1416" s="2">
        <v>1058.9715360896662</v>
      </c>
      <c r="Q1416" s="2">
        <v>249.41142108846833</v>
      </c>
      <c r="R1416" s="2">
        <v>2510.3068358797664</v>
      </c>
      <c r="S1416" s="2">
        <v>1060.0429108632686</v>
      </c>
      <c r="T1416" s="2">
        <v>-0.60270262517647666</v>
      </c>
      <c r="U1416" s="2">
        <v>5.5708486071252992</v>
      </c>
      <c r="V1416" s="2">
        <v>1.0713747736024288</v>
      </c>
    </row>
    <row r="1417" spans="1:22" ht="15">
      <c r="A1417" s="2">
        <v>1416</v>
      </c>
      <c r="B1417" s="2" t="s">
        <v>79</v>
      </c>
      <c r="C1417" s="2" t="s">
        <v>81</v>
      </c>
      <c r="D1417" s="2">
        <v>1004.4761975179426</v>
      </c>
      <c r="E1417" s="2">
        <v>938.36291404440999</v>
      </c>
      <c r="F1417" s="2">
        <v>585.65781777724624</v>
      </c>
      <c r="G1417" s="2">
        <v>94.726787456311285</v>
      </c>
      <c r="H1417" s="2">
        <v>22.511878458317369</v>
      </c>
      <c r="I1417" s="2">
        <v>0.8080864922050387</v>
      </c>
      <c r="J1417" s="2">
        <v>7</v>
      </c>
      <c r="K1417" s="2">
        <v>177.57579297465904</v>
      </c>
      <c r="L1417" s="2">
        <v>13210</v>
      </c>
      <c r="M1417" s="2">
        <v>1200</v>
      </c>
      <c r="N1417" s="2">
        <v>249.97543199239243</v>
      </c>
      <c r="O1417" s="2">
        <v>2504.223053059221</v>
      </c>
      <c r="P1417" s="2">
        <v>1004.4761975179426</v>
      </c>
      <c r="Q1417" s="2">
        <v>250.07131859387346</v>
      </c>
      <c r="R1417" s="2">
        <v>2530.6793650271197</v>
      </c>
      <c r="S1417" s="2">
        <v>1000.1037858526455</v>
      </c>
      <c r="T1417" s="2">
        <v>9.5886601481026901E-2</v>
      </c>
      <c r="U1417" s="2">
        <v>26.456311967898728</v>
      </c>
      <c r="V1417" s="2">
        <v>-4.3724116652971361</v>
      </c>
    </row>
    <row r="1418" spans="1:22" ht="15">
      <c r="A1418" s="2">
        <v>1417</v>
      </c>
      <c r="B1418" s="2" t="s">
        <v>79</v>
      </c>
      <c r="C1418" s="2" t="s">
        <v>81</v>
      </c>
      <c r="D1418" s="2">
        <v>1053.8908975198865</v>
      </c>
      <c r="E1418" s="2">
        <v>736.95276830112562</v>
      </c>
      <c r="F1418" s="2">
        <v>725.44653136283159</v>
      </c>
      <c r="G1418" s="2">
        <v>225.02744149649516</v>
      </c>
      <c r="H1418" s="2">
        <v>17.774507319554687</v>
      </c>
      <c r="I1418" s="2">
        <v>0.83769410916836939</v>
      </c>
      <c r="J1418" s="2">
        <v>7</v>
      </c>
      <c r="K1418" s="2">
        <v>179.72651455351286</v>
      </c>
      <c r="L1418" s="2">
        <v>12675</v>
      </c>
      <c r="M1418" s="2">
        <v>1200</v>
      </c>
      <c r="N1418" s="2">
        <v>250.02770400169135</v>
      </c>
      <c r="O1418" s="2">
        <v>2504.6228485456431</v>
      </c>
      <c r="P1418" s="2">
        <v>1053.8908975198865</v>
      </c>
      <c r="Q1418" s="2">
        <v>248.07474354178368</v>
      </c>
      <c r="R1418" s="2">
        <v>2504.6020344925064</v>
      </c>
      <c r="S1418" s="2">
        <v>1049.1986804353373</v>
      </c>
      <c r="T1418" s="2">
        <v>-1.952960459907672</v>
      </c>
      <c r="U1418" s="2">
        <v>-2.0814053136746224E-2</v>
      </c>
      <c r="V1418" s="2">
        <v>-4.6922170845491564</v>
      </c>
    </row>
    <row r="1419" spans="1:22" ht="15">
      <c r="A1419" s="2">
        <v>1418</v>
      </c>
      <c r="B1419" s="2" t="s">
        <v>80</v>
      </c>
      <c r="C1419" s="2" t="s">
        <v>81</v>
      </c>
      <c r="D1419" s="2">
        <v>1039.9947584257461</v>
      </c>
      <c r="E1419" s="2">
        <v>646.27484756056219</v>
      </c>
      <c r="F1419" s="2">
        <v>438.66457054391503</v>
      </c>
      <c r="G1419" s="2">
        <v>135.44487456791103</v>
      </c>
      <c r="H1419" s="2">
        <v>24.619428787846118</v>
      </c>
      <c r="I1419" s="2">
        <v>0.85967095215339218</v>
      </c>
      <c r="J1419" s="2">
        <v>7</v>
      </c>
      <c r="K1419" s="2">
        <v>172.82272874633193</v>
      </c>
      <c r="L1419" s="2">
        <v>17525</v>
      </c>
      <c r="M1419" s="2">
        <v>1200</v>
      </c>
      <c r="N1419" s="2">
        <v>250.01719291931934</v>
      </c>
      <c r="O1419" s="2">
        <v>2501.9041010445044</v>
      </c>
      <c r="P1419" s="2">
        <v>1039.9947584257461</v>
      </c>
      <c r="Q1419" s="2">
        <v>248.89196704836411</v>
      </c>
      <c r="R1419" s="2">
        <v>2465.8367882018679</v>
      </c>
      <c r="S1419" s="2">
        <v>1042.2534406141981</v>
      </c>
      <c r="T1419" s="2">
        <v>-1.1252258709552336</v>
      </c>
      <c r="U1419" s="2">
        <v>-36.067312842636511</v>
      </c>
      <c r="V1419" s="2">
        <v>2.258682188451985</v>
      </c>
    </row>
    <row r="1420" spans="1:22" ht="15">
      <c r="A1420" s="2">
        <v>1419</v>
      </c>
      <c r="B1420" s="2" t="s">
        <v>80</v>
      </c>
      <c r="C1420" s="2" t="s">
        <v>81</v>
      </c>
      <c r="D1420" s="2">
        <v>1072.684362786822</v>
      </c>
      <c r="E1420" s="2">
        <v>705.63770035514608</v>
      </c>
      <c r="F1420" s="2">
        <v>378.69405038654804</v>
      </c>
      <c r="G1420" s="2">
        <v>116.65428626118228</v>
      </c>
      <c r="H1420" s="2">
        <v>11.067318112589419</v>
      </c>
      <c r="I1420" s="2">
        <v>0.805510896879714</v>
      </c>
      <c r="J1420" s="2">
        <v>7</v>
      </c>
      <c r="K1420" s="2">
        <v>190.2402858221588</v>
      </c>
      <c r="L1420" s="2">
        <v>17805</v>
      </c>
      <c r="M1420" s="2">
        <v>1200</v>
      </c>
      <c r="N1420" s="2">
        <v>249.97395955090636</v>
      </c>
      <c r="O1420" s="2">
        <v>2501.7911799186008</v>
      </c>
      <c r="P1420" s="2">
        <v>1072.684362786822</v>
      </c>
      <c r="Q1420" s="2">
        <v>250.92997864867155</v>
      </c>
      <c r="R1420" s="2">
        <v>2502.2750865607609</v>
      </c>
      <c r="S1420" s="2">
        <v>1091.0646996693793</v>
      </c>
      <c r="T1420" s="2">
        <v>0.95601909776519278</v>
      </c>
      <c r="U1420" s="2">
        <v>0.48390664216003643</v>
      </c>
      <c r="V1420" s="2">
        <v>18.380336882557231</v>
      </c>
    </row>
    <row r="1421" spans="1:22" ht="15">
      <c r="A1421" s="2">
        <v>1420</v>
      </c>
      <c r="B1421" s="2" t="s">
        <v>80</v>
      </c>
      <c r="C1421" s="2" t="s">
        <v>81</v>
      </c>
      <c r="D1421" s="2">
        <v>1041.4095240063034</v>
      </c>
      <c r="E1421" s="2">
        <v>917.87941507063806</v>
      </c>
      <c r="F1421" s="2">
        <v>464.96285302564502</v>
      </c>
      <c r="G1421" s="2">
        <v>228.34981306921691</v>
      </c>
      <c r="H1421" s="2">
        <v>10.782210770528764</v>
      </c>
      <c r="I1421" s="2">
        <v>0.85547007661312824</v>
      </c>
      <c r="J1421" s="2">
        <v>7</v>
      </c>
      <c r="K1421" s="2">
        <v>173.90764821694353</v>
      </c>
      <c r="L1421" s="2">
        <v>13275</v>
      </c>
      <c r="M1421" s="2">
        <v>1200</v>
      </c>
      <c r="N1421" s="2">
        <v>250.0326825329191</v>
      </c>
      <c r="O1421" s="2">
        <v>2504.1790713428804</v>
      </c>
      <c r="P1421" s="2">
        <v>1041.4095240063034</v>
      </c>
      <c r="Q1421" s="2">
        <v>251.62371485518563</v>
      </c>
      <c r="R1421" s="2">
        <v>2502.2922361111655</v>
      </c>
      <c r="S1421" s="2">
        <v>1047.2582951106513</v>
      </c>
      <c r="T1421" s="2">
        <v>1.5910323222665284</v>
      </c>
      <c r="U1421" s="2">
        <v>-1.8868352317149402</v>
      </c>
      <c r="V1421" s="2">
        <v>5.8487711043478612</v>
      </c>
    </row>
    <row r="1422" spans="1:22" ht="15">
      <c r="A1422" s="2">
        <v>1421</v>
      </c>
      <c r="B1422" s="2" t="s">
        <v>78</v>
      </c>
      <c r="C1422" s="2" t="s">
        <v>81</v>
      </c>
      <c r="D1422" s="2">
        <v>1014.4752712454647</v>
      </c>
      <c r="E1422" s="2">
        <v>973.88022978557274</v>
      </c>
      <c r="F1422" s="2">
        <v>591.80185403674841</v>
      </c>
      <c r="G1422" s="2">
        <v>158.44856736483052</v>
      </c>
      <c r="H1422" s="2">
        <v>22.133674520999193</v>
      </c>
      <c r="I1422" s="2">
        <v>0.80837678686017178</v>
      </c>
      <c r="J1422" s="2">
        <v>7</v>
      </c>
      <c r="K1422" s="2">
        <v>179.27907023686018</v>
      </c>
      <c r="L1422" s="2">
        <v>12405</v>
      </c>
      <c r="M1422" s="2">
        <v>1200</v>
      </c>
      <c r="N1422" s="2">
        <v>250.02439019960033</v>
      </c>
      <c r="O1422" s="2">
        <v>2504.8365093466905</v>
      </c>
      <c r="P1422" s="2">
        <v>1014.4752712454647</v>
      </c>
      <c r="Q1422" s="2">
        <v>250.13975366893899</v>
      </c>
      <c r="R1422" s="2">
        <v>2487.7878247960903</v>
      </c>
      <c r="S1422" s="2">
        <v>1004.1042627566859</v>
      </c>
      <c r="T1422" s="2">
        <v>0.11536346933866071</v>
      </c>
      <c r="U1422" s="2">
        <v>-17.048684550600228</v>
      </c>
      <c r="V1422" s="2">
        <v>-10.371008488778784</v>
      </c>
    </row>
    <row r="1423" spans="1:22" ht="15">
      <c r="A1423" s="2">
        <v>1422</v>
      </c>
      <c r="B1423" s="2" t="s">
        <v>78</v>
      </c>
      <c r="C1423" s="2" t="s">
        <v>81</v>
      </c>
      <c r="D1423" s="2">
        <v>987.38847916247323</v>
      </c>
      <c r="E1423" s="2">
        <v>1222.648483957164</v>
      </c>
      <c r="F1423" s="2">
        <v>455.35568045452237</v>
      </c>
      <c r="G1423" s="2">
        <v>116.52234561741352</v>
      </c>
      <c r="H1423" s="2">
        <v>22.639312023762614</v>
      </c>
      <c r="I1423" s="2">
        <v>0.85376315548550341</v>
      </c>
      <c r="J1423" s="2">
        <v>6</v>
      </c>
      <c r="K1423" s="2">
        <v>192.75222345885496</v>
      </c>
      <c r="L1423" s="2">
        <v>13905</v>
      </c>
      <c r="M1423" s="2">
        <v>1200</v>
      </c>
      <c r="N1423" s="2">
        <v>250.02853549901906</v>
      </c>
      <c r="O1423" s="2">
        <v>2503.753969474441</v>
      </c>
      <c r="P1423" s="2">
        <v>987.38847916247323</v>
      </c>
      <c r="Q1423" s="2">
        <v>251.70756049566026</v>
      </c>
      <c r="R1423" s="2">
        <v>2569.5508293282819</v>
      </c>
      <c r="S1423" s="2">
        <v>978.38272989535153</v>
      </c>
      <c r="T1423" s="2">
        <v>1.6790249966412034</v>
      </c>
      <c r="U1423" s="2">
        <v>65.796859853840942</v>
      </c>
      <c r="V1423" s="2">
        <v>-9.0057492671217005</v>
      </c>
    </row>
    <row r="1424" spans="1:22" ht="15">
      <c r="A1424" s="2">
        <v>1423</v>
      </c>
      <c r="B1424" s="2" t="s">
        <v>78</v>
      </c>
      <c r="C1424" s="2" t="s">
        <v>81</v>
      </c>
      <c r="D1424" s="2">
        <v>978.44331248197705</v>
      </c>
      <c r="E1424" s="2">
        <v>1207.1834546630271</v>
      </c>
      <c r="F1424" s="2">
        <v>468.96440461277962</v>
      </c>
      <c r="G1424" s="2">
        <v>155.00954758143052</v>
      </c>
      <c r="H1424" s="2">
        <v>14.706037699244916</v>
      </c>
      <c r="I1424" s="2">
        <v>0.8300744624226355</v>
      </c>
      <c r="J1424" s="2">
        <v>6</v>
      </c>
      <c r="K1424" s="2">
        <v>196.45693584852532</v>
      </c>
      <c r="L1424" s="2">
        <v>13625</v>
      </c>
      <c r="M1424" s="2">
        <v>1200</v>
      </c>
      <c r="N1424" s="2">
        <v>249.99456259853125</v>
      </c>
      <c r="O1424" s="2">
        <v>2503.9367429972544</v>
      </c>
      <c r="P1424" s="2">
        <v>978.44331248197705</v>
      </c>
      <c r="Q1424" s="2">
        <v>249.25451857118381</v>
      </c>
      <c r="R1424" s="2">
        <v>2544.9858429283763</v>
      </c>
      <c r="S1424" s="2">
        <v>979.60830517539773</v>
      </c>
      <c r="T1424" s="2">
        <v>-0.74004402734743735</v>
      </c>
      <c r="U1424" s="2">
        <v>41.049099931121873</v>
      </c>
      <c r="V1424" s="2">
        <v>1.164992693420686</v>
      </c>
    </row>
    <row r="1425" spans="1:22" ht="15">
      <c r="A1425" s="2">
        <v>1424</v>
      </c>
      <c r="B1425" s="2" t="s">
        <v>78</v>
      </c>
      <c r="C1425" s="2" t="s">
        <v>81</v>
      </c>
      <c r="D1425" s="2">
        <v>964.10515679745004</v>
      </c>
      <c r="E1425" s="2">
        <v>1126.6233762726188</v>
      </c>
      <c r="F1425" s="2">
        <v>521.59037729725242</v>
      </c>
      <c r="G1425" s="2">
        <v>184.49868638534099</v>
      </c>
      <c r="H1425" s="2">
        <v>28.677584656979889</v>
      </c>
      <c r="I1425" s="2">
        <v>0.8593466290738434</v>
      </c>
      <c r="J1425" s="2">
        <v>6</v>
      </c>
      <c r="K1425" s="2">
        <v>186.98414279317251</v>
      </c>
      <c r="L1425" s="2">
        <v>13615</v>
      </c>
      <c r="M1425" s="2">
        <v>1200</v>
      </c>
      <c r="N1425" s="2">
        <v>250.02357912102869</v>
      </c>
      <c r="O1425" s="2">
        <v>2503.9445019904001</v>
      </c>
      <c r="P1425" s="2">
        <v>964.10515679745004</v>
      </c>
      <c r="Q1425" s="2">
        <v>251.39859644886295</v>
      </c>
      <c r="R1425" s="2">
        <v>2495.8485862955677</v>
      </c>
      <c r="S1425" s="2">
        <v>947.65793008364642</v>
      </c>
      <c r="T1425" s="2">
        <v>1.3750173278342572</v>
      </c>
      <c r="U1425" s="2">
        <v>-8.0959156948324562</v>
      </c>
      <c r="V1425" s="2">
        <v>-16.447226713803616</v>
      </c>
    </row>
    <row r="1426" spans="1:22" ht="15">
      <c r="A1426" s="2">
        <v>1425</v>
      </c>
      <c r="B1426" s="2" t="s">
        <v>78</v>
      </c>
      <c r="C1426" s="2" t="s">
        <v>81</v>
      </c>
      <c r="D1426" s="2">
        <v>1079.6504654921591</v>
      </c>
      <c r="E1426" s="2">
        <v>1148.095305764582</v>
      </c>
      <c r="F1426" s="2">
        <v>714.47506044059992</v>
      </c>
      <c r="G1426" s="2">
        <v>295.25442419806495</v>
      </c>
      <c r="H1426" s="2">
        <v>23.792064400389791</v>
      </c>
      <c r="I1426" s="2">
        <v>0.81923949069576341</v>
      </c>
      <c r="J1426" s="2">
        <v>7</v>
      </c>
      <c r="K1426" s="2">
        <v>188.2670239121467</v>
      </c>
      <c r="L1426" s="2">
        <v>9910</v>
      </c>
      <c r="M1426" s="2">
        <v>1195</v>
      </c>
      <c r="N1426" s="2">
        <v>249.98018649209277</v>
      </c>
      <c r="O1426" s="2">
        <v>2496.913791629604</v>
      </c>
      <c r="P1426" s="2">
        <v>1079.6504654921591</v>
      </c>
      <c r="Q1426" s="2">
        <v>254.37708603447064</v>
      </c>
      <c r="R1426" s="2">
        <v>2559.7060593068268</v>
      </c>
      <c r="S1426" s="2">
        <v>1058.1154359101859</v>
      </c>
      <c r="T1426" s="2">
        <v>4.3968995423778665</v>
      </c>
      <c r="U1426" s="2">
        <v>62.792267677222753</v>
      </c>
      <c r="V1426" s="2">
        <v>-21.535029581973276</v>
      </c>
    </row>
    <row r="1427" spans="1:22" ht="15">
      <c r="A1427" s="2">
        <v>1426</v>
      </c>
      <c r="B1427" s="2" t="s">
        <v>78</v>
      </c>
      <c r="C1427" s="2" t="s">
        <v>81</v>
      </c>
      <c r="D1427" s="2">
        <v>1065.5528735020198</v>
      </c>
      <c r="E1427" s="2">
        <v>739.42996349651366</v>
      </c>
      <c r="F1427" s="2">
        <v>573.65121031180024</v>
      </c>
      <c r="G1427" s="2">
        <v>283.29464902170002</v>
      </c>
      <c r="H1427" s="2">
        <v>15.451825783122331</v>
      </c>
      <c r="I1427" s="2">
        <v>0.79478910441044726</v>
      </c>
      <c r="J1427" s="2">
        <v>7</v>
      </c>
      <c r="K1427" s="2">
        <v>191.52481863051091</v>
      </c>
      <c r="L1427" s="2">
        <v>13395</v>
      </c>
      <c r="M1427" s="2">
        <v>1200</v>
      </c>
      <c r="N1427" s="2">
        <v>249.97292298156242</v>
      </c>
      <c r="O1427" s="2">
        <v>2504.0928229398583</v>
      </c>
      <c r="P1427" s="2">
        <v>1065.5528735020198</v>
      </c>
      <c r="Q1427" s="2">
        <v>247.80459496574065</v>
      </c>
      <c r="R1427" s="2">
        <v>2483.0169956717064</v>
      </c>
      <c r="S1427" s="2">
        <v>1074.5222432797091</v>
      </c>
      <c r="T1427" s="2">
        <v>-2.1683280158217713</v>
      </c>
      <c r="U1427" s="2">
        <v>-21.075827268151897</v>
      </c>
      <c r="V1427" s="2">
        <v>8.9693697776892805</v>
      </c>
    </row>
    <row r="1428" spans="1:22" ht="15">
      <c r="A1428" s="2">
        <v>1427</v>
      </c>
      <c r="B1428" s="2" t="s">
        <v>78</v>
      </c>
      <c r="C1428" s="2" t="s">
        <v>81</v>
      </c>
      <c r="D1428" s="2">
        <v>971.98287413921207</v>
      </c>
      <c r="E1428" s="2">
        <v>942.27599423611537</v>
      </c>
      <c r="F1428" s="2">
        <v>444.00003217160702</v>
      </c>
      <c r="G1428" s="2">
        <v>266.23602081788704</v>
      </c>
      <c r="H1428" s="2">
        <v>14.298062023706734</v>
      </c>
      <c r="I1428" s="2">
        <v>0.7928111549909227</v>
      </c>
      <c r="J1428" s="2">
        <v>7</v>
      </c>
      <c r="K1428" s="2">
        <v>175.14220811788596</v>
      </c>
      <c r="L1428" s="2">
        <v>12940</v>
      </c>
      <c r="M1428" s="2">
        <v>1200</v>
      </c>
      <c r="N1428" s="2">
        <v>249.97351337881756</v>
      </c>
      <c r="O1428" s="2">
        <v>2504.4196031293095</v>
      </c>
      <c r="P1428" s="2">
        <v>971.98287413921207</v>
      </c>
      <c r="Q1428" s="2">
        <v>251.22868700971969</v>
      </c>
      <c r="R1428" s="2">
        <v>2476.945243101452</v>
      </c>
      <c r="S1428" s="2">
        <v>973.81809360368788</v>
      </c>
      <c r="T1428" s="2">
        <v>1.2551736309021351</v>
      </c>
      <c r="U1428" s="2">
        <v>-27.474360027857529</v>
      </c>
      <c r="V1428" s="2">
        <v>1.8352194644758129</v>
      </c>
    </row>
    <row r="1429" spans="1:22" ht="15">
      <c r="A1429" s="2">
        <v>1428</v>
      </c>
      <c r="B1429" s="2" t="s">
        <v>78</v>
      </c>
      <c r="C1429" s="2" t="s">
        <v>81</v>
      </c>
      <c r="D1429" s="2">
        <v>970.42375406017527</v>
      </c>
      <c r="E1429" s="2">
        <v>750.09457306005061</v>
      </c>
      <c r="F1429" s="2">
        <v>579.33351574465632</v>
      </c>
      <c r="G1429" s="2">
        <v>245.45128950383514</v>
      </c>
      <c r="H1429" s="2">
        <v>18.267696067225188</v>
      </c>
      <c r="I1429" s="2">
        <v>0.82178570630028847</v>
      </c>
      <c r="J1429" s="2">
        <v>6</v>
      </c>
      <c r="K1429" s="2">
        <v>196.81200476400375</v>
      </c>
      <c r="L1429" s="2">
        <v>15845</v>
      </c>
      <c r="M1429" s="2">
        <v>1200</v>
      </c>
      <c r="N1429" s="2">
        <v>250.03911788068035</v>
      </c>
      <c r="O1429" s="2">
        <v>2502.6580181460081</v>
      </c>
      <c r="P1429" s="2">
        <v>970.42375406017527</v>
      </c>
      <c r="Q1429" s="2">
        <v>248.70269400207735</v>
      </c>
      <c r="R1429" s="2">
        <v>2488.0849493381684</v>
      </c>
      <c r="S1429" s="2">
        <v>976.39831324563113</v>
      </c>
      <c r="T1429" s="2">
        <v>-1.336423878603</v>
      </c>
      <c r="U1429" s="2">
        <v>-14.573068807839718</v>
      </c>
      <c r="V1429" s="2">
        <v>5.9745591854558597</v>
      </c>
    </row>
    <row r="1430" spans="1:22" ht="15">
      <c r="A1430" s="2">
        <v>1429</v>
      </c>
      <c r="B1430" s="2" t="s">
        <v>78</v>
      </c>
      <c r="C1430" s="2" t="s">
        <v>81</v>
      </c>
      <c r="D1430" s="2">
        <v>1039.6527506876737</v>
      </c>
      <c r="E1430" s="2">
        <v>1164.4105825456791</v>
      </c>
      <c r="F1430" s="2">
        <v>428.9883254095912</v>
      </c>
      <c r="G1430" s="2">
        <v>165.48724307911471</v>
      </c>
      <c r="H1430" s="2">
        <v>26.68268658220768</v>
      </c>
      <c r="I1430" s="2">
        <v>0.82842600567499181</v>
      </c>
      <c r="J1430" s="2">
        <v>7</v>
      </c>
      <c r="K1430" s="2">
        <v>179.28194010012601</v>
      </c>
      <c r="L1430" s="2">
        <v>12160</v>
      </c>
      <c r="M1430" s="2">
        <v>1200</v>
      </c>
      <c r="N1430" s="2">
        <v>250.02702429471429</v>
      </c>
      <c r="O1430" s="2">
        <v>2505.0388280624015</v>
      </c>
      <c r="P1430" s="2">
        <v>1039.6527506876737</v>
      </c>
      <c r="Q1430" s="2">
        <v>249.30929833095678</v>
      </c>
      <c r="R1430" s="2">
        <v>2556.9296177985734</v>
      </c>
      <c r="S1430" s="2">
        <v>1025.5577891299351</v>
      </c>
      <c r="T1430" s="2">
        <v>-0.71772596375751618</v>
      </c>
      <c r="U1430" s="2">
        <v>51.890789736171882</v>
      </c>
      <c r="V1430" s="2">
        <v>-14.094961557738543</v>
      </c>
    </row>
    <row r="1431" spans="1:22" ht="15">
      <c r="A1431" s="2">
        <v>1430</v>
      </c>
      <c r="B1431" s="2" t="s">
        <v>78</v>
      </c>
      <c r="C1431" s="2" t="s">
        <v>81</v>
      </c>
      <c r="D1431" s="2">
        <v>983.19292563246563</v>
      </c>
      <c r="E1431" s="2">
        <v>989.77716171648353</v>
      </c>
      <c r="F1431" s="2">
        <v>586.03096129372716</v>
      </c>
      <c r="G1431" s="2">
        <v>286.42164396122098</v>
      </c>
      <c r="H1431" s="2">
        <v>12.041975921485573</v>
      </c>
      <c r="I1431" s="2">
        <v>0.79370429237838835</v>
      </c>
      <c r="J1431" s="2">
        <v>7</v>
      </c>
      <c r="K1431" s="2">
        <v>176.96279783535391</v>
      </c>
      <c r="L1431" s="2">
        <v>11485</v>
      </c>
      <c r="M1431" s="2">
        <v>1195</v>
      </c>
      <c r="N1431" s="2">
        <v>250.02262940943959</v>
      </c>
      <c r="O1431" s="2">
        <v>2495.2002435364961</v>
      </c>
      <c r="P1431" s="2">
        <v>983.19292563246563</v>
      </c>
      <c r="Q1431" s="2">
        <v>251.7823026568191</v>
      </c>
      <c r="R1431" s="2">
        <v>2471.0051854932581</v>
      </c>
      <c r="S1431" s="2">
        <v>980.77936586837689</v>
      </c>
      <c r="T1431" s="2">
        <v>1.75967324737951</v>
      </c>
      <c r="U1431" s="2">
        <v>-24.195058043238078</v>
      </c>
      <c r="V1431" s="2">
        <v>-2.4135597640887454</v>
      </c>
    </row>
    <row r="1432" spans="1:22" ht="15">
      <c r="A1432" s="2">
        <v>1431</v>
      </c>
      <c r="B1432" s="2" t="s">
        <v>78</v>
      </c>
      <c r="C1432" s="2" t="s">
        <v>81</v>
      </c>
      <c r="D1432" s="2">
        <v>1070.6086960854009</v>
      </c>
      <c r="E1432" s="2">
        <v>1142.8009072435088</v>
      </c>
      <c r="F1432" s="2">
        <v>739.89149779081345</v>
      </c>
      <c r="G1432" s="2">
        <v>229.86715180566534</v>
      </c>
      <c r="H1432" s="2">
        <v>23.829116011969745</v>
      </c>
      <c r="I1432" s="2">
        <v>0.84257419790839783</v>
      </c>
      <c r="J1432" s="2">
        <v>7</v>
      </c>
      <c r="K1432" s="2">
        <v>181.52003683525945</v>
      </c>
      <c r="L1432" s="2">
        <v>10125</v>
      </c>
      <c r="M1432" s="2">
        <v>1195</v>
      </c>
      <c r="N1432" s="2">
        <v>250.04589169125791</v>
      </c>
      <c r="O1432" s="2">
        <v>2496.6513915602254</v>
      </c>
      <c r="P1432" s="2">
        <v>1070.6086960854009</v>
      </c>
      <c r="Q1432" s="2">
        <v>250.30888098641469</v>
      </c>
      <c r="R1432" s="2">
        <v>2501.2369702422425</v>
      </c>
      <c r="S1432" s="2">
        <v>1053.5718066161839</v>
      </c>
      <c r="T1432" s="2">
        <v>0.26298929515678537</v>
      </c>
      <c r="U1432" s="2">
        <v>4.5855786820170579</v>
      </c>
      <c r="V1432" s="2">
        <v>-17.036889469216931</v>
      </c>
    </row>
    <row r="1433" spans="1:22" ht="15">
      <c r="A1433" s="2">
        <v>1432</v>
      </c>
      <c r="B1433" s="2" t="s">
        <v>78</v>
      </c>
      <c r="C1433" s="2" t="s">
        <v>81</v>
      </c>
      <c r="D1433" s="2">
        <v>1068.9916218514554</v>
      </c>
      <c r="E1433" s="2">
        <v>880.68078896030784</v>
      </c>
      <c r="F1433" s="2">
        <v>653.80820846185088</v>
      </c>
      <c r="G1433" s="2">
        <v>112.88571967277676</v>
      </c>
      <c r="H1433" s="2">
        <v>22.216868331190199</v>
      </c>
      <c r="I1433" s="2">
        <v>0.84075785835273564</v>
      </c>
      <c r="J1433" s="2">
        <v>7</v>
      </c>
      <c r="K1433" s="2">
        <v>181.63742071364882</v>
      </c>
      <c r="L1433" s="2">
        <v>12980</v>
      </c>
      <c r="M1433" s="2">
        <v>1200</v>
      </c>
      <c r="N1433" s="2">
        <v>249.9668899780109</v>
      </c>
      <c r="O1433" s="2">
        <v>2504.3896977031532</v>
      </c>
      <c r="P1433" s="2">
        <v>1068.9916218514554</v>
      </c>
      <c r="Q1433" s="2">
        <v>250.77100568169749</v>
      </c>
      <c r="R1433" s="2">
        <v>2488.6456743339904</v>
      </c>
      <c r="S1433" s="2">
        <v>1061.7270280674584</v>
      </c>
      <c r="T1433" s="2">
        <v>0.80411570368659113</v>
      </c>
      <c r="U1433" s="2">
        <v>-15.744023369162733</v>
      </c>
      <c r="V1433" s="2">
        <v>-7.2645937839970429</v>
      </c>
    </row>
    <row r="1434" spans="1:22" ht="15">
      <c r="A1434" s="2">
        <v>1433</v>
      </c>
      <c r="B1434" s="2" t="s">
        <v>78</v>
      </c>
      <c r="C1434" s="2" t="s">
        <v>81</v>
      </c>
      <c r="D1434" s="2">
        <v>993.90399754047394</v>
      </c>
      <c r="E1434" s="2">
        <v>976.63709766929969</v>
      </c>
      <c r="F1434" s="2">
        <v>515.19518364220858</v>
      </c>
      <c r="G1434" s="2">
        <v>84.674522730056196</v>
      </c>
      <c r="H1434" s="2">
        <v>22.868853120133281</v>
      </c>
      <c r="I1434" s="2">
        <v>0.79296954398276287</v>
      </c>
      <c r="J1434" s="2">
        <v>7</v>
      </c>
      <c r="K1434" s="2">
        <v>179.05641703436126</v>
      </c>
      <c r="L1434" s="2">
        <v>13565</v>
      </c>
      <c r="M1434" s="2">
        <v>1200</v>
      </c>
      <c r="N1434" s="2">
        <v>249.99483272546689</v>
      </c>
      <c r="O1434" s="2">
        <v>2503.9771614076863</v>
      </c>
      <c r="P1434" s="2">
        <v>993.90399754047394</v>
      </c>
      <c r="Q1434" s="2">
        <v>250.79794767566926</v>
      </c>
      <c r="R1434" s="2">
        <v>2509.576435937624</v>
      </c>
      <c r="S1434" s="2">
        <v>989.3180915575723</v>
      </c>
      <c r="T1434" s="2">
        <v>0.80311495020237089</v>
      </c>
      <c r="U1434" s="2">
        <v>5.599274529937702</v>
      </c>
      <c r="V1434" s="2">
        <v>-4.585905982901636</v>
      </c>
    </row>
    <row r="1435" spans="1:22" ht="15">
      <c r="A1435" s="2">
        <v>1434</v>
      </c>
      <c r="B1435" s="2" t="s">
        <v>78</v>
      </c>
      <c r="C1435" s="2" t="s">
        <v>81</v>
      </c>
      <c r="D1435" s="2">
        <v>1009.6556714386679</v>
      </c>
      <c r="E1435" s="2">
        <v>781.61712682340294</v>
      </c>
      <c r="F1435" s="2">
        <v>658.59686592593789</v>
      </c>
      <c r="G1435" s="2">
        <v>137.92660056613386</v>
      </c>
      <c r="H1435" s="2">
        <v>15.376541670877486</v>
      </c>
      <c r="I1435" s="2">
        <v>0.79387613147962843</v>
      </c>
      <c r="J1435" s="2">
        <v>7</v>
      </c>
      <c r="K1435" s="2">
        <v>181.68643541708434</v>
      </c>
      <c r="L1435" s="2">
        <v>13550</v>
      </c>
      <c r="M1435" s="2">
        <v>1200</v>
      </c>
      <c r="N1435" s="2">
        <v>249.97701932425363</v>
      </c>
      <c r="O1435" s="2">
        <v>2503.9866720218079</v>
      </c>
      <c r="P1435" s="2">
        <v>1009.6556714386679</v>
      </c>
      <c r="Q1435" s="2">
        <v>250.61690018197095</v>
      </c>
      <c r="R1435" s="2">
        <v>2454.6364864367411</v>
      </c>
      <c r="S1435" s="2">
        <v>1014.5402671078924</v>
      </c>
      <c r="T1435" s="2">
        <v>0.63988085771731562</v>
      </c>
      <c r="U1435" s="2">
        <v>-49.350185585066811</v>
      </c>
      <c r="V1435" s="2">
        <v>4.8845956692244954</v>
      </c>
    </row>
    <row r="1436" spans="1:22" ht="15">
      <c r="A1436" s="2">
        <v>1435</v>
      </c>
      <c r="B1436" s="2" t="s">
        <v>79</v>
      </c>
      <c r="C1436" s="2" t="s">
        <v>81</v>
      </c>
      <c r="D1436" s="2">
        <v>1095.4455108148977</v>
      </c>
      <c r="E1436" s="2">
        <v>1138.6305753723718</v>
      </c>
      <c r="F1436" s="2">
        <v>572.71746434271336</v>
      </c>
      <c r="G1436" s="2">
        <v>131.10140255419537</v>
      </c>
      <c r="H1436" s="2">
        <v>18.657109343446791</v>
      </c>
      <c r="I1436" s="2">
        <v>0.82857444236753508</v>
      </c>
      <c r="J1436" s="2">
        <v>7</v>
      </c>
      <c r="K1436" s="2">
        <v>188.86922867611648</v>
      </c>
      <c r="L1436" s="2">
        <v>11605</v>
      </c>
      <c r="M1436" s="2">
        <v>1195</v>
      </c>
      <c r="N1436" s="2">
        <v>249.95168477162892</v>
      </c>
      <c r="O1436" s="2">
        <v>2495.0855780821153</v>
      </c>
      <c r="P1436" s="2">
        <v>1095.4455108148977</v>
      </c>
      <c r="Q1436" s="2">
        <v>249.1405706441605</v>
      </c>
      <c r="R1436" s="2">
        <v>2542.8565397436164</v>
      </c>
      <c r="S1436" s="2">
        <v>1097.94302637701</v>
      </c>
      <c r="T1436" s="2">
        <v>-0.81111412746841438</v>
      </c>
      <c r="U1436" s="2">
        <v>47.770961661501133</v>
      </c>
      <c r="V1436" s="2">
        <v>2.4975155621123122</v>
      </c>
    </row>
    <row r="1437" spans="1:22" ht="15">
      <c r="A1437" s="2">
        <v>1436</v>
      </c>
      <c r="B1437" s="2" t="s">
        <v>79</v>
      </c>
      <c r="C1437" s="2" t="s">
        <v>81</v>
      </c>
      <c r="D1437" s="2">
        <v>1071.3729553273879</v>
      </c>
      <c r="E1437" s="2">
        <v>1050.131570501253</v>
      </c>
      <c r="F1437" s="2">
        <v>599.74324954673648</v>
      </c>
      <c r="G1437" s="2">
        <v>315.54935667198151</v>
      </c>
      <c r="H1437" s="2">
        <v>16.969965245109051</v>
      </c>
      <c r="I1437" s="2">
        <v>0.84915989719331264</v>
      </c>
      <c r="J1437" s="2">
        <v>7</v>
      </c>
      <c r="K1437" s="2">
        <v>180.24082371101559</v>
      </c>
      <c r="L1437" s="2">
        <v>10880</v>
      </c>
      <c r="M1437" s="2">
        <v>1195</v>
      </c>
      <c r="N1437" s="2">
        <v>249.97726298547229</v>
      </c>
      <c r="O1437" s="2">
        <v>2495.7984558541157</v>
      </c>
      <c r="P1437" s="2">
        <v>1071.3729553273879</v>
      </c>
      <c r="Q1437" s="2">
        <v>250.49505881862004</v>
      </c>
      <c r="R1437" s="2">
        <v>2527.170945650063</v>
      </c>
      <c r="S1437" s="2">
        <v>1063.857384622559</v>
      </c>
      <c r="T1437" s="2">
        <v>0.51779583314774413</v>
      </c>
      <c r="U1437" s="2">
        <v>31.372489795947331</v>
      </c>
      <c r="V1437" s="2">
        <v>-7.5155707048288605</v>
      </c>
    </row>
    <row r="1438" spans="1:22" ht="15">
      <c r="A1438" s="2">
        <v>1437</v>
      </c>
      <c r="B1438" s="2" t="s">
        <v>79</v>
      </c>
      <c r="C1438" s="2" t="s">
        <v>81</v>
      </c>
      <c r="D1438" s="2">
        <v>1044.4656565319747</v>
      </c>
      <c r="E1438" s="2">
        <v>1173.5126846353523</v>
      </c>
      <c r="F1438" s="2">
        <v>722.20728751271963</v>
      </c>
      <c r="G1438" s="2">
        <v>98.546436738688499</v>
      </c>
      <c r="H1438" s="2">
        <v>13.863392364233732</v>
      </c>
      <c r="I1438" s="2">
        <v>0.84844545494997881</v>
      </c>
      <c r="J1438" s="2">
        <v>7</v>
      </c>
      <c r="K1438" s="2">
        <v>175.86207650009115</v>
      </c>
      <c r="L1438" s="2">
        <v>10725</v>
      </c>
      <c r="M1438" s="2">
        <v>1195</v>
      </c>
      <c r="N1438" s="2">
        <v>250.03203505942452</v>
      </c>
      <c r="O1438" s="2">
        <v>2495.9656526876643</v>
      </c>
      <c r="P1438" s="2">
        <v>1044.4656565319747</v>
      </c>
      <c r="Q1438" s="2">
        <v>253.28728823680601</v>
      </c>
      <c r="R1438" s="2">
        <v>2520.740494388665</v>
      </c>
      <c r="S1438" s="2">
        <v>1044.2256613091251</v>
      </c>
      <c r="T1438" s="2">
        <v>3.2552531773814906</v>
      </c>
      <c r="U1438" s="2">
        <v>24.774841701000696</v>
      </c>
      <c r="V1438" s="2">
        <v>-0.23999522284952945</v>
      </c>
    </row>
    <row r="1439" spans="1:22" ht="15">
      <c r="A1439" s="2">
        <v>1438</v>
      </c>
      <c r="B1439" s="2" t="s">
        <v>80</v>
      </c>
      <c r="C1439" s="2" t="s">
        <v>81</v>
      </c>
      <c r="D1439" s="2">
        <v>1036.9999006506987</v>
      </c>
      <c r="E1439" s="2">
        <v>1011.8434673873708</v>
      </c>
      <c r="F1439" s="2">
        <v>412.15208964422345</v>
      </c>
      <c r="G1439" s="2">
        <v>205.90140011161566</v>
      </c>
      <c r="H1439" s="2">
        <v>15.659324663225561</v>
      </c>
      <c r="I1439" s="2">
        <v>0.82365902568679306</v>
      </c>
      <c r="J1439" s="2">
        <v>7</v>
      </c>
      <c r="K1439" s="2">
        <v>179.85943009192866</v>
      </c>
      <c r="L1439" s="2">
        <v>13120</v>
      </c>
      <c r="M1439" s="2">
        <v>1200</v>
      </c>
      <c r="N1439" s="2">
        <v>249.98221596077454</v>
      </c>
      <c r="O1439" s="2">
        <v>2504.2879561669215</v>
      </c>
      <c r="P1439" s="2">
        <v>1036.9999006506987</v>
      </c>
      <c r="Q1439" s="2">
        <v>252.72686954711125</v>
      </c>
      <c r="R1439" s="2">
        <v>2493.1066549148318</v>
      </c>
      <c r="S1439" s="2">
        <v>1042.9815579318199</v>
      </c>
      <c r="T1439" s="2">
        <v>2.7446535863367103</v>
      </c>
      <c r="U1439" s="2">
        <v>-11.181301252089725</v>
      </c>
      <c r="V1439" s="2">
        <v>5.9816572811212154</v>
      </c>
    </row>
    <row r="1440" spans="1:22" ht="15">
      <c r="A1440" s="2">
        <v>1439</v>
      </c>
      <c r="B1440" s="2" t="s">
        <v>80</v>
      </c>
      <c r="C1440" s="2" t="s">
        <v>81</v>
      </c>
      <c r="D1440" s="2">
        <v>1063.4018566692248</v>
      </c>
      <c r="E1440" s="2">
        <v>1080.4909951169975</v>
      </c>
      <c r="F1440" s="2">
        <v>458.97926315665245</v>
      </c>
      <c r="G1440" s="2">
        <v>81.520635036285967</v>
      </c>
      <c r="H1440" s="2">
        <v>25.076467505656183</v>
      </c>
      <c r="I1440" s="2">
        <v>0.83539928832789889</v>
      </c>
      <c r="J1440" s="2">
        <v>7</v>
      </c>
      <c r="K1440" s="2">
        <v>181.84663678228929</v>
      </c>
      <c r="L1440" s="2">
        <v>13195</v>
      </c>
      <c r="M1440" s="2">
        <v>1200</v>
      </c>
      <c r="N1440" s="2">
        <v>250.03768258852514</v>
      </c>
      <c r="O1440" s="2">
        <v>2504.2361121881354</v>
      </c>
      <c r="P1440" s="2">
        <v>1063.4018566692248</v>
      </c>
      <c r="Q1440" s="2">
        <v>249.88211676986938</v>
      </c>
      <c r="R1440" s="2">
        <v>2543.3393791167819</v>
      </c>
      <c r="S1440" s="2">
        <v>1052.7267455275899</v>
      </c>
      <c r="T1440" s="2">
        <v>-0.15556581865575936</v>
      </c>
      <c r="U1440" s="2">
        <v>39.103266928646462</v>
      </c>
      <c r="V1440" s="2">
        <v>-10.675111141634943</v>
      </c>
    </row>
    <row r="1441" spans="1:22" ht="15">
      <c r="A1441" s="2">
        <v>1440</v>
      </c>
      <c r="B1441" s="2" t="s">
        <v>80</v>
      </c>
      <c r="C1441" s="2" t="s">
        <v>81</v>
      </c>
      <c r="D1441" s="2">
        <v>1077.7479393291287</v>
      </c>
      <c r="E1441" s="2">
        <v>1137.8620602190495</v>
      </c>
      <c r="F1441" s="2">
        <v>564.91095116361976</v>
      </c>
      <c r="G1441" s="2">
        <v>295.88300832081586</v>
      </c>
      <c r="H1441" s="2">
        <v>27.662913532461971</v>
      </c>
      <c r="I1441" s="2">
        <v>0.84199446211569018</v>
      </c>
      <c r="J1441" s="2">
        <v>7</v>
      </c>
      <c r="K1441" s="2">
        <v>182.8562992515003</v>
      </c>
      <c r="L1441" s="2">
        <v>10700</v>
      </c>
      <c r="M1441" s="2">
        <v>1195</v>
      </c>
      <c r="N1441" s="2">
        <v>249.99866189044752</v>
      </c>
      <c r="O1441" s="2">
        <v>2495.9910990201402</v>
      </c>
      <c r="P1441" s="2">
        <v>1077.7479393291287</v>
      </c>
      <c r="Q1441" s="2">
        <v>252.48439781966587</v>
      </c>
      <c r="R1441" s="2">
        <v>2510.7579115956323</v>
      </c>
      <c r="S1441" s="2">
        <v>1060.4325701132082</v>
      </c>
      <c r="T1441" s="2">
        <v>2.4857359292183503</v>
      </c>
      <c r="U1441" s="2">
        <v>14.766812575492168</v>
      </c>
      <c r="V1441" s="2">
        <v>-17.315369215920555</v>
      </c>
    </row>
    <row r="1442" spans="1:22" ht="15">
      <c r="A1442" s="2">
        <v>1441</v>
      </c>
      <c r="B1442" s="2" t="s">
        <v>78</v>
      </c>
      <c r="C1442" s="2" t="s">
        <v>81</v>
      </c>
      <c r="D1442" s="2">
        <v>978.50640928372741</v>
      </c>
      <c r="E1442" s="2">
        <v>670.73383325478062</v>
      </c>
      <c r="F1442" s="2">
        <v>742.14928988367319</v>
      </c>
      <c r="G1442" s="2">
        <v>324.48175641009584</v>
      </c>
      <c r="H1442" s="2">
        <v>12.805284703150392</v>
      </c>
      <c r="I1442" s="2">
        <v>0.80181729438947513</v>
      </c>
      <c r="J1442" s="2">
        <v>7</v>
      </c>
      <c r="K1442" s="2">
        <v>174.33725971714364</v>
      </c>
      <c r="L1442" s="2">
        <v>12310</v>
      </c>
      <c r="M1442" s="2">
        <v>1200</v>
      </c>
      <c r="N1442" s="2">
        <v>250.01389210261422</v>
      </c>
      <c r="O1442" s="2">
        <v>2504.913548436828</v>
      </c>
      <c r="P1442" s="2">
        <v>978.50640928372741</v>
      </c>
      <c r="Q1442" s="2">
        <v>254.02988959926751</v>
      </c>
      <c r="R1442" s="2">
        <v>2447.5177501805683</v>
      </c>
      <c r="S1442" s="2">
        <v>983.22047664043055</v>
      </c>
      <c r="T1442" s="2">
        <v>4.0159974966532843</v>
      </c>
      <c r="U1442" s="2">
        <v>-57.395798256259695</v>
      </c>
      <c r="V1442" s="2">
        <v>4.7140673567031399</v>
      </c>
    </row>
    <row r="1443" spans="1:22" ht="15">
      <c r="A1443" s="2">
        <v>1442</v>
      </c>
      <c r="B1443" s="2" t="s">
        <v>78</v>
      </c>
      <c r="C1443" s="2" t="s">
        <v>81</v>
      </c>
      <c r="D1443" s="2">
        <v>1003.9310933672823</v>
      </c>
      <c r="E1443" s="2">
        <v>983.92194316256791</v>
      </c>
      <c r="F1443" s="2">
        <v>550.54575735703111</v>
      </c>
      <c r="G1443" s="2">
        <v>280.74493833817542</v>
      </c>
      <c r="H1443" s="2">
        <v>10.420382328797132</v>
      </c>
      <c r="I1443" s="2">
        <v>0.85392061597201974</v>
      </c>
      <c r="J1443" s="2">
        <v>6</v>
      </c>
      <c r="K1443" s="2">
        <v>195.94543774316094</v>
      </c>
      <c r="L1443" s="2">
        <v>13745</v>
      </c>
      <c r="M1443" s="2">
        <v>1200</v>
      </c>
      <c r="N1443" s="2">
        <v>250.00024292844765</v>
      </c>
      <c r="O1443" s="2">
        <v>2503.8571849828445</v>
      </c>
      <c r="P1443" s="2">
        <v>1003.9310933672823</v>
      </c>
      <c r="Q1443" s="2">
        <v>255.59751695560107</v>
      </c>
      <c r="R1443" s="2">
        <v>2541.4656324249845</v>
      </c>
      <c r="S1443" s="2">
        <v>1005.1104795470967</v>
      </c>
      <c r="T1443" s="2">
        <v>5.5972740271534178</v>
      </c>
      <c r="U1443" s="2">
        <v>37.608447442140005</v>
      </c>
      <c r="V1443" s="2">
        <v>1.1793861798144007</v>
      </c>
    </row>
    <row r="1444" spans="1:22" ht="15">
      <c r="A1444" s="2">
        <v>1443</v>
      </c>
      <c r="B1444" s="2" t="s">
        <v>78</v>
      </c>
      <c r="C1444" s="2" t="s">
        <v>81</v>
      </c>
      <c r="D1444" s="2">
        <v>1044.3203463917598</v>
      </c>
      <c r="E1444" s="2">
        <v>859.94773969287053</v>
      </c>
      <c r="F1444" s="2">
        <v>512.98858933150768</v>
      </c>
      <c r="G1444" s="2">
        <v>252.55263560218737</v>
      </c>
      <c r="H1444" s="2">
        <v>28.661759723909199</v>
      </c>
      <c r="I1444" s="2">
        <v>0.83708433978958063</v>
      </c>
      <c r="J1444" s="2">
        <v>7</v>
      </c>
      <c r="K1444" s="2">
        <v>178.22412130014325</v>
      </c>
      <c r="L1444" s="2">
        <v>13155</v>
      </c>
      <c r="M1444" s="2">
        <v>1200</v>
      </c>
      <c r="N1444" s="2">
        <v>249.97151242416439</v>
      </c>
      <c r="O1444" s="2">
        <v>2504.2622963608837</v>
      </c>
      <c r="P1444" s="2">
        <v>1044.3203463917598</v>
      </c>
      <c r="Q1444" s="2">
        <v>247.94548962536297</v>
      </c>
      <c r="R1444" s="2">
        <v>2495.2969582577093</v>
      </c>
      <c r="S1444" s="2">
        <v>1035.2928897945433</v>
      </c>
      <c r="T1444" s="2">
        <v>-2.0260227988014208</v>
      </c>
      <c r="U1444" s="2">
        <v>-8.9653381031744175</v>
      </c>
      <c r="V1444" s="2">
        <v>-9.0274565972165419</v>
      </c>
    </row>
    <row r="1445" spans="1:22" ht="15">
      <c r="A1445" s="2">
        <v>1444</v>
      </c>
      <c r="B1445" s="2" t="s">
        <v>78</v>
      </c>
      <c r="C1445" s="2" t="s">
        <v>81</v>
      </c>
      <c r="D1445" s="2">
        <v>1052.19045834383</v>
      </c>
      <c r="E1445" s="2">
        <v>1068.3681577909738</v>
      </c>
      <c r="F1445" s="2">
        <v>356.94843260571361</v>
      </c>
      <c r="G1445" s="2">
        <v>288.88138411100954</v>
      </c>
      <c r="H1445" s="2">
        <v>16.351584679912776</v>
      </c>
      <c r="I1445" s="2">
        <v>0.79217263204976918</v>
      </c>
      <c r="J1445" s="2">
        <v>7</v>
      </c>
      <c r="K1445" s="2">
        <v>189.74768445560682</v>
      </c>
      <c r="L1445" s="2">
        <v>12475</v>
      </c>
      <c r="M1445" s="2">
        <v>1200</v>
      </c>
      <c r="N1445" s="2">
        <v>249.98659555044111</v>
      </c>
      <c r="O1445" s="2">
        <v>2504.778689249204</v>
      </c>
      <c r="P1445" s="2">
        <v>1052.19045834383</v>
      </c>
      <c r="Q1445" s="2">
        <v>248.79804217760324</v>
      </c>
      <c r="R1445" s="2">
        <v>2498.4604105815392</v>
      </c>
      <c r="S1445" s="2">
        <v>1056.1339232729993</v>
      </c>
      <c r="T1445" s="2">
        <v>-1.1885533728378732</v>
      </c>
      <c r="U1445" s="2">
        <v>-6.3182786676647993</v>
      </c>
      <c r="V1445" s="2">
        <v>3.9434649291692949</v>
      </c>
    </row>
    <row r="1446" spans="1:22" ht="15">
      <c r="A1446" s="2">
        <v>1445</v>
      </c>
      <c r="B1446" s="2" t="s">
        <v>78</v>
      </c>
      <c r="C1446" s="2" t="s">
        <v>81</v>
      </c>
      <c r="D1446" s="2">
        <v>964.00224179960787</v>
      </c>
      <c r="E1446" s="2">
        <v>1106.7473156261258</v>
      </c>
      <c r="F1446" s="2">
        <v>613.99185191839933</v>
      </c>
      <c r="G1446" s="2">
        <v>287.33853924321011</v>
      </c>
      <c r="H1446" s="2">
        <v>29.212470181286335</v>
      </c>
      <c r="I1446" s="2">
        <v>0.82857000330695885</v>
      </c>
      <c r="J1446" s="2">
        <v>6</v>
      </c>
      <c r="K1446" s="2">
        <v>193.90883046536337</v>
      </c>
      <c r="L1446" s="2">
        <v>12425</v>
      </c>
      <c r="M1446" s="2">
        <v>1200</v>
      </c>
      <c r="N1446" s="2">
        <v>250.00348036552481</v>
      </c>
      <c r="O1446" s="2">
        <v>2504.8195045257876</v>
      </c>
      <c r="P1446" s="2">
        <v>964.00224179960787</v>
      </c>
      <c r="Q1446" s="2">
        <v>251.05431562410504</v>
      </c>
      <c r="R1446" s="2">
        <v>2493.7436097005648</v>
      </c>
      <c r="S1446" s="2">
        <v>950.37702677693801</v>
      </c>
      <c r="T1446" s="2">
        <v>1.0508352585802356</v>
      </c>
      <c r="U1446" s="2">
        <v>-11.075894825222804</v>
      </c>
      <c r="V1446" s="2">
        <v>-13.625215022669863</v>
      </c>
    </row>
    <row r="1447" spans="1:22" ht="15">
      <c r="A1447" s="2">
        <v>1446</v>
      </c>
      <c r="B1447" s="2" t="s">
        <v>78</v>
      </c>
      <c r="C1447" s="2" t="s">
        <v>81</v>
      </c>
      <c r="D1447" s="2">
        <v>1071.445340954233</v>
      </c>
      <c r="E1447" s="2">
        <v>1213.4355090325698</v>
      </c>
      <c r="F1447" s="2">
        <v>592.53330500796437</v>
      </c>
      <c r="G1447" s="2">
        <v>107.4659818969667</v>
      </c>
      <c r="H1447" s="2">
        <v>18.782995669636875</v>
      </c>
      <c r="I1447" s="2">
        <v>0.79973794729914516</v>
      </c>
      <c r="J1447" s="2">
        <v>7</v>
      </c>
      <c r="K1447" s="2">
        <v>191.3922187301998</v>
      </c>
      <c r="L1447" s="2">
        <v>11175</v>
      </c>
      <c r="M1447" s="2">
        <v>1195</v>
      </c>
      <c r="N1447" s="2">
        <v>249.9634908829469</v>
      </c>
      <c r="O1447" s="2">
        <v>2495.4970762731355</v>
      </c>
      <c r="P1447" s="2">
        <v>1071.445340954233</v>
      </c>
      <c r="Q1447" s="2">
        <v>249.7123159315602</v>
      </c>
      <c r="R1447" s="2">
        <v>2501.8139411918532</v>
      </c>
      <c r="S1447" s="2">
        <v>1068.794361138393</v>
      </c>
      <c r="T1447" s="2">
        <v>-0.25117495138670165</v>
      </c>
      <c r="U1447" s="2">
        <v>6.3168649187177834</v>
      </c>
      <c r="V1447" s="2">
        <v>-2.6509798158399462</v>
      </c>
    </row>
    <row r="1448" spans="1:22" ht="15">
      <c r="A1448" s="2">
        <v>1447</v>
      </c>
      <c r="B1448" s="2" t="s">
        <v>78</v>
      </c>
      <c r="C1448" s="2" t="s">
        <v>81</v>
      </c>
      <c r="D1448" s="2">
        <v>1076.2822325574234</v>
      </c>
      <c r="E1448" s="2">
        <v>680.4173115757294</v>
      </c>
      <c r="F1448" s="2">
        <v>552.45832204818726</v>
      </c>
      <c r="G1448" s="2">
        <v>225.58403001865372</v>
      </c>
      <c r="H1448" s="2">
        <v>13.859373765997589</v>
      </c>
      <c r="I1448" s="2">
        <v>0.84508154444163663</v>
      </c>
      <c r="J1448" s="2">
        <v>7</v>
      </c>
      <c r="K1448" s="2">
        <v>181.94055433153429</v>
      </c>
      <c r="L1448" s="2">
        <v>14665</v>
      </c>
      <c r="M1448" s="2">
        <v>1200</v>
      </c>
      <c r="N1448" s="2">
        <v>250.02963703958528</v>
      </c>
      <c r="O1448" s="2">
        <v>2503.2899853939962</v>
      </c>
      <c r="P1448" s="2">
        <v>1076.2822325574234</v>
      </c>
      <c r="Q1448" s="2">
        <v>249.4618893501644</v>
      </c>
      <c r="R1448" s="2">
        <v>2485.1707718445455</v>
      </c>
      <c r="S1448" s="2">
        <v>1079.9713288107484</v>
      </c>
      <c r="T1448" s="2">
        <v>-0.56774768942088372</v>
      </c>
      <c r="U1448" s="2">
        <v>-18.119213549450706</v>
      </c>
      <c r="V1448" s="2">
        <v>3.6890962533250331</v>
      </c>
    </row>
    <row r="1449" spans="1:22" ht="15">
      <c r="A1449" s="2">
        <v>1448</v>
      </c>
      <c r="B1449" s="2" t="s">
        <v>78</v>
      </c>
      <c r="C1449" s="2" t="s">
        <v>81</v>
      </c>
      <c r="D1449" s="2">
        <v>971.13916584057733</v>
      </c>
      <c r="E1449" s="2">
        <v>623.53425929322839</v>
      </c>
      <c r="F1449" s="2">
        <v>729.31953435763717</v>
      </c>
      <c r="G1449" s="2">
        <v>168.97114696446806</v>
      </c>
      <c r="H1449" s="2">
        <v>8.6527861482463777</v>
      </c>
      <c r="I1449" s="2">
        <v>0.80290833474136891</v>
      </c>
      <c r="J1449" s="2">
        <v>7</v>
      </c>
      <c r="K1449" s="2">
        <v>172.78954588675762</v>
      </c>
      <c r="L1449" s="2">
        <v>14055</v>
      </c>
      <c r="M1449" s="2">
        <v>1200</v>
      </c>
      <c r="N1449" s="2">
        <v>250.04051071852709</v>
      </c>
      <c r="O1449" s="2">
        <v>2503.6588473443098</v>
      </c>
      <c r="P1449" s="2">
        <v>971.13916584057733</v>
      </c>
      <c r="Q1449" s="2">
        <v>251.74064285971582</v>
      </c>
      <c r="R1449" s="2">
        <v>2503.9558762395</v>
      </c>
      <c r="S1449" s="2">
        <v>982.00587965734917</v>
      </c>
      <c r="T1449" s="2">
        <v>1.7001321411887318</v>
      </c>
      <c r="U1449" s="2">
        <v>0.29702889519012388</v>
      </c>
      <c r="V1449" s="2">
        <v>10.866713816771835</v>
      </c>
    </row>
    <row r="1450" spans="1:22" ht="15">
      <c r="A1450" s="2">
        <v>1449</v>
      </c>
      <c r="B1450" s="2" t="s">
        <v>78</v>
      </c>
      <c r="C1450" s="2" t="s">
        <v>81</v>
      </c>
      <c r="D1450" s="2">
        <v>1020.3876895830035</v>
      </c>
      <c r="E1450" s="2">
        <v>1052.4578277370892</v>
      </c>
      <c r="F1450" s="2">
        <v>638.71277589350939</v>
      </c>
      <c r="G1450" s="2">
        <v>159.82583303237334</v>
      </c>
      <c r="H1450" s="2">
        <v>21.529577990993857</v>
      </c>
      <c r="I1450" s="2">
        <v>0.80272394598694519</v>
      </c>
      <c r="J1450" s="2">
        <v>7</v>
      </c>
      <c r="K1450" s="2">
        <v>181.59377288939098</v>
      </c>
      <c r="L1450" s="2">
        <v>11555</v>
      </c>
      <c r="M1450" s="2">
        <v>1195</v>
      </c>
      <c r="N1450" s="2">
        <v>250.02935976177264</v>
      </c>
      <c r="O1450" s="2">
        <v>2495.1351245385308</v>
      </c>
      <c r="P1450" s="2">
        <v>1020.3876895830035</v>
      </c>
      <c r="Q1450" s="2">
        <v>247.92145416625507</v>
      </c>
      <c r="R1450" s="2">
        <v>2510.2084753075296</v>
      </c>
      <c r="S1450" s="2">
        <v>1017.1926819753962</v>
      </c>
      <c r="T1450" s="2">
        <v>-2.1079055955175647</v>
      </c>
      <c r="U1450" s="2">
        <v>15.073350768998807</v>
      </c>
      <c r="V1450" s="2">
        <v>-3.1950076076072946</v>
      </c>
    </row>
    <row r="1451" spans="1:22" ht="15">
      <c r="A1451" s="2">
        <v>1450</v>
      </c>
      <c r="B1451" s="2" t="s">
        <v>78</v>
      </c>
      <c r="C1451" s="2" t="s">
        <v>81</v>
      </c>
      <c r="D1451" s="2">
        <v>1027.5260013178922</v>
      </c>
      <c r="E1451" s="2">
        <v>828.60006208065897</v>
      </c>
      <c r="F1451" s="2">
        <v>363.40245613828301</v>
      </c>
      <c r="G1451" s="2">
        <v>91.081727920100093</v>
      </c>
      <c r="H1451" s="2">
        <v>18.752121408004314</v>
      </c>
      <c r="I1451" s="2">
        <v>0.80298230749089272</v>
      </c>
      <c r="J1451" s="2">
        <v>7</v>
      </c>
      <c r="K1451" s="2">
        <v>182.80530889700049</v>
      </c>
      <c r="L1451" s="2">
        <v>16665</v>
      </c>
      <c r="M1451" s="2">
        <v>1200</v>
      </c>
      <c r="N1451" s="2">
        <v>249.96291742705495</v>
      </c>
      <c r="O1451" s="2">
        <v>2502.2690900136245</v>
      </c>
      <c r="P1451" s="2">
        <v>1027.5260013178922</v>
      </c>
      <c r="Q1451" s="2">
        <v>248.96703738745217</v>
      </c>
      <c r="R1451" s="2">
        <v>2538.1129671424887</v>
      </c>
      <c r="S1451" s="2">
        <v>1034.1545300936459</v>
      </c>
      <c r="T1451" s="2">
        <v>-0.99588003960278115</v>
      </c>
      <c r="U1451" s="2">
        <v>35.843877128864278</v>
      </c>
      <c r="V1451" s="2">
        <v>6.6285287757536935</v>
      </c>
    </row>
    <row r="1452" spans="1:22" ht="15">
      <c r="A1452" s="2">
        <v>1451</v>
      </c>
      <c r="B1452" s="2" t="s">
        <v>78</v>
      </c>
      <c r="C1452" s="2" t="s">
        <v>81</v>
      </c>
      <c r="D1452" s="2">
        <v>1019.5350198773667</v>
      </c>
      <c r="E1452" s="2">
        <v>1095.6101356656291</v>
      </c>
      <c r="F1452" s="2">
        <v>543.54646988213062</v>
      </c>
      <c r="G1452" s="2">
        <v>225.12983913300559</v>
      </c>
      <c r="H1452" s="2">
        <v>12.795987621881068</v>
      </c>
      <c r="I1452" s="2">
        <v>0.84246756768552589</v>
      </c>
      <c r="J1452" s="2">
        <v>7</v>
      </c>
      <c r="K1452" s="2">
        <v>172.88245336566834</v>
      </c>
      <c r="L1452" s="2">
        <v>11470</v>
      </c>
      <c r="M1452" s="2">
        <v>1195</v>
      </c>
      <c r="N1452" s="2">
        <v>249.97187562359105</v>
      </c>
      <c r="O1452" s="2">
        <v>2495.21216598406</v>
      </c>
      <c r="P1452" s="2">
        <v>1019.5350198773667</v>
      </c>
      <c r="Q1452" s="2">
        <v>254.29374240392227</v>
      </c>
      <c r="R1452" s="2">
        <v>2476.8887752252022</v>
      </c>
      <c r="S1452" s="2">
        <v>1024.1850685473453</v>
      </c>
      <c r="T1452" s="2">
        <v>4.3218667803312201</v>
      </c>
      <c r="U1452" s="2">
        <v>-18.32339075885784</v>
      </c>
      <c r="V1452" s="2">
        <v>4.6500486699785597</v>
      </c>
    </row>
    <row r="1453" spans="1:22" ht="15">
      <c r="A1453" s="2">
        <v>1452</v>
      </c>
      <c r="B1453" s="2" t="s">
        <v>78</v>
      </c>
      <c r="C1453" s="2" t="s">
        <v>81</v>
      </c>
      <c r="D1453" s="2">
        <v>966.15566298132762</v>
      </c>
      <c r="E1453" s="2">
        <v>1208.1148245837539</v>
      </c>
      <c r="F1453" s="2">
        <v>492.66735715791583</v>
      </c>
      <c r="G1453" s="2">
        <v>253.18779311608523</v>
      </c>
      <c r="H1453" s="2">
        <v>27.391111958306283</v>
      </c>
      <c r="I1453" s="2">
        <v>0.8021733028069139</v>
      </c>
      <c r="J1453" s="2">
        <v>7</v>
      </c>
      <c r="K1453" s="2">
        <v>172.06037284686792</v>
      </c>
      <c r="L1453" s="2">
        <v>10945</v>
      </c>
      <c r="M1453" s="2">
        <v>1195</v>
      </c>
      <c r="N1453" s="2">
        <v>250.00544038580352</v>
      </c>
      <c r="O1453" s="2">
        <v>2495.7320564759016</v>
      </c>
      <c r="P1453" s="2">
        <v>966.15566298132762</v>
      </c>
      <c r="Q1453" s="2">
        <v>249.29856411421002</v>
      </c>
      <c r="R1453" s="2">
        <v>2497.4398536323092</v>
      </c>
      <c r="S1453" s="2">
        <v>946.54214192902793</v>
      </c>
      <c r="T1453" s="2">
        <v>-0.70687627159350086</v>
      </c>
      <c r="U1453" s="2">
        <v>1.7077971564076506</v>
      </c>
      <c r="V1453" s="2">
        <v>-19.613521052299689</v>
      </c>
    </row>
    <row r="1454" spans="1:22" ht="15">
      <c r="A1454" s="2">
        <v>1453</v>
      </c>
      <c r="B1454" s="2" t="s">
        <v>78</v>
      </c>
      <c r="C1454" s="2" t="s">
        <v>81</v>
      </c>
      <c r="D1454" s="2">
        <v>963.37700462900102</v>
      </c>
      <c r="E1454" s="2">
        <v>1007.5078966910951</v>
      </c>
      <c r="F1454" s="2">
        <v>587.03626301139593</v>
      </c>
      <c r="G1454" s="2">
        <v>130.07264559390023</v>
      </c>
      <c r="H1454" s="2">
        <v>28.189327839761972</v>
      </c>
      <c r="I1454" s="2">
        <v>0.81582355745369572</v>
      </c>
      <c r="J1454" s="2">
        <v>6</v>
      </c>
      <c r="K1454" s="2">
        <v>196.81073516186945</v>
      </c>
      <c r="L1454" s="2">
        <v>14465</v>
      </c>
      <c r="M1454" s="2">
        <v>1200</v>
      </c>
      <c r="N1454" s="2">
        <v>249.96543054543247</v>
      </c>
      <c r="O1454" s="2">
        <v>2503.4051480117064</v>
      </c>
      <c r="P1454" s="2">
        <v>963.37700462900102</v>
      </c>
      <c r="Q1454" s="2">
        <v>250.72033269345619</v>
      </c>
      <c r="R1454" s="2">
        <v>2545.6346760434394</v>
      </c>
      <c r="S1454" s="2">
        <v>950.72399145050713</v>
      </c>
      <c r="T1454" s="2">
        <v>0.75490214802371725</v>
      </c>
      <c r="U1454" s="2">
        <v>42.229528031733025</v>
      </c>
      <c r="V1454" s="2">
        <v>-12.653013178493893</v>
      </c>
    </row>
    <row r="1455" spans="1:22" ht="15">
      <c r="A1455" s="2">
        <v>1454</v>
      </c>
      <c r="B1455" s="2" t="s">
        <v>78</v>
      </c>
      <c r="C1455" s="2" t="s">
        <v>81</v>
      </c>
      <c r="D1455" s="2">
        <v>985.73683855356649</v>
      </c>
      <c r="E1455" s="2">
        <v>1235.2821417851374</v>
      </c>
      <c r="F1455" s="2">
        <v>602.61482344940305</v>
      </c>
      <c r="G1455" s="2">
        <v>194.64331671595573</v>
      </c>
      <c r="H1455" s="2">
        <v>27.868078509811312</v>
      </c>
      <c r="I1455" s="2">
        <v>0.83001148797106006</v>
      </c>
      <c r="J1455" s="2">
        <v>6</v>
      </c>
      <c r="K1455" s="2">
        <v>197.93638458410027</v>
      </c>
      <c r="L1455" s="2">
        <v>12275</v>
      </c>
      <c r="M1455" s="2">
        <v>1200</v>
      </c>
      <c r="N1455" s="2">
        <v>249.99409812674114</v>
      </c>
      <c r="O1455" s="2">
        <v>2504.9415629908199</v>
      </c>
      <c r="P1455" s="2">
        <v>985.73683855356649</v>
      </c>
      <c r="Q1455" s="2">
        <v>250.88970840023939</v>
      </c>
      <c r="R1455" s="2">
        <v>2498.5600235403667</v>
      </c>
      <c r="S1455" s="2">
        <v>966.74827409580655</v>
      </c>
      <c r="T1455" s="2">
        <v>0.8956102734982494</v>
      </c>
      <c r="U1455" s="2">
        <v>-6.3815394504531469</v>
      </c>
      <c r="V1455" s="2">
        <v>-18.988564457759935</v>
      </c>
    </row>
    <row r="1456" spans="1:22" ht="15">
      <c r="A1456" s="2">
        <v>1455</v>
      </c>
      <c r="B1456" s="2" t="s">
        <v>79</v>
      </c>
      <c r="C1456" s="2" t="s">
        <v>81</v>
      </c>
      <c r="D1456" s="2">
        <v>1017.0118743786588</v>
      </c>
      <c r="E1456" s="2">
        <v>1144.3114430760033</v>
      </c>
      <c r="F1456" s="2">
        <v>416.60324111580849</v>
      </c>
      <c r="G1456" s="2">
        <v>113.96592516219243</v>
      </c>
      <c r="H1456" s="2">
        <v>24.772588058374822</v>
      </c>
      <c r="I1456" s="2">
        <v>0.79423615103354683</v>
      </c>
      <c r="J1456" s="2">
        <v>7</v>
      </c>
      <c r="K1456" s="2">
        <v>182.92721936222478</v>
      </c>
      <c r="L1456" s="2">
        <v>12770</v>
      </c>
      <c r="M1456" s="2">
        <v>1200</v>
      </c>
      <c r="N1456" s="2">
        <v>250.02893321590074</v>
      </c>
      <c r="O1456" s="2">
        <v>2504.5498150031717</v>
      </c>
      <c r="P1456" s="2">
        <v>1017.0118743786588</v>
      </c>
      <c r="Q1456" s="2">
        <v>248.39565285726525</v>
      </c>
      <c r="R1456" s="2">
        <v>2507.5809255520689</v>
      </c>
      <c r="S1456" s="2">
        <v>1008.8953787996574</v>
      </c>
      <c r="T1456" s="2">
        <v>-1.6332803586354885</v>
      </c>
      <c r="U1456" s="2">
        <v>3.0311105488972316</v>
      </c>
      <c r="V1456" s="2">
        <v>-8.1164955790014801</v>
      </c>
    </row>
    <row r="1457" spans="1:22" ht="15">
      <c r="A1457" s="2">
        <v>1456</v>
      </c>
      <c r="B1457" s="2" t="s">
        <v>79</v>
      </c>
      <c r="C1457" s="2" t="s">
        <v>81</v>
      </c>
      <c r="D1457" s="2">
        <v>1069.5635367068462</v>
      </c>
      <c r="E1457" s="2">
        <v>1169.1710228100419</v>
      </c>
      <c r="F1457" s="2">
        <v>657.80742606148124</v>
      </c>
      <c r="G1457" s="2">
        <v>111.43261012155563</v>
      </c>
      <c r="H1457" s="2">
        <v>23.345402651932091</v>
      </c>
      <c r="I1457" s="2">
        <v>0.85218132666312163</v>
      </c>
      <c r="J1457" s="2">
        <v>7</v>
      </c>
      <c r="K1457" s="2">
        <v>179.29844996301199</v>
      </c>
      <c r="L1457" s="2">
        <v>11035</v>
      </c>
      <c r="M1457" s="2">
        <v>1195</v>
      </c>
      <c r="N1457" s="2">
        <v>250.05400985547763</v>
      </c>
      <c r="O1457" s="2">
        <v>2495.6418622963743</v>
      </c>
      <c r="P1457" s="2">
        <v>1069.5635367068462</v>
      </c>
      <c r="Q1457" s="2">
        <v>251.10610555142139</v>
      </c>
      <c r="R1457" s="2">
        <v>2495.8935943563324</v>
      </c>
      <c r="S1457" s="2">
        <v>1064.0782196371536</v>
      </c>
      <c r="T1457" s="2">
        <v>1.0520956959437626</v>
      </c>
      <c r="U1457" s="2">
        <v>0.25173205995815806</v>
      </c>
      <c r="V1457" s="2">
        <v>-5.4853170696926554</v>
      </c>
    </row>
    <row r="1458" spans="1:22" ht="15">
      <c r="A1458" s="2">
        <v>1457</v>
      </c>
      <c r="B1458" s="2" t="s">
        <v>79</v>
      </c>
      <c r="C1458" s="2" t="s">
        <v>81</v>
      </c>
      <c r="D1458" s="2">
        <v>1060.6739942915738</v>
      </c>
      <c r="E1458" s="2">
        <v>668.28630355885252</v>
      </c>
      <c r="F1458" s="2">
        <v>481.00029621273279</v>
      </c>
      <c r="G1458" s="2">
        <v>181.55043011764064</v>
      </c>
      <c r="H1458" s="2">
        <v>11.406353192403913</v>
      </c>
      <c r="I1458" s="2">
        <v>0.83849435030715547</v>
      </c>
      <c r="J1458" s="2">
        <v>7</v>
      </c>
      <c r="K1458" s="2">
        <v>180.71064673466364</v>
      </c>
      <c r="L1458" s="2">
        <v>16070</v>
      </c>
      <c r="M1458" s="2">
        <v>1200</v>
      </c>
      <c r="N1458" s="2">
        <v>250.00899368198503</v>
      </c>
      <c r="O1458" s="2">
        <v>2502.5470685183909</v>
      </c>
      <c r="P1458" s="2">
        <v>1060.6739942915738</v>
      </c>
      <c r="Q1458" s="2">
        <v>252.60359207181125</v>
      </c>
      <c r="R1458" s="2">
        <v>2514.5138614473303</v>
      </c>
      <c r="S1458" s="2">
        <v>1071.7046427985183</v>
      </c>
      <c r="T1458" s="2">
        <v>2.594598389826217</v>
      </c>
      <c r="U1458" s="2">
        <v>11.966792928939412</v>
      </c>
      <c r="V1458" s="2">
        <v>11.030648506944544</v>
      </c>
    </row>
    <row r="1459" spans="1:22" ht="15">
      <c r="A1459" s="2">
        <v>1458</v>
      </c>
      <c r="B1459" s="2" t="s">
        <v>80</v>
      </c>
      <c r="C1459" s="2" t="s">
        <v>81</v>
      </c>
      <c r="D1459" s="2">
        <v>980.05539696896449</v>
      </c>
      <c r="E1459" s="2">
        <v>1228.549833339639</v>
      </c>
      <c r="F1459" s="2">
        <v>543.71313536539674</v>
      </c>
      <c r="G1459" s="2">
        <v>111.91954758949578</v>
      </c>
      <c r="H1459" s="2">
        <v>25.069219083059579</v>
      </c>
      <c r="I1459" s="2">
        <v>0.80618821638170635</v>
      </c>
      <c r="J1459" s="2">
        <v>7</v>
      </c>
      <c r="K1459" s="2">
        <v>173.66653469717744</v>
      </c>
      <c r="L1459" s="2">
        <v>11350</v>
      </c>
      <c r="M1459" s="2">
        <v>1195</v>
      </c>
      <c r="N1459" s="2">
        <v>249.99682121321428</v>
      </c>
      <c r="O1459" s="2">
        <v>2495.3275024169207</v>
      </c>
      <c r="P1459" s="2">
        <v>980.05539696896449</v>
      </c>
      <c r="Q1459" s="2">
        <v>251.23162958533754</v>
      </c>
      <c r="R1459" s="2">
        <v>2520.3418046344991</v>
      </c>
      <c r="S1459" s="2">
        <v>964.03172605932798</v>
      </c>
      <c r="T1459" s="2">
        <v>1.2348083721232683</v>
      </c>
      <c r="U1459" s="2">
        <v>25.014302217578461</v>
      </c>
      <c r="V1459" s="2">
        <v>-16.023670909636508</v>
      </c>
    </row>
    <row r="1460" spans="1:22" ht="15">
      <c r="A1460" s="2">
        <v>1459</v>
      </c>
      <c r="B1460" s="2" t="s">
        <v>80</v>
      </c>
      <c r="C1460" s="2" t="s">
        <v>81</v>
      </c>
      <c r="D1460" s="2">
        <v>1016.9115794589743</v>
      </c>
      <c r="E1460" s="2">
        <v>1172.9062955477275</v>
      </c>
      <c r="F1460" s="2">
        <v>383.8712390512228</v>
      </c>
      <c r="G1460" s="2">
        <v>91.630578606855124</v>
      </c>
      <c r="H1460" s="2">
        <v>25.412786048837006</v>
      </c>
      <c r="I1460" s="2">
        <v>0.8310182048822754</v>
      </c>
      <c r="J1460" s="2">
        <v>7</v>
      </c>
      <c r="K1460" s="2">
        <v>174.81335778971689</v>
      </c>
      <c r="L1460" s="2">
        <v>12975</v>
      </c>
      <c r="M1460" s="2">
        <v>1200</v>
      </c>
      <c r="N1460" s="2">
        <v>250.02741777349456</v>
      </c>
      <c r="O1460" s="2">
        <v>2504.3957133085937</v>
      </c>
      <c r="P1460" s="2">
        <v>1016.9115794589743</v>
      </c>
      <c r="Q1460" s="2">
        <v>247.15772118734591</v>
      </c>
      <c r="R1460" s="2">
        <v>2493.3306574598309</v>
      </c>
      <c r="S1460" s="2">
        <v>1011.5741434802534</v>
      </c>
      <c r="T1460" s="2">
        <v>-2.869696586148649</v>
      </c>
      <c r="U1460" s="2">
        <v>-11.065055848762768</v>
      </c>
      <c r="V1460" s="2">
        <v>-5.3374359787209187</v>
      </c>
    </row>
    <row r="1461" spans="1:22" ht="15">
      <c r="A1461" s="2">
        <v>1460</v>
      </c>
      <c r="B1461" s="2" t="s">
        <v>80</v>
      </c>
      <c r="C1461" s="2" t="s">
        <v>81</v>
      </c>
      <c r="D1461" s="2">
        <v>959.06200719764456</v>
      </c>
      <c r="E1461" s="2">
        <v>1132.743706041947</v>
      </c>
      <c r="F1461" s="2">
        <v>516.61147950217128</v>
      </c>
      <c r="G1461" s="2">
        <v>247.09096299018711</v>
      </c>
      <c r="H1461" s="2">
        <v>20.688564627896994</v>
      </c>
      <c r="I1461" s="2">
        <v>0.85437055433169007</v>
      </c>
      <c r="J1461" s="2">
        <v>6</v>
      </c>
      <c r="K1461" s="2">
        <v>187.08939236711851</v>
      </c>
      <c r="L1461" s="2">
        <v>13155</v>
      </c>
      <c r="M1461" s="2">
        <v>1200</v>
      </c>
      <c r="N1461" s="2">
        <v>249.97699298127344</v>
      </c>
      <c r="O1461" s="2">
        <v>2504.2625077027265</v>
      </c>
      <c r="P1461" s="2">
        <v>959.06200719764456</v>
      </c>
      <c r="Q1461" s="2">
        <v>248.34165947558202</v>
      </c>
      <c r="R1461" s="2">
        <v>2523.2545274853992</v>
      </c>
      <c r="S1461" s="2">
        <v>951.65850687736213</v>
      </c>
      <c r="T1461" s="2">
        <v>-1.6353335056914204</v>
      </c>
      <c r="U1461" s="2">
        <v>18.992019782672742</v>
      </c>
      <c r="V1461" s="2">
        <v>-7.4035003202824328</v>
      </c>
    </row>
    <row r="1462" spans="1:22" ht="15">
      <c r="A1462" s="2">
        <v>1461</v>
      </c>
      <c r="B1462" s="2" t="s">
        <v>78</v>
      </c>
      <c r="C1462" s="2" t="s">
        <v>81</v>
      </c>
      <c r="D1462" s="2">
        <v>972.78928202576935</v>
      </c>
      <c r="E1462" s="2">
        <v>665.32127185491845</v>
      </c>
      <c r="F1462" s="2">
        <v>530.60214798897505</v>
      </c>
      <c r="G1462" s="2">
        <v>133.00533614354208</v>
      </c>
      <c r="H1462" s="2">
        <v>9.4221963882446289</v>
      </c>
      <c r="I1462" s="2">
        <v>0.85566203093389048</v>
      </c>
      <c r="J1462" s="2">
        <v>6</v>
      </c>
      <c r="K1462" s="2">
        <v>189.48082437097338</v>
      </c>
      <c r="L1462" s="2">
        <v>18775</v>
      </c>
      <c r="M1462" s="2">
        <v>1200</v>
      </c>
      <c r="N1462" s="2">
        <v>250.00556128574013</v>
      </c>
      <c r="O1462" s="2">
        <v>2501.4308229208746</v>
      </c>
      <c r="P1462" s="2">
        <v>972.78928202576935</v>
      </c>
      <c r="Q1462" s="2">
        <v>252.98042726729349</v>
      </c>
      <c r="R1462" s="2">
        <v>2458.2222072925815</v>
      </c>
      <c r="S1462" s="2">
        <v>986.97173320332217</v>
      </c>
      <c r="T1462" s="2">
        <v>2.9748659815533642</v>
      </c>
      <c r="U1462" s="2">
        <v>-43.208615628293046</v>
      </c>
      <c r="V1462" s="2">
        <v>14.182451177552821</v>
      </c>
    </row>
    <row r="1463" spans="1:22" ht="15">
      <c r="A1463" s="2">
        <v>1462</v>
      </c>
      <c r="B1463" s="2" t="s">
        <v>78</v>
      </c>
      <c r="C1463" s="2" t="s">
        <v>81</v>
      </c>
      <c r="D1463" s="2">
        <v>995.79035948263481</v>
      </c>
      <c r="E1463" s="2">
        <v>745.28812409844249</v>
      </c>
      <c r="F1463" s="2">
        <v>422.7440875954926</v>
      </c>
      <c r="G1463" s="2">
        <v>109.27004778757691</v>
      </c>
      <c r="H1463" s="2">
        <v>11.107333651278168</v>
      </c>
      <c r="I1463" s="2">
        <v>0.84644351107534022</v>
      </c>
      <c r="J1463" s="2">
        <v>6</v>
      </c>
      <c r="K1463" s="2">
        <v>196.07340329530891</v>
      </c>
      <c r="L1463" s="2">
        <v>19535</v>
      </c>
      <c r="M1463" s="2">
        <v>1200</v>
      </c>
      <c r="N1463" s="2">
        <v>250.02023620306974</v>
      </c>
      <c r="O1463" s="2">
        <v>2501.1732273539083</v>
      </c>
      <c r="P1463" s="2">
        <v>995.79035948263481</v>
      </c>
      <c r="Q1463" s="2">
        <v>249.54973162384795</v>
      </c>
      <c r="R1463" s="2">
        <v>2463.1862852942604</v>
      </c>
      <c r="S1463" s="2">
        <v>1014.3787770590602</v>
      </c>
      <c r="T1463" s="2">
        <v>-0.47050457922179589</v>
      </c>
      <c r="U1463" s="2">
        <v>-37.986942059647845</v>
      </c>
      <c r="V1463" s="2">
        <v>18.5884175764254</v>
      </c>
    </row>
    <row r="1464" spans="1:22" ht="15">
      <c r="A1464" s="2">
        <v>1463</v>
      </c>
      <c r="B1464" s="2" t="s">
        <v>78</v>
      </c>
      <c r="C1464" s="2" t="s">
        <v>81</v>
      </c>
      <c r="D1464" s="2">
        <v>1000.3077888162807</v>
      </c>
      <c r="E1464" s="2">
        <v>849.55500048818067</v>
      </c>
      <c r="F1464" s="2">
        <v>590.38878232240677</v>
      </c>
      <c r="G1464" s="2">
        <v>100.20149579038844</v>
      </c>
      <c r="H1464" s="2">
        <v>25.934179077856243</v>
      </c>
      <c r="I1464" s="2">
        <v>0.81107338566100229</v>
      </c>
      <c r="J1464" s="2">
        <v>7</v>
      </c>
      <c r="K1464" s="2">
        <v>176.18764863253361</v>
      </c>
      <c r="L1464" s="2">
        <v>13885</v>
      </c>
      <c r="M1464" s="2">
        <v>1200</v>
      </c>
      <c r="N1464" s="2">
        <v>249.99023898976148</v>
      </c>
      <c r="O1464" s="2">
        <v>2503.765493695792</v>
      </c>
      <c r="P1464" s="2">
        <v>1000.3077888162807</v>
      </c>
      <c r="Q1464" s="2">
        <v>249.88950873636557</v>
      </c>
      <c r="R1464" s="2">
        <v>2510.845014047155</v>
      </c>
      <c r="S1464" s="2">
        <v>1001.0658206378155</v>
      </c>
      <c r="T1464" s="2">
        <v>-0.10073025339590913</v>
      </c>
      <c r="U1464" s="2">
        <v>7.079520351363044</v>
      </c>
      <c r="V1464" s="2">
        <v>0.7580318215348143</v>
      </c>
    </row>
    <row r="1465" spans="1:22" ht="15">
      <c r="A1465" s="2">
        <v>1464</v>
      </c>
      <c r="B1465" s="2" t="s">
        <v>78</v>
      </c>
      <c r="C1465" s="2" t="s">
        <v>81</v>
      </c>
      <c r="D1465" s="2">
        <v>1034.9079347099178</v>
      </c>
      <c r="E1465" s="2">
        <v>883.54396102949977</v>
      </c>
      <c r="F1465" s="2">
        <v>667.03188335523009</v>
      </c>
      <c r="G1465" s="2">
        <v>323.79315844271332</v>
      </c>
      <c r="H1465" s="2">
        <v>18.214498852845281</v>
      </c>
      <c r="I1465" s="2">
        <v>0.82785258811898532</v>
      </c>
      <c r="J1465" s="2">
        <v>7</v>
      </c>
      <c r="K1465" s="2">
        <v>178.58733885071351</v>
      </c>
      <c r="L1465" s="2">
        <v>11410</v>
      </c>
      <c r="M1465" s="2">
        <v>1195</v>
      </c>
      <c r="N1465" s="2">
        <v>250.00924932495334</v>
      </c>
      <c r="O1465" s="2">
        <v>2495.2706140190949</v>
      </c>
      <c r="P1465" s="2">
        <v>1034.9079347099178</v>
      </c>
      <c r="Q1465" s="2">
        <v>249.9364465458919</v>
      </c>
      <c r="R1465" s="2">
        <v>2508.2459044536427</v>
      </c>
      <c r="S1465" s="2">
        <v>1031.4174933525803</v>
      </c>
      <c r="T1465" s="2">
        <v>-7.2802779061447609E-2</v>
      </c>
      <c r="U1465" s="2">
        <v>12.975290434547787</v>
      </c>
      <c r="V1465" s="2">
        <v>-3.4904413573374313</v>
      </c>
    </row>
    <row r="1466" spans="1:22" ht="15">
      <c r="A1466" s="2">
        <v>1465</v>
      </c>
      <c r="B1466" s="2" t="s">
        <v>78</v>
      </c>
      <c r="C1466" s="2" t="s">
        <v>81</v>
      </c>
      <c r="D1466" s="2">
        <v>1040.6837400048971</v>
      </c>
      <c r="E1466" s="2">
        <v>980.2146716392599</v>
      </c>
      <c r="F1466" s="2">
        <v>706.77201319485903</v>
      </c>
      <c r="G1466" s="2">
        <v>98.55647616321221</v>
      </c>
      <c r="H1466" s="2">
        <v>10.420225633308291</v>
      </c>
      <c r="I1466" s="2">
        <v>0.79402747509302574</v>
      </c>
      <c r="J1466" s="2">
        <v>7</v>
      </c>
      <c r="K1466" s="2">
        <v>187.23420835981489</v>
      </c>
      <c r="L1466" s="2">
        <v>11975</v>
      </c>
      <c r="M1466" s="2">
        <v>1200</v>
      </c>
      <c r="N1466" s="2">
        <v>249.95442913139735</v>
      </c>
      <c r="O1466" s="2">
        <v>2505.1940038487978</v>
      </c>
      <c r="P1466" s="2">
        <v>1040.6837400048971</v>
      </c>
      <c r="Q1466" s="2">
        <v>251.08989202686561</v>
      </c>
      <c r="R1466" s="2">
        <v>2550.4371220633707</v>
      </c>
      <c r="S1466" s="2">
        <v>1037.9202621087002</v>
      </c>
      <c r="T1466" s="2">
        <v>1.1354628954682653</v>
      </c>
      <c r="U1466" s="2">
        <v>45.24311821457286</v>
      </c>
      <c r="V1466" s="2">
        <v>-2.7634778961969459</v>
      </c>
    </row>
    <row r="1467" spans="1:22" ht="15">
      <c r="A1467" s="2">
        <v>1466</v>
      </c>
      <c r="B1467" s="2" t="s">
        <v>78</v>
      </c>
      <c r="C1467" s="2" t="s">
        <v>81</v>
      </c>
      <c r="D1467" s="2">
        <v>1063.9266403974034</v>
      </c>
      <c r="E1467" s="2">
        <v>714.90996314678341</v>
      </c>
      <c r="F1467" s="2">
        <v>571.4468196965754</v>
      </c>
      <c r="G1467" s="2">
        <v>243.73914456926286</v>
      </c>
      <c r="H1467" s="2">
        <v>26.359540801960975</v>
      </c>
      <c r="I1467" s="2">
        <v>0.80860370748210697</v>
      </c>
      <c r="J1467" s="2">
        <v>7</v>
      </c>
      <c r="K1467" s="2">
        <v>187.96540091319727</v>
      </c>
      <c r="L1467" s="2">
        <v>13975</v>
      </c>
      <c r="M1467" s="2">
        <v>1200</v>
      </c>
      <c r="N1467" s="2">
        <v>249.9688914344926</v>
      </c>
      <c r="O1467" s="2">
        <v>2503.7069944126542</v>
      </c>
      <c r="P1467" s="2">
        <v>1063.9266403974034</v>
      </c>
      <c r="Q1467" s="2">
        <v>247.971099042709</v>
      </c>
      <c r="R1467" s="2">
        <v>2471.6421515206362</v>
      </c>
      <c r="S1467" s="2">
        <v>1056.8837014729258</v>
      </c>
      <c r="T1467" s="2">
        <v>-1.9977923917836051</v>
      </c>
      <c r="U1467" s="2">
        <v>-32.064842892018078</v>
      </c>
      <c r="V1467" s="2">
        <v>-7.0429389244775393</v>
      </c>
    </row>
    <row r="1468" spans="1:22" ht="15">
      <c r="A1468" s="2">
        <v>1467</v>
      </c>
      <c r="B1468" s="2" t="s">
        <v>78</v>
      </c>
      <c r="C1468" s="2" t="s">
        <v>81</v>
      </c>
      <c r="D1468" s="2">
        <v>1044.2563262535259</v>
      </c>
      <c r="E1468" s="2">
        <v>1236.4251666353084</v>
      </c>
      <c r="F1468" s="2">
        <v>629.34635020792484</v>
      </c>
      <c r="G1468" s="2">
        <v>253.75439702300355</v>
      </c>
      <c r="H1468" s="2">
        <v>16.511510320939124</v>
      </c>
      <c r="I1468" s="2">
        <v>0.79289690735517071</v>
      </c>
      <c r="J1468" s="2">
        <v>7</v>
      </c>
      <c r="K1468" s="2">
        <v>188.14485691044771</v>
      </c>
      <c r="L1468" s="2">
        <v>10090</v>
      </c>
      <c r="M1468" s="2">
        <v>1195</v>
      </c>
      <c r="N1468" s="2">
        <v>250.00302054924802</v>
      </c>
      <c r="O1468" s="2">
        <v>2496.6917751487567</v>
      </c>
      <c r="P1468" s="2">
        <v>1044.2563262535259</v>
      </c>
      <c r="Q1468" s="2">
        <v>253.50346843432035</v>
      </c>
      <c r="R1468" s="2">
        <v>2501.0247273478194</v>
      </c>
      <c r="S1468" s="2">
        <v>1034.5165847782466</v>
      </c>
      <c r="T1468" s="2">
        <v>3.5004478850723331</v>
      </c>
      <c r="U1468" s="2">
        <v>4.3329521990626745</v>
      </c>
      <c r="V1468" s="2">
        <v>-9.7397414752792884</v>
      </c>
    </row>
    <row r="1469" spans="1:22" ht="15">
      <c r="A1469" s="2">
        <v>1468</v>
      </c>
      <c r="B1469" s="2" t="s">
        <v>78</v>
      </c>
      <c r="C1469" s="2" t="s">
        <v>81</v>
      </c>
      <c r="D1469" s="2">
        <v>950.75993578648195</v>
      </c>
      <c r="E1469" s="2">
        <v>675.94248908571899</v>
      </c>
      <c r="F1469" s="2">
        <v>488.51666999980807</v>
      </c>
      <c r="G1469" s="2">
        <v>176.59913729410619</v>
      </c>
      <c r="H1469" s="2">
        <v>28.945888947229832</v>
      </c>
      <c r="I1469" s="2">
        <v>0.85679712817072873</v>
      </c>
      <c r="J1469" s="2">
        <v>6</v>
      </c>
      <c r="K1469" s="2">
        <v>184.9445849988559</v>
      </c>
      <c r="L1469" s="2">
        <v>18605</v>
      </c>
      <c r="M1469" s="2">
        <v>1200</v>
      </c>
      <c r="N1469" s="2">
        <v>250.00344512597775</v>
      </c>
      <c r="O1469" s="2">
        <v>2501.4913444756153</v>
      </c>
      <c r="P1469" s="2">
        <v>950.75993578648195</v>
      </c>
      <c r="Q1469" s="2">
        <v>246.42163691459746</v>
      </c>
      <c r="R1469" s="2">
        <v>2517.994875201347</v>
      </c>
      <c r="S1469" s="2">
        <v>946.02919873791632</v>
      </c>
      <c r="T1469" s="2">
        <v>-3.5818082113802916</v>
      </c>
      <c r="U1469" s="2">
        <v>16.503530725731707</v>
      </c>
      <c r="V1469" s="2">
        <v>-4.7307370485656293</v>
      </c>
    </row>
    <row r="1470" spans="1:22" ht="15">
      <c r="A1470" s="2">
        <v>1469</v>
      </c>
      <c r="B1470" s="2" t="s">
        <v>78</v>
      </c>
      <c r="C1470" s="2" t="s">
        <v>81</v>
      </c>
      <c r="D1470" s="2">
        <v>1019.4568436127156</v>
      </c>
      <c r="E1470" s="2">
        <v>764.77348924381658</v>
      </c>
      <c r="F1470" s="2">
        <v>531.92476686090231</v>
      </c>
      <c r="G1470" s="2">
        <v>90.616457846481353</v>
      </c>
      <c r="H1470" s="2">
        <v>22.829223867505789</v>
      </c>
      <c r="I1470" s="2">
        <v>0.83789131287718199</v>
      </c>
      <c r="J1470" s="2">
        <v>7</v>
      </c>
      <c r="K1470" s="2">
        <v>173.8133451277601</v>
      </c>
      <c r="L1470" s="2">
        <v>15415</v>
      </c>
      <c r="M1470" s="2">
        <v>1200</v>
      </c>
      <c r="N1470" s="2">
        <v>249.99642597627036</v>
      </c>
      <c r="O1470" s="2">
        <v>2502.8758364128525</v>
      </c>
      <c r="P1470" s="2">
        <v>1019.4568436127156</v>
      </c>
      <c r="Q1470" s="2">
        <v>247.01755661241285</v>
      </c>
      <c r="R1470" s="2">
        <v>2519.3726171933813</v>
      </c>
      <c r="S1470" s="2">
        <v>1022.2804084236136</v>
      </c>
      <c r="T1470" s="2">
        <v>-2.9788693638575126</v>
      </c>
      <c r="U1470" s="2">
        <v>16.496780780528752</v>
      </c>
      <c r="V1470" s="2">
        <v>2.8235648108980058</v>
      </c>
    </row>
    <row r="1471" spans="1:22" ht="15">
      <c r="A1471" s="2">
        <v>1470</v>
      </c>
      <c r="B1471" s="2" t="s">
        <v>78</v>
      </c>
      <c r="C1471" s="2" t="s">
        <v>81</v>
      </c>
      <c r="D1471" s="2">
        <v>1083.741962548811</v>
      </c>
      <c r="E1471" s="2">
        <v>927.69427399616688</v>
      </c>
      <c r="F1471" s="2">
        <v>451.45701663568616</v>
      </c>
      <c r="G1471" s="2">
        <v>226.90169040113688</v>
      </c>
      <c r="H1471" s="2">
        <v>16.38041121000424</v>
      </c>
      <c r="I1471" s="2">
        <v>0.79369990635197618</v>
      </c>
      <c r="J1471" s="2">
        <v>7</v>
      </c>
      <c r="K1471" s="2">
        <v>195.06148246344739</v>
      </c>
      <c r="L1471" s="2">
        <v>13315</v>
      </c>
      <c r="M1471" s="2">
        <v>1200</v>
      </c>
      <c r="N1471" s="2">
        <v>249.98628759191436</v>
      </c>
      <c r="O1471" s="2">
        <v>2504.1491556131891</v>
      </c>
      <c r="P1471" s="2">
        <v>1083.741962548811</v>
      </c>
      <c r="Q1471" s="2">
        <v>247.88875133472567</v>
      </c>
      <c r="R1471" s="2">
        <v>2520.7780913419551</v>
      </c>
      <c r="S1471" s="2">
        <v>1081.6761575660294</v>
      </c>
      <c r="T1471" s="2">
        <v>-2.0975362571886933</v>
      </c>
      <c r="U1471" s="2">
        <v>16.62893572876601</v>
      </c>
      <c r="V1471" s="2">
        <v>-2.0658049827816285</v>
      </c>
    </row>
    <row r="1472" spans="1:22" ht="15">
      <c r="A1472" s="2">
        <v>1471</v>
      </c>
      <c r="B1472" s="2" t="s">
        <v>78</v>
      </c>
      <c r="C1472" s="2" t="s">
        <v>81</v>
      </c>
      <c r="D1472" s="2">
        <v>988.36928235832602</v>
      </c>
      <c r="E1472" s="2">
        <v>1098.8866503466852</v>
      </c>
      <c r="F1472" s="2">
        <v>353.14615294337273</v>
      </c>
      <c r="G1472" s="2">
        <v>170.40953539079055</v>
      </c>
      <c r="H1472" s="2">
        <v>29.20037469919771</v>
      </c>
      <c r="I1472" s="2">
        <v>0.81828533740481368</v>
      </c>
      <c r="J1472" s="2">
        <v>7</v>
      </c>
      <c r="K1472" s="2">
        <v>172.55058267727986</v>
      </c>
      <c r="L1472" s="2">
        <v>13180</v>
      </c>
      <c r="M1472" s="2">
        <v>1200</v>
      </c>
      <c r="N1472" s="2">
        <v>249.97716607317406</v>
      </c>
      <c r="O1472" s="2">
        <v>2504.2445613419286</v>
      </c>
      <c r="P1472" s="2">
        <v>988.36928235832602</v>
      </c>
      <c r="Q1472" s="2">
        <v>247.13979916459823</v>
      </c>
      <c r="R1472" s="2">
        <v>2503.3319499755899</v>
      </c>
      <c r="S1472" s="2">
        <v>974.63065088472251</v>
      </c>
      <c r="T1472" s="2">
        <v>-2.8373669085758308</v>
      </c>
      <c r="U1472" s="2">
        <v>-0.9126113663387514</v>
      </c>
      <c r="V1472" s="2">
        <v>-13.738631473603505</v>
      </c>
    </row>
    <row r="1473" spans="1:22" ht="15">
      <c r="A1473" s="2">
        <v>1472</v>
      </c>
      <c r="B1473" s="2" t="s">
        <v>78</v>
      </c>
      <c r="C1473" s="2" t="s">
        <v>81</v>
      </c>
      <c r="D1473" s="2">
        <v>1056.7783588427119</v>
      </c>
      <c r="E1473" s="2">
        <v>1177.0390640944242</v>
      </c>
      <c r="F1473" s="2">
        <v>474.06520238146186</v>
      </c>
      <c r="G1473" s="2">
        <v>158.38824496138841</v>
      </c>
      <c r="H1473" s="2">
        <v>8.2165986462496221</v>
      </c>
      <c r="I1473" s="2">
        <v>0.79972091290168468</v>
      </c>
      <c r="J1473" s="2">
        <v>7</v>
      </c>
      <c r="K1473" s="2">
        <v>188.77627750131111</v>
      </c>
      <c r="L1473" s="2">
        <v>11820</v>
      </c>
      <c r="M1473" s="2">
        <v>1195</v>
      </c>
      <c r="N1473" s="2">
        <v>250.02828266355337</v>
      </c>
      <c r="O1473" s="2">
        <v>2494.8945285667137</v>
      </c>
      <c r="P1473" s="2">
        <v>1056.7783588427119</v>
      </c>
      <c r="Q1473" s="2">
        <v>250.38007843175339</v>
      </c>
      <c r="R1473" s="2">
        <v>2478.7990416777679</v>
      </c>
      <c r="S1473" s="2">
        <v>1056.6476750476706</v>
      </c>
      <c r="T1473" s="2">
        <v>0.35179576820002012</v>
      </c>
      <c r="U1473" s="2">
        <v>-16.095486888945743</v>
      </c>
      <c r="V1473" s="2">
        <v>-0.13068379504125005</v>
      </c>
    </row>
    <row r="1474" spans="1:22" ht="15">
      <c r="A1474" s="2">
        <v>1473</v>
      </c>
      <c r="B1474" s="2" t="s">
        <v>78</v>
      </c>
      <c r="C1474" s="2" t="s">
        <v>81</v>
      </c>
      <c r="D1474" s="2">
        <v>994.79869781062007</v>
      </c>
      <c r="E1474" s="2">
        <v>1197.4948126240633</v>
      </c>
      <c r="F1474" s="2">
        <v>569.33984700590372</v>
      </c>
      <c r="G1474" s="2">
        <v>300.79043189296499</v>
      </c>
      <c r="H1474" s="2">
        <v>8.2343995068222284</v>
      </c>
      <c r="I1474" s="2">
        <v>0.85692187304841361</v>
      </c>
      <c r="J1474" s="2">
        <v>6</v>
      </c>
      <c r="K1474" s="2">
        <v>193.48296289674647</v>
      </c>
      <c r="L1474" s="2">
        <v>12065</v>
      </c>
      <c r="M1474" s="2">
        <v>1200</v>
      </c>
      <c r="N1474" s="2">
        <v>249.95812268090557</v>
      </c>
      <c r="O1474" s="2">
        <v>2505.1166221566623</v>
      </c>
      <c r="P1474" s="2">
        <v>994.79869781062007</v>
      </c>
      <c r="Q1474" s="2">
        <v>254.69762123416373</v>
      </c>
      <c r="R1474" s="2">
        <v>2516.4803582930745</v>
      </c>
      <c r="S1474" s="2">
        <v>987.8910618224611</v>
      </c>
      <c r="T1474" s="2">
        <v>4.7394985532581586</v>
      </c>
      <c r="U1474" s="2">
        <v>11.363736136412172</v>
      </c>
      <c r="V1474" s="2">
        <v>-6.9076359881589724</v>
      </c>
    </row>
    <row r="1475" spans="1:22" ht="15">
      <c r="A1475" s="2">
        <v>1474</v>
      </c>
      <c r="B1475" s="2" t="s">
        <v>78</v>
      </c>
      <c r="C1475" s="2" t="s">
        <v>81</v>
      </c>
      <c r="D1475" s="2">
        <v>976.03866882855073</v>
      </c>
      <c r="E1475" s="2">
        <v>602.78217040468007</v>
      </c>
      <c r="F1475" s="2">
        <v>685.77663535252213</v>
      </c>
      <c r="G1475" s="2">
        <v>266.49209127761424</v>
      </c>
      <c r="H1475" s="2">
        <v>13.038076036144048</v>
      </c>
      <c r="I1475" s="2">
        <v>0.80497859387192883</v>
      </c>
      <c r="J1475" s="2">
        <v>7</v>
      </c>
      <c r="K1475" s="2">
        <v>173.21466261141302</v>
      </c>
      <c r="L1475" s="2">
        <v>13750</v>
      </c>
      <c r="M1475" s="2">
        <v>1200</v>
      </c>
      <c r="N1475" s="2">
        <v>249.95527633583069</v>
      </c>
      <c r="O1475" s="2">
        <v>2503.8522622818186</v>
      </c>
      <c r="P1475" s="2">
        <v>976.03866882855073</v>
      </c>
      <c r="Q1475" s="2">
        <v>248.84681898777069</v>
      </c>
      <c r="R1475" s="2">
        <v>2488.0352391787069</v>
      </c>
      <c r="S1475" s="2">
        <v>984.60314991068242</v>
      </c>
      <c r="T1475" s="2">
        <v>-1.10845734806</v>
      </c>
      <c r="U1475" s="2">
        <v>-15.817023103111751</v>
      </c>
      <c r="V1475" s="2">
        <v>8.5644810821316923</v>
      </c>
    </row>
    <row r="1476" spans="1:22" ht="15">
      <c r="A1476" s="2">
        <v>1475</v>
      </c>
      <c r="B1476" s="2" t="s">
        <v>79</v>
      </c>
      <c r="C1476" s="2" t="s">
        <v>81</v>
      </c>
      <c r="D1476" s="2">
        <v>1010.3246580576524</v>
      </c>
      <c r="E1476" s="2">
        <v>1193.0756425135769</v>
      </c>
      <c r="F1476" s="2">
        <v>711.41482703387737</v>
      </c>
      <c r="G1476" s="2">
        <v>148.37234616978094</v>
      </c>
      <c r="H1476" s="2">
        <v>11.39022180903703</v>
      </c>
      <c r="I1476" s="2">
        <v>0.8032051269779914</v>
      </c>
      <c r="J1476" s="2">
        <v>7</v>
      </c>
      <c r="K1476" s="2">
        <v>179.69518515310833</v>
      </c>
      <c r="L1476" s="2">
        <v>10420</v>
      </c>
      <c r="M1476" s="2">
        <v>1195</v>
      </c>
      <c r="N1476" s="2">
        <v>250.05913499120535</v>
      </c>
      <c r="O1476" s="2">
        <v>2496.305332835258</v>
      </c>
      <c r="P1476" s="2">
        <v>1010.3246580576524</v>
      </c>
      <c r="Q1476" s="2">
        <v>250.68742111562514</v>
      </c>
      <c r="R1476" s="2">
        <v>2494.1869970287121</v>
      </c>
      <c r="S1476" s="2">
        <v>1003.3126869096466</v>
      </c>
      <c r="T1476" s="2">
        <v>0.62828612441978748</v>
      </c>
      <c r="U1476" s="2">
        <v>-2.1183358065459288</v>
      </c>
      <c r="V1476" s="2">
        <v>-7.0119711480058413</v>
      </c>
    </row>
    <row r="1477" spans="1:22" ht="15">
      <c r="A1477" s="2">
        <v>1476</v>
      </c>
      <c r="B1477" s="2" t="s">
        <v>79</v>
      </c>
      <c r="C1477" s="2" t="s">
        <v>81</v>
      </c>
      <c r="D1477" s="2">
        <v>1001.0748691274785</v>
      </c>
      <c r="E1477" s="2">
        <v>955.09331864304841</v>
      </c>
      <c r="F1477" s="2">
        <v>725.17446307465434</v>
      </c>
      <c r="G1477" s="2">
        <v>184.73533009644598</v>
      </c>
      <c r="H1477" s="2">
        <v>19.822428635787219</v>
      </c>
      <c r="I1477" s="2">
        <v>0.85114970630034814</v>
      </c>
      <c r="J1477" s="2">
        <v>6</v>
      </c>
      <c r="K1477" s="2">
        <v>196.0240487498576</v>
      </c>
      <c r="L1477" s="2">
        <v>13380</v>
      </c>
      <c r="M1477" s="2">
        <v>1200</v>
      </c>
      <c r="N1477" s="2">
        <v>250.03700663038933</v>
      </c>
      <c r="O1477" s="2">
        <v>2504.1056195267074</v>
      </c>
      <c r="P1477" s="2">
        <v>1001.0748691274785</v>
      </c>
      <c r="Q1477" s="2">
        <v>252.57452572220603</v>
      </c>
      <c r="R1477" s="2">
        <v>2508.5509356653615</v>
      </c>
      <c r="S1477" s="2">
        <v>991.20330462706613</v>
      </c>
      <c r="T1477" s="2">
        <v>2.537519091816705</v>
      </c>
      <c r="U1477" s="2">
        <v>4.4453161386541069</v>
      </c>
      <c r="V1477" s="2">
        <v>-9.8715645004123189</v>
      </c>
    </row>
    <row r="1478" spans="1:22" ht="15">
      <c r="A1478" s="2">
        <v>1477</v>
      </c>
      <c r="B1478" s="2" t="s">
        <v>79</v>
      </c>
      <c r="C1478" s="2" t="s">
        <v>81</v>
      </c>
      <c r="D1478" s="2">
        <v>1006.42448537983</v>
      </c>
      <c r="E1478" s="2">
        <v>825.06058233557269</v>
      </c>
      <c r="F1478" s="2">
        <v>392.61926244944334</v>
      </c>
      <c r="G1478" s="2">
        <v>156.40990550862625</v>
      </c>
      <c r="H1478" s="2">
        <v>8.6145690605044365</v>
      </c>
      <c r="I1478" s="2">
        <v>0.83696023674914621</v>
      </c>
      <c r="J1478" s="2">
        <v>7</v>
      </c>
      <c r="K1478" s="2">
        <v>171.78226655219834</v>
      </c>
      <c r="L1478" s="2">
        <v>15565</v>
      </c>
      <c r="M1478" s="2">
        <v>1200</v>
      </c>
      <c r="N1478" s="2">
        <v>250.02245945015454</v>
      </c>
      <c r="O1478" s="2">
        <v>2502.7988512544093</v>
      </c>
      <c r="P1478" s="2">
        <v>1006.42448537983</v>
      </c>
      <c r="Q1478" s="2">
        <v>249.43184927090959</v>
      </c>
      <c r="R1478" s="2">
        <v>2458.0955932907277</v>
      </c>
      <c r="S1478" s="2">
        <v>1012.9933826769739</v>
      </c>
      <c r="T1478" s="2">
        <v>-0.59061017924494763</v>
      </c>
      <c r="U1478" s="2">
        <v>-44.703257963681608</v>
      </c>
      <c r="V1478" s="2">
        <v>6.5688972971438488</v>
      </c>
    </row>
    <row r="1479" spans="1:22" ht="15">
      <c r="A1479" s="2">
        <v>1478</v>
      </c>
      <c r="B1479" s="2" t="s">
        <v>80</v>
      </c>
      <c r="C1479" s="2" t="s">
        <v>81</v>
      </c>
      <c r="D1479" s="2">
        <v>1056.8345180829056</v>
      </c>
      <c r="E1479" s="2">
        <v>650.36262532230467</v>
      </c>
      <c r="F1479" s="2">
        <v>443.75925632193685</v>
      </c>
      <c r="G1479" s="2">
        <v>280.34778816625476</v>
      </c>
      <c r="H1479" s="2">
        <v>26.578069700393826</v>
      </c>
      <c r="I1479" s="2">
        <v>0.80483218365814535</v>
      </c>
      <c r="J1479" s="2">
        <v>7</v>
      </c>
      <c r="K1479" s="2">
        <v>187.58737882462339</v>
      </c>
      <c r="L1479" s="2">
        <v>15560</v>
      </c>
      <c r="M1479" s="2">
        <v>1200</v>
      </c>
      <c r="N1479" s="2">
        <v>250.01159422766639</v>
      </c>
      <c r="O1479" s="2">
        <v>2502.8010628419006</v>
      </c>
      <c r="P1479" s="2">
        <v>1056.8345180829056</v>
      </c>
      <c r="Q1479" s="2">
        <v>248.41850706746692</v>
      </c>
      <c r="R1479" s="2">
        <v>2486.0421086448591</v>
      </c>
      <c r="S1479" s="2">
        <v>1051.0484324364963</v>
      </c>
      <c r="T1479" s="2">
        <v>-1.5930871601994738</v>
      </c>
      <c r="U1479" s="2">
        <v>-16.758954197041476</v>
      </c>
      <c r="V1479" s="2">
        <v>-5.7860856464092194</v>
      </c>
    </row>
    <row r="1480" spans="1:22" ht="15">
      <c r="A1480" s="2">
        <v>1479</v>
      </c>
      <c r="B1480" s="2" t="s">
        <v>80</v>
      </c>
      <c r="C1480" s="2" t="s">
        <v>81</v>
      </c>
      <c r="D1480" s="2">
        <v>1003.2803050475195</v>
      </c>
      <c r="E1480" s="2">
        <v>1185.7341461000033</v>
      </c>
      <c r="F1480" s="2">
        <v>647.21925556659698</v>
      </c>
      <c r="G1480" s="2">
        <v>189.87448686501011</v>
      </c>
      <c r="H1480" s="2">
        <v>20.255405726842582</v>
      </c>
      <c r="I1480" s="2">
        <v>0.79130762561922896</v>
      </c>
      <c r="J1480" s="2">
        <v>7</v>
      </c>
      <c r="K1480" s="2">
        <v>181.12520747133377</v>
      </c>
      <c r="L1480" s="2">
        <v>10570</v>
      </c>
      <c r="M1480" s="2">
        <v>1195</v>
      </c>
      <c r="N1480" s="2">
        <v>249.94786070961717</v>
      </c>
      <c r="O1480" s="2">
        <v>2496.1312220142836</v>
      </c>
      <c r="P1480" s="2">
        <v>1003.2803050475195</v>
      </c>
      <c r="Q1480" s="2">
        <v>249.68488842937046</v>
      </c>
      <c r="R1480" s="2">
        <v>2564.6921392309955</v>
      </c>
      <c r="S1480" s="2">
        <v>992.94475140159716</v>
      </c>
      <c r="T1480" s="2">
        <v>-0.26297228024671426</v>
      </c>
      <c r="U1480" s="2">
        <v>68.560917216711914</v>
      </c>
      <c r="V1480" s="2">
        <v>-10.335553645922346</v>
      </c>
    </row>
    <row r="1481" spans="1:22" ht="15">
      <c r="A1481" s="2">
        <v>1480</v>
      </c>
      <c r="B1481" s="2" t="s">
        <v>80</v>
      </c>
      <c r="C1481" s="2" t="s">
        <v>81</v>
      </c>
      <c r="D1481" s="2">
        <v>1023.1053930590861</v>
      </c>
      <c r="E1481" s="2">
        <v>989.09810828045011</v>
      </c>
      <c r="F1481" s="2">
        <v>615.92596834525466</v>
      </c>
      <c r="G1481" s="2">
        <v>153.05442134384066</v>
      </c>
      <c r="H1481" s="2">
        <v>27.333982763346285</v>
      </c>
      <c r="I1481" s="2">
        <v>0.84362208210863177</v>
      </c>
      <c r="J1481" s="2">
        <v>7</v>
      </c>
      <c r="K1481" s="2">
        <v>173.25045941049069</v>
      </c>
      <c r="L1481" s="2">
        <v>12165</v>
      </c>
      <c r="M1481" s="2">
        <v>1200</v>
      </c>
      <c r="N1481" s="2">
        <v>250.01499147364771</v>
      </c>
      <c r="O1481" s="2">
        <v>2505.0341265523803</v>
      </c>
      <c r="P1481" s="2">
        <v>1023.1053930590861</v>
      </c>
      <c r="Q1481" s="2">
        <v>251.75550259358053</v>
      </c>
      <c r="R1481" s="2">
        <v>2544.3619275783262</v>
      </c>
      <c r="S1481" s="2">
        <v>1006.9013706783771</v>
      </c>
      <c r="T1481" s="2">
        <v>1.7405111199328189</v>
      </c>
      <c r="U1481" s="2">
        <v>39.327801025945973</v>
      </c>
      <c r="V1481" s="2">
        <v>-16.204022380708921</v>
      </c>
    </row>
    <row r="1482" spans="1:22" ht="15">
      <c r="A1482" s="2">
        <v>1481</v>
      </c>
      <c r="B1482" s="2" t="s">
        <v>78</v>
      </c>
      <c r="C1482" s="2" t="s">
        <v>81</v>
      </c>
      <c r="D1482" s="2">
        <v>1040.2100870385766</v>
      </c>
      <c r="E1482" s="2">
        <v>948.99835813557729</v>
      </c>
      <c r="F1482" s="2">
        <v>716.4737256243825</v>
      </c>
      <c r="G1482" s="2">
        <v>312.85757150733843</v>
      </c>
      <c r="H1482" s="2">
        <v>13.124261623248458</v>
      </c>
      <c r="I1482" s="2">
        <v>0.79245615058811381</v>
      </c>
      <c r="J1482" s="2">
        <v>7</v>
      </c>
      <c r="K1482" s="2">
        <v>187.52008031640338</v>
      </c>
      <c r="L1482" s="2">
        <v>10810</v>
      </c>
      <c r="M1482" s="2">
        <v>1195</v>
      </c>
      <c r="N1482" s="2">
        <v>249.99970443081304</v>
      </c>
      <c r="O1482" s="2">
        <v>2495.8732682034533</v>
      </c>
      <c r="P1482" s="2">
        <v>1040.2100870385766</v>
      </c>
      <c r="Q1482" s="2">
        <v>255.29098415960959</v>
      </c>
      <c r="R1482" s="2">
        <v>2519.9488758381749</v>
      </c>
      <c r="S1482" s="2">
        <v>1032.8277911585594</v>
      </c>
      <c r="T1482" s="2">
        <v>5.2912797287965532</v>
      </c>
      <c r="U1482" s="2">
        <v>24.075607634721564</v>
      </c>
      <c r="V1482" s="2">
        <v>-7.3822958800171818</v>
      </c>
    </row>
    <row r="1483" spans="1:22" ht="15">
      <c r="A1483" s="2">
        <v>1482</v>
      </c>
      <c r="B1483" s="2" t="s">
        <v>78</v>
      </c>
      <c r="C1483" s="2" t="s">
        <v>81</v>
      </c>
      <c r="D1483" s="2">
        <v>1058.8562153861858</v>
      </c>
      <c r="E1483" s="2">
        <v>935.07884296122938</v>
      </c>
      <c r="F1483" s="2">
        <v>635.86106011644006</v>
      </c>
      <c r="G1483" s="2">
        <v>189.69844157807529</v>
      </c>
      <c r="H1483" s="2">
        <v>17.458657030481845</v>
      </c>
      <c r="I1483" s="2">
        <v>0.81636823062319308</v>
      </c>
      <c r="J1483" s="2">
        <v>7</v>
      </c>
      <c r="K1483" s="2">
        <v>185.29037259463942</v>
      </c>
      <c r="L1483" s="2">
        <v>12145</v>
      </c>
      <c r="M1483" s="2">
        <v>1200</v>
      </c>
      <c r="N1483" s="2">
        <v>249.96714570247514</v>
      </c>
      <c r="O1483" s="2">
        <v>2505.0490279319097</v>
      </c>
      <c r="P1483" s="2">
        <v>1058.8562153861858</v>
      </c>
      <c r="Q1483" s="2">
        <v>251.22047996396677</v>
      </c>
      <c r="R1483" s="2">
        <v>2495.7214992581239</v>
      </c>
      <c r="S1483" s="2">
        <v>1057.492504555762</v>
      </c>
      <c r="T1483" s="2">
        <v>1.2533342614916307</v>
      </c>
      <c r="U1483" s="2">
        <v>-9.3275286737857641</v>
      </c>
      <c r="V1483" s="2">
        <v>-1.3637108304237699</v>
      </c>
    </row>
    <row r="1484" spans="1:22" ht="15">
      <c r="A1484" s="2">
        <v>1483</v>
      </c>
      <c r="B1484" s="2" t="s">
        <v>78</v>
      </c>
      <c r="C1484" s="2" t="s">
        <v>81</v>
      </c>
      <c r="D1484" s="2">
        <v>1035.6609130976722</v>
      </c>
      <c r="E1484" s="2">
        <v>672.73109430680051</v>
      </c>
      <c r="F1484" s="2">
        <v>582.73551352322102</v>
      </c>
      <c r="G1484" s="2">
        <v>189.42151787457988</v>
      </c>
      <c r="H1484" s="2">
        <v>22.173031688667834</v>
      </c>
      <c r="I1484" s="2">
        <v>0.79243433027295396</v>
      </c>
      <c r="J1484" s="2">
        <v>7</v>
      </c>
      <c r="K1484" s="2">
        <v>186.70513550692743</v>
      </c>
      <c r="L1484" s="2">
        <v>14800</v>
      </c>
      <c r="M1484" s="2">
        <v>1200</v>
      </c>
      <c r="N1484" s="2">
        <v>249.98343118203275</v>
      </c>
      <c r="O1484" s="2">
        <v>2503.2109827573518</v>
      </c>
      <c r="P1484" s="2">
        <v>1035.6609130976722</v>
      </c>
      <c r="Q1484" s="2">
        <v>245.37637022599111</v>
      </c>
      <c r="R1484" s="2">
        <v>2480.8392527116416</v>
      </c>
      <c r="S1484" s="2">
        <v>1037.6880979835341</v>
      </c>
      <c r="T1484" s="2">
        <v>-4.6070609560416358</v>
      </c>
      <c r="U1484" s="2">
        <v>-22.371730045710137</v>
      </c>
      <c r="V1484" s="2">
        <v>2.0271848858619705</v>
      </c>
    </row>
    <row r="1485" spans="1:22" ht="15">
      <c r="A1485" s="2">
        <v>1484</v>
      </c>
      <c r="B1485" s="2" t="s">
        <v>78</v>
      </c>
      <c r="C1485" s="2" t="s">
        <v>81</v>
      </c>
      <c r="D1485" s="2">
        <v>1010.1001719362102</v>
      </c>
      <c r="E1485" s="2">
        <v>1137.7767038997263</v>
      </c>
      <c r="F1485" s="2">
        <v>732.46330721303821</v>
      </c>
      <c r="G1485" s="2">
        <v>224.2912322236225</v>
      </c>
      <c r="H1485" s="2">
        <v>23.165393623989075</v>
      </c>
      <c r="I1485" s="2">
        <v>0.81550375487655402</v>
      </c>
      <c r="J1485" s="2">
        <v>7</v>
      </c>
      <c r="K1485" s="2">
        <v>176.94587388400069</v>
      </c>
      <c r="L1485" s="2">
        <v>10210</v>
      </c>
      <c r="M1485" s="2">
        <v>1195</v>
      </c>
      <c r="N1485" s="2">
        <v>249.99324371056579</v>
      </c>
      <c r="O1485" s="2">
        <v>2496.5468824184022</v>
      </c>
      <c r="P1485" s="2">
        <v>1010.1001719362102</v>
      </c>
      <c r="Q1485" s="2">
        <v>249.52658382251931</v>
      </c>
      <c r="R1485" s="2">
        <v>2518.516927184754</v>
      </c>
      <c r="S1485" s="2">
        <v>1001.6884351088977</v>
      </c>
      <c r="T1485" s="2">
        <v>-0.46665988804647895</v>
      </c>
      <c r="U1485" s="2">
        <v>21.970044766351748</v>
      </c>
      <c r="V1485" s="2">
        <v>-8.4117368273125521</v>
      </c>
    </row>
    <row r="1486" spans="1:22" ht="15">
      <c r="A1486" s="2">
        <v>1485</v>
      </c>
      <c r="B1486" s="2" t="s">
        <v>78</v>
      </c>
      <c r="C1486" s="2" t="s">
        <v>81</v>
      </c>
      <c r="D1486" s="2">
        <v>988.24762343429029</v>
      </c>
      <c r="E1486" s="2">
        <v>1080.1643512095325</v>
      </c>
      <c r="F1486" s="2">
        <v>670.08691038936377</v>
      </c>
      <c r="G1486" s="2">
        <v>304.33940303744748</v>
      </c>
      <c r="H1486" s="2">
        <v>17.139495242387056</v>
      </c>
      <c r="I1486" s="2">
        <v>0.82662854910129679</v>
      </c>
      <c r="J1486" s="2">
        <v>6</v>
      </c>
      <c r="K1486" s="2">
        <v>199.25265999839635</v>
      </c>
      <c r="L1486" s="2">
        <v>12145</v>
      </c>
      <c r="M1486" s="2">
        <v>1200</v>
      </c>
      <c r="N1486" s="2">
        <v>250.02958728554168</v>
      </c>
      <c r="O1486" s="2">
        <v>2505.0515855802691</v>
      </c>
      <c r="P1486" s="2">
        <v>988.24762343429029</v>
      </c>
      <c r="Q1486" s="2">
        <v>254.95512412762682</v>
      </c>
      <c r="R1486" s="2">
        <v>2565.801291366678</v>
      </c>
      <c r="S1486" s="2">
        <v>978.10106031452847</v>
      </c>
      <c r="T1486" s="2">
        <v>4.9255368420851369</v>
      </c>
      <c r="U1486" s="2">
        <v>60.749705786408867</v>
      </c>
      <c r="V1486" s="2">
        <v>-10.146563119761822</v>
      </c>
    </row>
    <row r="1487" spans="1:22" ht="15">
      <c r="A1487" s="2">
        <v>1486</v>
      </c>
      <c r="B1487" s="2" t="s">
        <v>78</v>
      </c>
      <c r="C1487" s="2" t="s">
        <v>81</v>
      </c>
      <c r="D1487" s="2">
        <v>1065.6794266891666</v>
      </c>
      <c r="E1487" s="2">
        <v>960.18658399116248</v>
      </c>
      <c r="F1487" s="2">
        <v>674.40742896869779</v>
      </c>
      <c r="G1487" s="2">
        <v>311.33206926286221</v>
      </c>
      <c r="H1487" s="2">
        <v>14.301394785288721</v>
      </c>
      <c r="I1487" s="2">
        <v>0.80383606671821328</v>
      </c>
      <c r="J1487" s="2">
        <v>7</v>
      </c>
      <c r="K1487" s="2">
        <v>189.39174839466423</v>
      </c>
      <c r="L1487" s="2">
        <v>10990</v>
      </c>
      <c r="M1487" s="2">
        <v>1195</v>
      </c>
      <c r="N1487" s="2">
        <v>249.99954422288158</v>
      </c>
      <c r="O1487" s="2">
        <v>2495.6854264727103</v>
      </c>
      <c r="P1487" s="2">
        <v>1065.6794266891666</v>
      </c>
      <c r="Q1487" s="2">
        <v>250.23900415279536</v>
      </c>
      <c r="R1487" s="2">
        <v>2494.9125975549537</v>
      </c>
      <c r="S1487" s="2">
        <v>1066.2676718458065</v>
      </c>
      <c r="T1487" s="2">
        <v>0.23945992991377807</v>
      </c>
      <c r="U1487" s="2">
        <v>-0.7728289177566694</v>
      </c>
      <c r="V1487" s="2">
        <v>0.58824515663991406</v>
      </c>
    </row>
    <row r="1488" spans="1:22" ht="15">
      <c r="A1488" s="2">
        <v>1487</v>
      </c>
      <c r="B1488" s="2" t="s">
        <v>78</v>
      </c>
      <c r="C1488" s="2" t="s">
        <v>81</v>
      </c>
      <c r="D1488" s="2">
        <v>1011.2867942312732</v>
      </c>
      <c r="E1488" s="2">
        <v>975.17135936068371</v>
      </c>
      <c r="F1488" s="2">
        <v>725.62093809247017</v>
      </c>
      <c r="G1488" s="2">
        <v>165.25347377872095</v>
      </c>
      <c r="H1488" s="2">
        <v>16.57634964492172</v>
      </c>
      <c r="I1488" s="2">
        <v>0.84595611868193377</v>
      </c>
      <c r="J1488" s="2">
        <v>6</v>
      </c>
      <c r="K1488" s="2">
        <v>199.23941126066478</v>
      </c>
      <c r="L1488" s="2">
        <v>13370</v>
      </c>
      <c r="M1488" s="2">
        <v>1200</v>
      </c>
      <c r="N1488" s="2">
        <v>249.98973160545992</v>
      </c>
      <c r="O1488" s="2">
        <v>2504.1108219801381</v>
      </c>
      <c r="P1488" s="2">
        <v>1011.2867942312732</v>
      </c>
      <c r="Q1488" s="2">
        <v>253.63507916581477</v>
      </c>
      <c r="R1488" s="2">
        <v>2502.5022672378132</v>
      </c>
      <c r="S1488" s="2">
        <v>1012.6359466565801</v>
      </c>
      <c r="T1488" s="2">
        <v>3.6453475603548497</v>
      </c>
      <c r="U1488" s="2">
        <v>-1.6085547423249409</v>
      </c>
      <c r="V1488" s="2">
        <v>1.3491524253068974</v>
      </c>
    </row>
    <row r="1489" spans="1:22" ht="15">
      <c r="A1489" s="2">
        <v>1488</v>
      </c>
      <c r="B1489" s="2" t="s">
        <v>78</v>
      </c>
      <c r="C1489" s="2" t="s">
        <v>81</v>
      </c>
      <c r="D1489" s="2">
        <v>975.12467502383515</v>
      </c>
      <c r="E1489" s="2">
        <v>968.78506224602461</v>
      </c>
      <c r="F1489" s="2">
        <v>694.11030551418662</v>
      </c>
      <c r="G1489" s="2">
        <v>267.94574413914233</v>
      </c>
      <c r="H1489" s="2">
        <v>25.492657521273941</v>
      </c>
      <c r="I1489" s="2">
        <v>0.83758120789192625</v>
      </c>
      <c r="J1489" s="2">
        <v>6</v>
      </c>
      <c r="K1489" s="2">
        <v>194.03584707885346</v>
      </c>
      <c r="L1489" s="2">
        <v>12920</v>
      </c>
      <c r="M1489" s="2">
        <v>1200</v>
      </c>
      <c r="N1489" s="2">
        <v>249.96428747967801</v>
      </c>
      <c r="O1489" s="2">
        <v>2504.4341248119326</v>
      </c>
      <c r="P1489" s="2">
        <v>975.12467502383515</v>
      </c>
      <c r="Q1489" s="2">
        <v>249.5750811040794</v>
      </c>
      <c r="R1489" s="2">
        <v>2494.5972934574811</v>
      </c>
      <c r="S1489" s="2">
        <v>965.91975008085797</v>
      </c>
      <c r="T1489" s="2">
        <v>-0.38920637559860438</v>
      </c>
      <c r="U1489" s="2">
        <v>-9.8368313544515331</v>
      </c>
      <c r="V1489" s="2">
        <v>-9.2049249429771862</v>
      </c>
    </row>
    <row r="1490" spans="1:22" ht="15">
      <c r="A1490" s="2">
        <v>1489</v>
      </c>
      <c r="B1490" s="2" t="s">
        <v>78</v>
      </c>
      <c r="C1490" s="2" t="s">
        <v>81</v>
      </c>
      <c r="D1490" s="2">
        <v>963.5396690107882</v>
      </c>
      <c r="E1490" s="2">
        <v>1046.2049720226787</v>
      </c>
      <c r="F1490" s="2">
        <v>494.30783484131098</v>
      </c>
      <c r="G1490" s="2">
        <v>138.2602639333345</v>
      </c>
      <c r="H1490" s="2">
        <v>27.785975160077214</v>
      </c>
      <c r="I1490" s="2">
        <v>0.83294443658785899</v>
      </c>
      <c r="J1490" s="2">
        <v>6</v>
      </c>
      <c r="K1490" s="2">
        <v>192.79790797689341</v>
      </c>
      <c r="L1490" s="2">
        <v>14860</v>
      </c>
      <c r="M1490" s="2">
        <v>1200</v>
      </c>
      <c r="N1490" s="2">
        <v>249.96526022835334</v>
      </c>
      <c r="O1490" s="2">
        <v>2503.1764061140502</v>
      </c>
      <c r="P1490" s="2">
        <v>963.5396690107882</v>
      </c>
      <c r="Q1490" s="2">
        <v>251.45344083985609</v>
      </c>
      <c r="R1490" s="2">
        <v>2541.2168617086472</v>
      </c>
      <c r="S1490" s="2">
        <v>952.58223773999441</v>
      </c>
      <c r="T1490" s="2">
        <v>1.4881806115027416</v>
      </c>
      <c r="U1490" s="2">
        <v>38.040455594597006</v>
      </c>
      <c r="V1490" s="2">
        <v>-10.957431270793791</v>
      </c>
    </row>
    <row r="1491" spans="1:22" ht="15">
      <c r="A1491" s="2">
        <v>1490</v>
      </c>
      <c r="B1491" s="2" t="s">
        <v>78</v>
      </c>
      <c r="C1491" s="2" t="s">
        <v>81</v>
      </c>
      <c r="D1491" s="2">
        <v>1060.8590278425254</v>
      </c>
      <c r="E1491" s="2">
        <v>854.49569385964423</v>
      </c>
      <c r="F1491" s="2">
        <v>656.6251733340323</v>
      </c>
      <c r="G1491" s="2">
        <v>180.66938702948391</v>
      </c>
      <c r="H1491" s="2">
        <v>9.8006775532849133</v>
      </c>
      <c r="I1491" s="2">
        <v>0.85362960855010905</v>
      </c>
      <c r="J1491" s="2">
        <v>7</v>
      </c>
      <c r="K1491" s="2">
        <v>177.53752701853838</v>
      </c>
      <c r="L1491" s="2">
        <v>12640</v>
      </c>
      <c r="M1491" s="2">
        <v>1200</v>
      </c>
      <c r="N1491" s="2">
        <v>249.98186605474248</v>
      </c>
      <c r="O1491" s="2">
        <v>2504.6482494278835</v>
      </c>
      <c r="P1491" s="2">
        <v>1060.8590278425254</v>
      </c>
      <c r="Q1491" s="2">
        <v>249.89123056614642</v>
      </c>
      <c r="R1491" s="2">
        <v>2508.1822655230962</v>
      </c>
      <c r="S1491" s="2">
        <v>1064.544868219067</v>
      </c>
      <c r="T1491" s="2">
        <v>-9.0635488596063851E-2</v>
      </c>
      <c r="U1491" s="2">
        <v>3.5340160952127917</v>
      </c>
      <c r="V1491" s="2">
        <v>3.6858403765415915</v>
      </c>
    </row>
    <row r="1492" spans="1:22" ht="15">
      <c r="A1492" s="2">
        <v>1491</v>
      </c>
      <c r="B1492" s="2" t="s">
        <v>78</v>
      </c>
      <c r="C1492" s="2" t="s">
        <v>81</v>
      </c>
      <c r="D1492" s="2">
        <v>985.31321377959102</v>
      </c>
      <c r="E1492" s="2">
        <v>654.49890192830935</v>
      </c>
      <c r="F1492" s="2">
        <v>527.3393239825964</v>
      </c>
      <c r="G1492" s="2">
        <v>225.42457525385544</v>
      </c>
      <c r="H1492" s="2">
        <v>21.212444690056145</v>
      </c>
      <c r="I1492" s="2">
        <v>0.84629021716071295</v>
      </c>
      <c r="J1492" s="2">
        <v>6</v>
      </c>
      <c r="K1492" s="2">
        <v>194.04557164115198</v>
      </c>
      <c r="L1492" s="2">
        <v>17730</v>
      </c>
      <c r="M1492" s="2">
        <v>1200</v>
      </c>
      <c r="N1492" s="2">
        <v>250.00712628830962</v>
      </c>
      <c r="O1492" s="2">
        <v>2501.821678472691</v>
      </c>
      <c r="P1492" s="2">
        <v>985.31321377959102</v>
      </c>
      <c r="Q1492" s="2">
        <v>247.14614656846726</v>
      </c>
      <c r="R1492" s="2">
        <v>2474.4619041296746</v>
      </c>
      <c r="S1492" s="2">
        <v>987.43157494688012</v>
      </c>
      <c r="T1492" s="2">
        <v>-2.8609797198423621</v>
      </c>
      <c r="U1492" s="2">
        <v>-27.359774343016397</v>
      </c>
      <c r="V1492" s="2">
        <v>2.1183611672890947</v>
      </c>
    </row>
    <row r="1493" spans="1:22" ht="15">
      <c r="A1493" s="2">
        <v>1492</v>
      </c>
      <c r="B1493" s="2" t="s">
        <v>78</v>
      </c>
      <c r="C1493" s="2" t="s">
        <v>81</v>
      </c>
      <c r="D1493" s="2">
        <v>952.865122014191</v>
      </c>
      <c r="E1493" s="2">
        <v>611.4004245493561</v>
      </c>
      <c r="F1493" s="2">
        <v>562.37981496378779</v>
      </c>
      <c r="G1493" s="2">
        <v>83.706117509864271</v>
      </c>
      <c r="H1493" s="2">
        <v>28.615328803192824</v>
      </c>
      <c r="I1493" s="2">
        <v>0.83890336798503995</v>
      </c>
      <c r="J1493" s="2">
        <v>6</v>
      </c>
      <c r="K1493" s="2">
        <v>189.30768397137237</v>
      </c>
      <c r="L1493" s="2">
        <v>19840</v>
      </c>
      <c r="M1493" s="2">
        <v>1200</v>
      </c>
      <c r="N1493" s="2">
        <v>249.98476562123375</v>
      </c>
      <c r="O1493" s="2">
        <v>2501.0743539270015</v>
      </c>
      <c r="P1493" s="2">
        <v>952.865122014191</v>
      </c>
      <c r="Q1493" s="2">
        <v>249.34498029492673</v>
      </c>
      <c r="R1493" s="2">
        <v>2464.6460649226792</v>
      </c>
      <c r="S1493" s="2">
        <v>948.59858300349902</v>
      </c>
      <c r="T1493" s="2">
        <v>-0.63978532630702034</v>
      </c>
      <c r="U1493" s="2">
        <v>-36.428289004322323</v>
      </c>
      <c r="V1493" s="2">
        <v>-4.2665390106919858</v>
      </c>
    </row>
    <row r="1494" spans="1:22" ht="15">
      <c r="A1494" s="2">
        <v>1493</v>
      </c>
      <c r="B1494" s="2" t="s">
        <v>78</v>
      </c>
      <c r="C1494" s="2" t="s">
        <v>81</v>
      </c>
      <c r="D1494" s="2">
        <v>1043.5508877504617</v>
      </c>
      <c r="E1494" s="2">
        <v>1149.6531437966041</v>
      </c>
      <c r="F1494" s="2">
        <v>443.92136912792921</v>
      </c>
      <c r="G1494" s="2">
        <v>180.85928469197825</v>
      </c>
      <c r="H1494" s="2">
        <v>17.668463930487633</v>
      </c>
      <c r="I1494" s="2">
        <v>0.81900987832108518</v>
      </c>
      <c r="J1494" s="2">
        <v>7</v>
      </c>
      <c r="K1494" s="2">
        <v>182.02307712779631</v>
      </c>
      <c r="L1494" s="2">
        <v>12050</v>
      </c>
      <c r="M1494" s="2">
        <v>1200</v>
      </c>
      <c r="N1494" s="2">
        <v>249.95516694441267</v>
      </c>
      <c r="O1494" s="2">
        <v>2505.1293340226848</v>
      </c>
      <c r="P1494" s="2">
        <v>1043.5508877504617</v>
      </c>
      <c r="Q1494" s="2">
        <v>248.5395230828625</v>
      </c>
      <c r="R1494" s="2">
        <v>2522.9695332063357</v>
      </c>
      <c r="S1494" s="2">
        <v>1040.1124630588351</v>
      </c>
      <c r="T1494" s="2">
        <v>-1.4156438615501656</v>
      </c>
      <c r="U1494" s="2">
        <v>17.840199183650839</v>
      </c>
      <c r="V1494" s="2">
        <v>-3.4384246916265511</v>
      </c>
    </row>
    <row r="1495" spans="1:22" ht="15">
      <c r="A1495" s="2">
        <v>1494</v>
      </c>
      <c r="B1495" s="2" t="s">
        <v>78</v>
      </c>
      <c r="C1495" s="2" t="s">
        <v>81</v>
      </c>
      <c r="D1495" s="2">
        <v>1081.8933379952796</v>
      </c>
      <c r="E1495" s="2">
        <v>1006.6260842373595</v>
      </c>
      <c r="F1495" s="2">
        <v>526.19038345292211</v>
      </c>
      <c r="G1495" s="2">
        <v>200.27760269120336</v>
      </c>
      <c r="H1495" s="2">
        <v>19.936018025968224</v>
      </c>
      <c r="I1495" s="2">
        <v>0.79508508687373258</v>
      </c>
      <c r="J1495" s="2">
        <v>7</v>
      </c>
      <c r="K1495" s="2">
        <v>194.38949829872467</v>
      </c>
      <c r="L1495" s="2">
        <v>12340</v>
      </c>
      <c r="M1495" s="2">
        <v>1200</v>
      </c>
      <c r="N1495" s="2">
        <v>250.00727366804441</v>
      </c>
      <c r="O1495" s="2">
        <v>2504.8886872025046</v>
      </c>
      <c r="P1495" s="2">
        <v>1081.8933379952796</v>
      </c>
      <c r="Q1495" s="2">
        <v>248.37277607901868</v>
      </c>
      <c r="R1495" s="2">
        <v>2487.8988303306451</v>
      </c>
      <c r="S1495" s="2">
        <v>1077.9061604448018</v>
      </c>
      <c r="T1495" s="2">
        <v>-1.6344975890257274</v>
      </c>
      <c r="U1495" s="2">
        <v>-16.989856871859502</v>
      </c>
      <c r="V1495" s="2">
        <v>-3.9871775504777816</v>
      </c>
    </row>
    <row r="1496" spans="1:22" ht="15">
      <c r="A1496" s="2">
        <v>1495</v>
      </c>
      <c r="B1496" s="2" t="s">
        <v>79</v>
      </c>
      <c r="C1496" s="2" t="s">
        <v>81</v>
      </c>
      <c r="D1496" s="2">
        <v>1078.9490183116868</v>
      </c>
      <c r="E1496" s="2">
        <v>600.50031115533784</v>
      </c>
      <c r="F1496" s="2">
        <v>524.6892437338829</v>
      </c>
      <c r="G1496" s="2">
        <v>272.40833161165938</v>
      </c>
      <c r="H1496" s="2">
        <v>11.272974367253482</v>
      </c>
      <c r="I1496" s="2">
        <v>0.80543865274405113</v>
      </c>
      <c r="J1496" s="2">
        <v>7</v>
      </c>
      <c r="K1496" s="2">
        <v>191.36848414140766</v>
      </c>
      <c r="L1496" s="2">
        <v>15300</v>
      </c>
      <c r="M1496" s="2">
        <v>1200</v>
      </c>
      <c r="N1496" s="2">
        <v>249.97038490879777</v>
      </c>
      <c r="O1496" s="2">
        <v>2502.9356968168991</v>
      </c>
      <c r="P1496" s="2">
        <v>1078.9490183116868</v>
      </c>
      <c r="Q1496" s="2">
        <v>252.47210555867724</v>
      </c>
      <c r="R1496" s="2">
        <v>2498.6334230302132</v>
      </c>
      <c r="S1496" s="2">
        <v>1093.3463622602183</v>
      </c>
      <c r="T1496" s="2">
        <v>2.5017206498794735</v>
      </c>
      <c r="U1496" s="2">
        <v>-4.3022737866858733</v>
      </c>
      <c r="V1496" s="2">
        <v>14.397343948531443</v>
      </c>
    </row>
    <row r="1497" spans="1:22" ht="15">
      <c r="A1497" s="2">
        <v>1496</v>
      </c>
      <c r="B1497" s="2" t="s">
        <v>79</v>
      </c>
      <c r="C1497" s="2" t="s">
        <v>81</v>
      </c>
      <c r="D1497" s="2">
        <v>1046.7323648626916</v>
      </c>
      <c r="E1497" s="2">
        <v>708.47749328240752</v>
      </c>
      <c r="F1497" s="2">
        <v>444.12312721833587</v>
      </c>
      <c r="G1497" s="2">
        <v>325.4751810291782</v>
      </c>
      <c r="H1497" s="2">
        <v>19.855323573108763</v>
      </c>
      <c r="I1497" s="2">
        <v>0.83984007720835507</v>
      </c>
      <c r="J1497" s="2">
        <v>7</v>
      </c>
      <c r="K1497" s="2">
        <v>178.04960615530018</v>
      </c>
      <c r="L1497" s="2">
        <v>14470</v>
      </c>
      <c r="M1497" s="2">
        <v>1200</v>
      </c>
      <c r="N1497" s="2">
        <v>250.02328675558226</v>
      </c>
      <c r="O1497" s="2">
        <v>2503.4041748558657</v>
      </c>
      <c r="P1497" s="2">
        <v>1046.7323648626916</v>
      </c>
      <c r="Q1497" s="2">
        <v>251.34975914343266</v>
      </c>
      <c r="R1497" s="2">
        <v>2521.5417136975871</v>
      </c>
      <c r="S1497" s="2">
        <v>1055.9996575395651</v>
      </c>
      <c r="T1497" s="2">
        <v>1.3264723878504014</v>
      </c>
      <c r="U1497" s="2">
        <v>18.13753884172138</v>
      </c>
      <c r="V1497" s="2">
        <v>9.2672926768734669</v>
      </c>
    </row>
    <row r="1498" spans="1:22" ht="15">
      <c r="A1498" s="2">
        <v>1497</v>
      </c>
      <c r="B1498" s="2" t="s">
        <v>79</v>
      </c>
      <c r="C1498" s="2" t="s">
        <v>81</v>
      </c>
      <c r="D1498" s="2">
        <v>1054.3358407914639</v>
      </c>
      <c r="E1498" s="2">
        <v>1036.815631610807</v>
      </c>
      <c r="F1498" s="2">
        <v>376.24686826020479</v>
      </c>
      <c r="G1498" s="2">
        <v>244.26125407451764</v>
      </c>
      <c r="H1498" s="2">
        <v>10.020073411986232</v>
      </c>
      <c r="I1498" s="2">
        <v>0.82146685113431894</v>
      </c>
      <c r="J1498" s="2">
        <v>7</v>
      </c>
      <c r="K1498" s="2">
        <v>183.35421036085609</v>
      </c>
      <c r="L1498" s="2">
        <v>12905</v>
      </c>
      <c r="M1498" s="2">
        <v>1200</v>
      </c>
      <c r="N1498" s="2">
        <v>250.02318154021307</v>
      </c>
      <c r="O1498" s="2">
        <v>2504.4476130364674</v>
      </c>
      <c r="P1498" s="2">
        <v>1054.3358407914639</v>
      </c>
      <c r="Q1498" s="2">
        <v>250.27564938342357</v>
      </c>
      <c r="R1498" s="2">
        <v>2542.5007497627125</v>
      </c>
      <c r="S1498" s="2">
        <v>1058.2277755884572</v>
      </c>
      <c r="T1498" s="2">
        <v>0.25246784321049631</v>
      </c>
      <c r="U1498" s="2">
        <v>38.053136726245157</v>
      </c>
      <c r="V1498" s="2">
        <v>3.8919347969933824</v>
      </c>
    </row>
    <row r="1499" spans="1:22" ht="15">
      <c r="A1499" s="2">
        <v>1498</v>
      </c>
      <c r="B1499" s="2" t="s">
        <v>80</v>
      </c>
      <c r="C1499" s="2" t="s">
        <v>81</v>
      </c>
      <c r="D1499" s="2">
        <v>1006.3660873682238</v>
      </c>
      <c r="E1499" s="2">
        <v>803.60941758845001</v>
      </c>
      <c r="F1499" s="2">
        <v>669.54190591350198</v>
      </c>
      <c r="G1499" s="2">
        <v>320.8549131359905</v>
      </c>
      <c r="H1499" s="2">
        <v>15.330811646301299</v>
      </c>
      <c r="I1499" s="2">
        <v>0.79779244795907289</v>
      </c>
      <c r="J1499" s="2">
        <v>7</v>
      </c>
      <c r="K1499" s="2">
        <v>180.20549615070001</v>
      </c>
      <c r="L1499" s="2">
        <v>11920</v>
      </c>
      <c r="M1499" s="2">
        <v>1195</v>
      </c>
      <c r="N1499" s="2">
        <v>249.98582378866553</v>
      </c>
      <c r="O1499" s="2">
        <v>2494.8047554834475</v>
      </c>
      <c r="P1499" s="2">
        <v>1006.3660873682238</v>
      </c>
      <c r="Q1499" s="2">
        <v>250.63985892421587</v>
      </c>
      <c r="R1499" s="2">
        <v>2506.3729400507655</v>
      </c>
      <c r="S1499" s="2">
        <v>1003.400418343081</v>
      </c>
      <c r="T1499" s="2">
        <v>0.65403513555034465</v>
      </c>
      <c r="U1499" s="2">
        <v>11.568184567317985</v>
      </c>
      <c r="V1499" s="2">
        <v>-2.9656690251428017</v>
      </c>
    </row>
    <row r="1500" spans="1:22" ht="15">
      <c r="A1500" s="2">
        <v>1499</v>
      </c>
      <c r="B1500" s="2" t="s">
        <v>80</v>
      </c>
      <c r="C1500" s="2" t="s">
        <v>81</v>
      </c>
      <c r="D1500" s="2">
        <v>1023.4233104391024</v>
      </c>
      <c r="E1500" s="2">
        <v>908.61498533049598</v>
      </c>
      <c r="F1500" s="2">
        <v>695.78549303114414</v>
      </c>
      <c r="G1500" s="2">
        <v>262.6342839631252</v>
      </c>
      <c r="H1500" s="2">
        <v>20.366702848114073</v>
      </c>
      <c r="I1500" s="2">
        <v>0.84489193971036003</v>
      </c>
      <c r="J1500" s="2">
        <v>7</v>
      </c>
      <c r="K1500" s="2">
        <v>173.04382157184421</v>
      </c>
      <c r="L1500" s="2">
        <v>11455</v>
      </c>
      <c r="M1500" s="2">
        <v>1195</v>
      </c>
      <c r="N1500" s="2">
        <v>250.01319485337106</v>
      </c>
      <c r="O1500" s="2">
        <v>2495.2280978302847</v>
      </c>
      <c r="P1500" s="2">
        <v>1023.4233104391024</v>
      </c>
      <c r="Q1500" s="2">
        <v>252.51862774118467</v>
      </c>
      <c r="R1500" s="2">
        <v>2527.4730524091815</v>
      </c>
      <c r="S1500" s="2">
        <v>1016.8436620828091</v>
      </c>
      <c r="T1500" s="2">
        <v>2.5054328878136118</v>
      </c>
      <c r="U1500" s="2">
        <v>32.244954578896795</v>
      </c>
      <c r="V1500" s="2">
        <v>-6.5796483562932053</v>
      </c>
    </row>
    <row r="1501" spans="1:22" ht="15">
      <c r="A1501" s="2">
        <v>1500</v>
      </c>
      <c r="B1501" s="2" t="s">
        <v>80</v>
      </c>
      <c r="C1501" s="2" t="s">
        <v>81</v>
      </c>
      <c r="D1501" s="2">
        <v>1048.3778789988719</v>
      </c>
      <c r="E1501" s="2">
        <v>705.95343704335392</v>
      </c>
      <c r="F1501" s="2">
        <v>595.07001293823123</v>
      </c>
      <c r="G1501" s="2">
        <v>116.0707490472123</v>
      </c>
      <c r="H1501" s="2">
        <v>27.586582775693387</v>
      </c>
      <c r="I1501" s="2">
        <v>0.82782611139118678</v>
      </c>
      <c r="J1501" s="2">
        <v>7</v>
      </c>
      <c r="K1501" s="2">
        <v>180.91754580768196</v>
      </c>
      <c r="L1501" s="2">
        <v>15090</v>
      </c>
      <c r="M1501" s="2">
        <v>1200</v>
      </c>
      <c r="N1501" s="2">
        <v>249.97893778238293</v>
      </c>
      <c r="O1501" s="2">
        <v>2503.0491887513863</v>
      </c>
      <c r="P1501" s="2">
        <v>1048.3778789988719</v>
      </c>
      <c r="Q1501" s="2">
        <v>248.33970387471584</v>
      </c>
      <c r="R1501" s="2">
        <v>2457.5938379637455</v>
      </c>
      <c r="S1501" s="2">
        <v>1044.4380172730789</v>
      </c>
      <c r="T1501" s="2">
        <v>-1.6392339076670908</v>
      </c>
      <c r="U1501" s="2">
        <v>-45.455350787640782</v>
      </c>
      <c r="V1501" s="2">
        <v>-3.93986172579298</v>
      </c>
    </row>
    <row r="1502" spans="1:22" ht="15">
      <c r="A1502" s="2">
        <v>1501</v>
      </c>
      <c r="B1502" s="2" t="s">
        <v>78</v>
      </c>
      <c r="C1502" s="2" t="s">
        <v>81</v>
      </c>
      <c r="D1502" s="2">
        <v>1044.461715919897</v>
      </c>
      <c r="E1502" s="2">
        <v>700.10763712925836</v>
      </c>
      <c r="F1502" s="2">
        <v>607.3149299249053</v>
      </c>
      <c r="G1502" s="2">
        <v>97.600276332814246</v>
      </c>
      <c r="H1502" s="2">
        <v>21.99022863432765</v>
      </c>
      <c r="I1502" s="2">
        <v>0.79798970338189978</v>
      </c>
      <c r="J1502" s="2">
        <v>7</v>
      </c>
      <c r="K1502" s="2">
        <v>186.98087948708445</v>
      </c>
      <c r="L1502" s="2">
        <v>15220</v>
      </c>
      <c r="M1502" s="2">
        <v>1200</v>
      </c>
      <c r="N1502" s="2">
        <v>249.98462420345908</v>
      </c>
      <c r="O1502" s="2">
        <v>2502.978918975924</v>
      </c>
      <c r="P1502" s="2">
        <v>1044.461715919897</v>
      </c>
      <c r="Q1502" s="2">
        <v>250.13548357254047</v>
      </c>
      <c r="R1502" s="2">
        <v>2500.1225468346152</v>
      </c>
      <c r="S1502" s="2">
        <v>1044.4634078121542</v>
      </c>
      <c r="T1502" s="2">
        <v>0.15085936908138819</v>
      </c>
      <c r="U1502" s="2">
        <v>-2.8563721413088388</v>
      </c>
      <c r="V1502" s="2">
        <v>1.6918922572131123E-3</v>
      </c>
    </row>
    <row r="1503" spans="1:22" ht="15">
      <c r="A1503" s="2">
        <v>1502</v>
      </c>
      <c r="B1503" s="2" t="s">
        <v>78</v>
      </c>
      <c r="C1503" s="2" t="s">
        <v>81</v>
      </c>
      <c r="D1503" s="2">
        <v>985.10986940236762</v>
      </c>
      <c r="E1503" s="2">
        <v>993.36774486582726</v>
      </c>
      <c r="F1503" s="2">
        <v>503.21044521406293</v>
      </c>
      <c r="G1503" s="2">
        <v>274.21695452183485</v>
      </c>
      <c r="H1503" s="2">
        <v>11.10133563214913</v>
      </c>
      <c r="I1503" s="2">
        <v>0.85963917683344337</v>
      </c>
      <c r="J1503" s="2">
        <v>6</v>
      </c>
      <c r="K1503" s="2">
        <v>190.99289871654963</v>
      </c>
      <c r="L1503" s="2">
        <v>14090</v>
      </c>
      <c r="M1503" s="2">
        <v>1200</v>
      </c>
      <c r="N1503" s="2">
        <v>250.00432006519296</v>
      </c>
      <c r="O1503" s="2">
        <v>2503.6355594535044</v>
      </c>
      <c r="P1503" s="2">
        <v>985.10986940236762</v>
      </c>
      <c r="Q1503" s="2">
        <v>250.84192429093585</v>
      </c>
      <c r="R1503" s="2">
        <v>2539.4344716402315</v>
      </c>
      <c r="S1503" s="2">
        <v>981.31924872568379</v>
      </c>
      <c r="T1503" s="2">
        <v>0.8376042257428935</v>
      </c>
      <c r="U1503" s="2">
        <v>35.798912186727193</v>
      </c>
      <c r="V1503" s="2">
        <v>-3.7906206766838295</v>
      </c>
    </row>
    <row r="1504" spans="1:22" ht="15">
      <c r="A1504" s="2">
        <v>1503</v>
      </c>
      <c r="B1504" s="2" t="s">
        <v>78</v>
      </c>
      <c r="C1504" s="2" t="s">
        <v>81</v>
      </c>
      <c r="D1504" s="2">
        <v>1051.1689204955474</v>
      </c>
      <c r="E1504" s="2">
        <v>1175.4582031746395</v>
      </c>
      <c r="F1504" s="2">
        <v>361.74366101622581</v>
      </c>
      <c r="G1504" s="2">
        <v>149.86263900762424</v>
      </c>
      <c r="H1504" s="2">
        <v>22.802581987343729</v>
      </c>
      <c r="I1504" s="2">
        <v>0.85674175048014156</v>
      </c>
      <c r="J1504" s="2">
        <v>7</v>
      </c>
      <c r="K1504" s="2">
        <v>175.2768422433754</v>
      </c>
      <c r="L1504" s="2">
        <v>12675</v>
      </c>
      <c r="M1504" s="2">
        <v>1200</v>
      </c>
      <c r="N1504" s="2">
        <v>249.97414923026821</v>
      </c>
      <c r="O1504" s="2">
        <v>2504.6207398860192</v>
      </c>
      <c r="P1504" s="2">
        <v>1051.1689204955474</v>
      </c>
      <c r="Q1504" s="2">
        <v>249.84686976668033</v>
      </c>
      <c r="R1504" s="2">
        <v>2532.4854114712048</v>
      </c>
      <c r="S1504" s="2">
        <v>1048.9344849322085</v>
      </c>
      <c r="T1504" s="2">
        <v>-0.12727946358788245</v>
      </c>
      <c r="U1504" s="2">
        <v>27.864671585185533</v>
      </c>
      <c r="V1504" s="2">
        <v>-2.2344355633388204</v>
      </c>
    </row>
    <row r="1505" spans="1:22" ht="15">
      <c r="A1505" s="2">
        <v>1504</v>
      </c>
      <c r="B1505" s="2" t="s">
        <v>78</v>
      </c>
      <c r="C1505" s="2" t="s">
        <v>81</v>
      </c>
      <c r="D1505" s="2">
        <v>1038.2156139123254</v>
      </c>
      <c r="E1505" s="2">
        <v>730.68297356367111</v>
      </c>
      <c r="F1505" s="2">
        <v>430.00938585028052</v>
      </c>
      <c r="G1505" s="2">
        <v>153.38101707864553</v>
      </c>
      <c r="H1505" s="2">
        <v>16.489344657864422</v>
      </c>
      <c r="I1505" s="2">
        <v>0.85875949556939313</v>
      </c>
      <c r="J1505" s="2">
        <v>7</v>
      </c>
      <c r="K1505" s="2">
        <v>172.71019073256284</v>
      </c>
      <c r="L1505" s="2">
        <v>16275</v>
      </c>
      <c r="M1505" s="2">
        <v>1200</v>
      </c>
      <c r="N1505" s="2">
        <v>250.00900386789345</v>
      </c>
      <c r="O1505" s="2">
        <v>2502.4494839392382</v>
      </c>
      <c r="P1505" s="2">
        <v>1038.2156139123254</v>
      </c>
      <c r="Q1505" s="2">
        <v>248.33163113448992</v>
      </c>
      <c r="R1505" s="2">
        <v>2522.3271033528454</v>
      </c>
      <c r="S1505" s="2">
        <v>1054.2572131681072</v>
      </c>
      <c r="T1505" s="2">
        <v>-1.67737273340353</v>
      </c>
      <c r="U1505" s="2">
        <v>19.877619413607135</v>
      </c>
      <c r="V1505" s="2">
        <v>16.041599255781875</v>
      </c>
    </row>
    <row r="1506" spans="1:22" ht="15">
      <c r="A1506" s="2">
        <v>1505</v>
      </c>
      <c r="B1506" s="2" t="s">
        <v>78</v>
      </c>
      <c r="C1506" s="2" t="s">
        <v>81</v>
      </c>
      <c r="D1506" s="2">
        <v>1035.444728937</v>
      </c>
      <c r="E1506" s="2">
        <v>698.99090895196423</v>
      </c>
      <c r="F1506" s="2">
        <v>716.87227729707956</v>
      </c>
      <c r="G1506" s="2">
        <v>187.3719440610148</v>
      </c>
      <c r="H1506" s="2">
        <v>16.290053540840745</v>
      </c>
      <c r="I1506" s="2">
        <v>0.82997497427510103</v>
      </c>
      <c r="J1506" s="2">
        <v>7</v>
      </c>
      <c r="K1506" s="2">
        <v>178.22305508864565</v>
      </c>
      <c r="L1506" s="2">
        <v>13340</v>
      </c>
      <c r="M1506" s="2">
        <v>1200</v>
      </c>
      <c r="N1506" s="2">
        <v>250.01622526430458</v>
      </c>
      <c r="O1506" s="2">
        <v>2504.1327523405607</v>
      </c>
      <c r="P1506" s="2">
        <v>1035.444728937</v>
      </c>
      <c r="Q1506" s="2">
        <v>249.41843369208999</v>
      </c>
      <c r="R1506" s="2">
        <v>2444.8692617967718</v>
      </c>
      <c r="S1506" s="2">
        <v>1044.3441850308309</v>
      </c>
      <c r="T1506" s="2">
        <v>-0.59779157221458945</v>
      </c>
      <c r="U1506" s="2">
        <v>-59.263490543788976</v>
      </c>
      <c r="V1506" s="2">
        <v>8.8994560938308496</v>
      </c>
    </row>
    <row r="1507" spans="1:22" ht="15">
      <c r="A1507" s="2">
        <v>1506</v>
      </c>
      <c r="B1507" s="2" t="s">
        <v>78</v>
      </c>
      <c r="C1507" s="2" t="s">
        <v>81</v>
      </c>
      <c r="D1507" s="2">
        <v>1024.7348272823729</v>
      </c>
      <c r="E1507" s="2">
        <v>703.10034633148462</v>
      </c>
      <c r="F1507" s="2">
        <v>508.41329032555223</v>
      </c>
      <c r="G1507" s="2">
        <v>190.31645559705794</v>
      </c>
      <c r="H1507" s="2">
        <v>13.03973237471655</v>
      </c>
      <c r="I1507" s="2">
        <v>0.8273052923986689</v>
      </c>
      <c r="J1507" s="2">
        <v>7</v>
      </c>
      <c r="K1507" s="2">
        <v>176.94881316101089</v>
      </c>
      <c r="L1507" s="2">
        <v>15255</v>
      </c>
      <c r="M1507" s="2">
        <v>1200</v>
      </c>
      <c r="N1507" s="2">
        <v>249.98994699897835</v>
      </c>
      <c r="O1507" s="2">
        <v>2502.9603333330292</v>
      </c>
      <c r="P1507" s="2">
        <v>1024.7348272823729</v>
      </c>
      <c r="Q1507" s="2">
        <v>247.89401640902921</v>
      </c>
      <c r="R1507" s="2">
        <v>2519.8828545357105</v>
      </c>
      <c r="S1507" s="2">
        <v>1032.4753199805218</v>
      </c>
      <c r="T1507" s="2">
        <v>-2.0959305899491483</v>
      </c>
      <c r="U1507" s="2">
        <v>16.92252120268131</v>
      </c>
      <c r="V1507" s="2">
        <v>7.7404926981489552</v>
      </c>
    </row>
    <row r="1508" spans="1:22" ht="15">
      <c r="A1508" s="2">
        <v>1507</v>
      </c>
      <c r="B1508" s="2" t="s">
        <v>78</v>
      </c>
      <c r="C1508" s="2" t="s">
        <v>81</v>
      </c>
      <c r="D1508" s="2">
        <v>1089.691425091587</v>
      </c>
      <c r="E1508" s="2">
        <v>1053.9633357548155</v>
      </c>
      <c r="F1508" s="2">
        <v>365.31782560050488</v>
      </c>
      <c r="G1508" s="2">
        <v>203.80304344696924</v>
      </c>
      <c r="H1508" s="2">
        <v>14.152129252441227</v>
      </c>
      <c r="I1508" s="2">
        <v>0.84134632088942451</v>
      </c>
      <c r="J1508" s="2">
        <v>7</v>
      </c>
      <c r="K1508" s="2">
        <v>185.02511952503289</v>
      </c>
      <c r="L1508" s="2">
        <v>13175</v>
      </c>
      <c r="M1508" s="2">
        <v>1200</v>
      </c>
      <c r="N1508" s="2">
        <v>249.98085144704288</v>
      </c>
      <c r="O1508" s="2">
        <v>2504.2482977729951</v>
      </c>
      <c r="P1508" s="2">
        <v>1089.691425091587</v>
      </c>
      <c r="Q1508" s="2">
        <v>252.56155168057148</v>
      </c>
      <c r="R1508" s="2">
        <v>2477.2475659607553</v>
      </c>
      <c r="S1508" s="2">
        <v>1088.056113871741</v>
      </c>
      <c r="T1508" s="2">
        <v>2.5807002335286029</v>
      </c>
      <c r="U1508" s="2">
        <v>-27.000731812239792</v>
      </c>
      <c r="V1508" s="2">
        <v>-1.6353112198460167</v>
      </c>
    </row>
    <row r="1509" spans="1:22" ht="15">
      <c r="A1509" s="2">
        <v>1508</v>
      </c>
      <c r="B1509" s="2" t="s">
        <v>78</v>
      </c>
      <c r="C1509" s="2" t="s">
        <v>81</v>
      </c>
      <c r="D1509" s="2">
        <v>963.04345311364159</v>
      </c>
      <c r="E1509" s="2">
        <v>769.88478084094822</v>
      </c>
      <c r="F1509" s="2">
        <v>545.86059181019664</v>
      </c>
      <c r="G1509" s="2">
        <v>171.25628543552011</v>
      </c>
      <c r="H1509" s="2">
        <v>23.622776604723185</v>
      </c>
      <c r="I1509" s="2">
        <v>0.79452286629006275</v>
      </c>
      <c r="J1509" s="2">
        <v>7</v>
      </c>
      <c r="K1509" s="2">
        <v>173.15755404434779</v>
      </c>
      <c r="L1509" s="2">
        <v>14380</v>
      </c>
      <c r="M1509" s="2">
        <v>1200</v>
      </c>
      <c r="N1509" s="2">
        <v>249.96874001970934</v>
      </c>
      <c r="O1509" s="2">
        <v>2503.456134052054</v>
      </c>
      <c r="P1509" s="2">
        <v>963.04345311364159</v>
      </c>
      <c r="Q1509" s="2">
        <v>246.1923396074946</v>
      </c>
      <c r="R1509" s="2">
        <v>2477.7243926750239</v>
      </c>
      <c r="S1509" s="2">
        <v>960.94838457702087</v>
      </c>
      <c r="T1509" s="2">
        <v>-3.7764004122147412</v>
      </c>
      <c r="U1509" s="2">
        <v>-25.731741377030175</v>
      </c>
      <c r="V1509" s="2">
        <v>-2.0950685366207153</v>
      </c>
    </row>
    <row r="1510" spans="1:22" ht="15">
      <c r="A1510" s="2">
        <v>1509</v>
      </c>
      <c r="B1510" s="2" t="s">
        <v>78</v>
      </c>
      <c r="C1510" s="2" t="s">
        <v>81</v>
      </c>
      <c r="D1510" s="2">
        <v>1072.9189469013363</v>
      </c>
      <c r="E1510" s="2">
        <v>797.17161859152839</v>
      </c>
      <c r="F1510" s="2">
        <v>683.46476685255766</v>
      </c>
      <c r="G1510" s="2">
        <v>164.67027667211369</v>
      </c>
      <c r="H1510" s="2">
        <v>16.913928605616093</v>
      </c>
      <c r="I1510" s="2">
        <v>0.79701832259306693</v>
      </c>
      <c r="J1510" s="2">
        <v>7</v>
      </c>
      <c r="K1510" s="2">
        <v>192.30942492381888</v>
      </c>
      <c r="L1510" s="2">
        <v>13000</v>
      </c>
      <c r="M1510" s="2">
        <v>1200</v>
      </c>
      <c r="N1510" s="2">
        <v>250.03764143958537</v>
      </c>
      <c r="O1510" s="2">
        <v>2504.3776591415108</v>
      </c>
      <c r="P1510" s="2">
        <v>1072.9189469013363</v>
      </c>
      <c r="Q1510" s="2">
        <v>250.32500427522504</v>
      </c>
      <c r="R1510" s="2">
        <v>2463.2347962198155</v>
      </c>
      <c r="S1510" s="2">
        <v>1078.1609448299725</v>
      </c>
      <c r="T1510" s="2">
        <v>0.28736283563966936</v>
      </c>
      <c r="U1510" s="2">
        <v>-41.142862921695269</v>
      </c>
      <c r="V1510" s="2">
        <v>5.2419979286362377</v>
      </c>
    </row>
    <row r="1511" spans="1:22" ht="15">
      <c r="A1511" s="2">
        <v>1510</v>
      </c>
      <c r="B1511" s="2" t="s">
        <v>78</v>
      </c>
      <c r="C1511" s="2" t="s">
        <v>81</v>
      </c>
      <c r="D1511" s="2">
        <v>959.36632483499125</v>
      </c>
      <c r="E1511" s="2">
        <v>1108.11002550181</v>
      </c>
      <c r="F1511" s="2">
        <v>469.16466625407338</v>
      </c>
      <c r="G1511" s="2">
        <v>242.82734414562583</v>
      </c>
      <c r="H1511" s="2">
        <v>29.474727211985737</v>
      </c>
      <c r="I1511" s="2">
        <v>0.85842826442327358</v>
      </c>
      <c r="J1511" s="2">
        <v>6</v>
      </c>
      <c r="K1511" s="2">
        <v>186.26412258212628</v>
      </c>
      <c r="L1511" s="2">
        <v>13710</v>
      </c>
      <c r="M1511" s="2">
        <v>1200</v>
      </c>
      <c r="N1511" s="2">
        <v>250.03580907506787</v>
      </c>
      <c r="O1511" s="2">
        <v>2503.8815811183335</v>
      </c>
      <c r="P1511" s="2">
        <v>959.36632483499125</v>
      </c>
      <c r="Q1511" s="2">
        <v>247.01102380729671</v>
      </c>
      <c r="R1511" s="2">
        <v>2512.084070105404</v>
      </c>
      <c r="S1511" s="2">
        <v>940.95447531991124</v>
      </c>
      <c r="T1511" s="2">
        <v>-3.0247852677711649</v>
      </c>
      <c r="U1511" s="2">
        <v>8.2024889870704101</v>
      </c>
      <c r="V1511" s="2">
        <v>-18.411849515080007</v>
      </c>
    </row>
    <row r="1512" spans="1:22" ht="15">
      <c r="A1512" s="2">
        <v>1511</v>
      </c>
      <c r="B1512" s="2" t="s">
        <v>78</v>
      </c>
      <c r="C1512" s="2" t="s">
        <v>81</v>
      </c>
      <c r="D1512" s="2">
        <v>951.09246254432946</v>
      </c>
      <c r="E1512" s="2">
        <v>672.049449023325</v>
      </c>
      <c r="F1512" s="2">
        <v>357.74137377738953</v>
      </c>
      <c r="G1512" s="2">
        <v>207.88374902447686</v>
      </c>
      <c r="H1512" s="2">
        <v>8.559852528385818</v>
      </c>
      <c r="I1512" s="2">
        <v>0.84639233983820306</v>
      </c>
      <c r="J1512" s="2">
        <v>6</v>
      </c>
      <c r="K1512" s="2">
        <v>187.28360709686578</v>
      </c>
      <c r="L1512" s="2">
        <v>20160</v>
      </c>
      <c r="M1512" s="2">
        <v>1200</v>
      </c>
      <c r="N1512" s="2">
        <v>250.01437179125097</v>
      </c>
      <c r="O1512" s="2">
        <v>2500.9755010435788</v>
      </c>
      <c r="P1512" s="2">
        <v>951.09246254432946</v>
      </c>
      <c r="Q1512" s="2">
        <v>250.63291546644001</v>
      </c>
      <c r="R1512" s="2">
        <v>2515.4697487885369</v>
      </c>
      <c r="S1512" s="2">
        <v>963.36196506445674</v>
      </c>
      <c r="T1512" s="2">
        <v>0.61854367518904496</v>
      </c>
      <c r="U1512" s="2">
        <v>14.494247744958102</v>
      </c>
      <c r="V1512" s="2">
        <v>12.269502520127276</v>
      </c>
    </row>
    <row r="1513" spans="1:22" ht="15">
      <c r="A1513" s="2">
        <v>1512</v>
      </c>
      <c r="B1513" s="2" t="s">
        <v>78</v>
      </c>
      <c r="C1513" s="2" t="s">
        <v>81</v>
      </c>
      <c r="D1513" s="2">
        <v>974.3580334703438</v>
      </c>
      <c r="E1513" s="2">
        <v>777.98048639670014</v>
      </c>
      <c r="F1513" s="2">
        <v>363.88532286509871</v>
      </c>
      <c r="G1513" s="2">
        <v>180.91826098505408</v>
      </c>
      <c r="H1513" s="2">
        <v>10.40971635049209</v>
      </c>
      <c r="I1513" s="2">
        <v>0.85459663079120218</v>
      </c>
      <c r="J1513" s="2">
        <v>6</v>
      </c>
      <c r="K1513" s="2">
        <v>190.02298830507212</v>
      </c>
      <c r="L1513" s="2">
        <v>18860</v>
      </c>
      <c r="M1513" s="2">
        <v>1200</v>
      </c>
      <c r="N1513" s="2">
        <v>249.97622183126512</v>
      </c>
      <c r="O1513" s="2">
        <v>2501.4001633969033</v>
      </c>
      <c r="P1513" s="2">
        <v>974.3580334703438</v>
      </c>
      <c r="Q1513" s="2">
        <v>252.45884332583557</v>
      </c>
      <c r="R1513" s="2">
        <v>2495.7240035682294</v>
      </c>
      <c r="S1513" s="2">
        <v>983.36904477345684</v>
      </c>
      <c r="T1513" s="2">
        <v>2.4826214945704521</v>
      </c>
      <c r="U1513" s="2">
        <v>-5.6761598286739172</v>
      </c>
      <c r="V1513" s="2">
        <v>9.0110113031130368</v>
      </c>
    </row>
    <row r="1514" spans="1:22" ht="15">
      <c r="A1514" s="2">
        <v>1513</v>
      </c>
      <c r="B1514" s="2" t="s">
        <v>78</v>
      </c>
      <c r="C1514" s="2" t="s">
        <v>81</v>
      </c>
      <c r="D1514" s="2">
        <v>990.25628324598074</v>
      </c>
      <c r="E1514" s="2">
        <v>926.21425207471475</v>
      </c>
      <c r="F1514" s="2">
        <v>430.84852118045092</v>
      </c>
      <c r="G1514" s="2">
        <v>129.46567449951544</v>
      </c>
      <c r="H1514" s="2">
        <v>22.155970325693488</v>
      </c>
      <c r="I1514" s="2">
        <v>0.80177231476875022</v>
      </c>
      <c r="J1514" s="2">
        <v>7</v>
      </c>
      <c r="K1514" s="2">
        <v>176.44059381329006</v>
      </c>
      <c r="L1514" s="2">
        <v>14385</v>
      </c>
      <c r="M1514" s="2">
        <v>1200</v>
      </c>
      <c r="N1514" s="2">
        <v>249.97604933114687</v>
      </c>
      <c r="O1514" s="2">
        <v>2503.4533794000695</v>
      </c>
      <c r="P1514" s="2">
        <v>990.25628324598074</v>
      </c>
      <c r="Q1514" s="2">
        <v>247.18844950330461</v>
      </c>
      <c r="R1514" s="2">
        <v>2539.9285439759701</v>
      </c>
      <c r="S1514" s="2">
        <v>993.92764676137301</v>
      </c>
      <c r="T1514" s="2">
        <v>-2.7875998278422571</v>
      </c>
      <c r="U1514" s="2">
        <v>36.475164575900635</v>
      </c>
      <c r="V1514" s="2">
        <v>3.6713635153922723</v>
      </c>
    </row>
    <row r="1515" spans="1:22" ht="15">
      <c r="A1515" s="2">
        <v>1514</v>
      </c>
      <c r="B1515" s="2" t="s">
        <v>78</v>
      </c>
      <c r="C1515" s="2" t="s">
        <v>81</v>
      </c>
      <c r="D1515" s="2">
        <v>1038.9353518025018</v>
      </c>
      <c r="E1515" s="2">
        <v>608.10010621789843</v>
      </c>
      <c r="F1515" s="2">
        <v>370.15171060338616</v>
      </c>
      <c r="G1515" s="2">
        <v>280.32455655746162</v>
      </c>
      <c r="H1515" s="2">
        <v>11.653830577153713</v>
      </c>
      <c r="I1515" s="2">
        <v>0.85215660240966828</v>
      </c>
      <c r="J1515" s="2">
        <v>7</v>
      </c>
      <c r="K1515" s="2">
        <v>174.16908529734587</v>
      </c>
      <c r="L1515" s="2">
        <v>16990</v>
      </c>
      <c r="M1515" s="2">
        <v>1200</v>
      </c>
      <c r="N1515" s="2">
        <v>249.96995965544306</v>
      </c>
      <c r="O1515" s="2">
        <v>2502.1264247847125</v>
      </c>
      <c r="P1515" s="2">
        <v>1038.9353518025018</v>
      </c>
      <c r="Q1515" s="2">
        <v>250.51846809208578</v>
      </c>
      <c r="R1515" s="2">
        <v>2497.70365301628</v>
      </c>
      <c r="S1515" s="2">
        <v>1057.2964281155391</v>
      </c>
      <c r="T1515" s="2">
        <v>0.5485084366427202</v>
      </c>
      <c r="U1515" s="2">
        <v>-4.4227717684325398</v>
      </c>
      <c r="V1515" s="2">
        <v>18.361076313037302</v>
      </c>
    </row>
    <row r="1516" spans="1:22" ht="15">
      <c r="A1516" s="2">
        <v>1515</v>
      </c>
      <c r="B1516" s="2" t="s">
        <v>79</v>
      </c>
      <c r="C1516" s="2" t="s">
        <v>81</v>
      </c>
      <c r="D1516" s="2">
        <v>1097.7160951821133</v>
      </c>
      <c r="E1516" s="2">
        <v>681.22054698178545</v>
      </c>
      <c r="F1516" s="2">
        <v>525.02094693481922</v>
      </c>
      <c r="G1516" s="2">
        <v>102.57741818903014</v>
      </c>
      <c r="H1516" s="2">
        <v>28.770471797324717</v>
      </c>
      <c r="I1516" s="2">
        <v>0.84969707331387334</v>
      </c>
      <c r="J1516" s="2">
        <v>7</v>
      </c>
      <c r="K1516" s="2">
        <v>184.55587285292322</v>
      </c>
      <c r="L1516" s="2">
        <v>16340</v>
      </c>
      <c r="M1516" s="2">
        <v>1200</v>
      </c>
      <c r="N1516" s="2">
        <v>250.00404604520156</v>
      </c>
      <c r="O1516" s="2">
        <v>2502.4188966511492</v>
      </c>
      <c r="P1516" s="2">
        <v>1097.7160951821133</v>
      </c>
      <c r="Q1516" s="2">
        <v>248.08367930806358</v>
      </c>
      <c r="R1516" s="2">
        <v>2524.456704245054</v>
      </c>
      <c r="S1516" s="2">
        <v>1097.704683948901</v>
      </c>
      <c r="T1516" s="2">
        <v>-1.9203667371379822</v>
      </c>
      <c r="U1516" s="2">
        <v>22.037807593904745</v>
      </c>
      <c r="V1516" s="2">
        <v>-1.1411233212356819E-2</v>
      </c>
    </row>
    <row r="1517" spans="1:22" ht="15">
      <c r="A1517" s="2">
        <v>1516</v>
      </c>
      <c r="B1517" s="2" t="s">
        <v>79</v>
      </c>
      <c r="C1517" s="2" t="s">
        <v>81</v>
      </c>
      <c r="D1517" s="2">
        <v>1048.4566739178263</v>
      </c>
      <c r="E1517" s="2">
        <v>949.10748465918005</v>
      </c>
      <c r="F1517" s="2">
        <v>497.29015631601214</v>
      </c>
      <c r="G1517" s="2">
        <v>231.16818703245372</v>
      </c>
      <c r="H1517" s="2">
        <v>11.127272564452142</v>
      </c>
      <c r="I1517" s="2">
        <v>0.81723267305642366</v>
      </c>
      <c r="J1517" s="2">
        <v>7</v>
      </c>
      <c r="K1517" s="2">
        <v>183.27647655744499</v>
      </c>
      <c r="L1517" s="2">
        <v>12750</v>
      </c>
      <c r="M1517" s="2">
        <v>1200</v>
      </c>
      <c r="N1517" s="2">
        <v>250.03725300957058</v>
      </c>
      <c r="O1517" s="2">
        <v>2504.565446197998</v>
      </c>
      <c r="P1517" s="2">
        <v>1048.4566739178263</v>
      </c>
      <c r="Q1517" s="2">
        <v>249.03754302915954</v>
      </c>
      <c r="R1517" s="2">
        <v>2540.1026657052344</v>
      </c>
      <c r="S1517" s="2">
        <v>1052.9439431107121</v>
      </c>
      <c r="T1517" s="2">
        <v>-0.99970998041104053</v>
      </c>
      <c r="U1517" s="2">
        <v>35.537219507236387</v>
      </c>
      <c r="V1517" s="2">
        <v>4.487269192885833</v>
      </c>
    </row>
    <row r="1518" spans="1:22" ht="15">
      <c r="A1518" s="2">
        <v>1517</v>
      </c>
      <c r="B1518" s="2" t="s">
        <v>79</v>
      </c>
      <c r="C1518" s="2" t="s">
        <v>81</v>
      </c>
      <c r="D1518" s="2">
        <v>983.85641477070749</v>
      </c>
      <c r="E1518" s="2">
        <v>748.22776716900989</v>
      </c>
      <c r="F1518" s="2">
        <v>366.97918679565191</v>
      </c>
      <c r="G1518" s="2">
        <v>314.58013852359727</v>
      </c>
      <c r="H1518" s="2">
        <v>13.640182588249445</v>
      </c>
      <c r="I1518" s="2">
        <v>0.84127882234985019</v>
      </c>
      <c r="J1518" s="2">
        <v>6</v>
      </c>
      <c r="K1518" s="2">
        <v>194.91286927969401</v>
      </c>
      <c r="L1518" s="2">
        <v>17450</v>
      </c>
      <c r="M1518" s="2">
        <v>1200</v>
      </c>
      <c r="N1518" s="2">
        <v>249.99711529117175</v>
      </c>
      <c r="O1518" s="2">
        <v>2501.934065676679</v>
      </c>
      <c r="P1518" s="2">
        <v>983.85641477070749</v>
      </c>
      <c r="Q1518" s="2">
        <v>251.37538392874652</v>
      </c>
      <c r="R1518" s="2">
        <v>2498.6913267975087</v>
      </c>
      <c r="S1518" s="2">
        <v>990.12411149596267</v>
      </c>
      <c r="T1518" s="2">
        <v>1.378268637574763</v>
      </c>
      <c r="U1518" s="2">
        <v>-3.2427388791702469</v>
      </c>
      <c r="V1518" s="2">
        <v>6.2676967252551776</v>
      </c>
    </row>
    <row r="1519" spans="1:22" ht="15">
      <c r="A1519" s="2">
        <v>1518</v>
      </c>
      <c r="B1519" s="2" t="s">
        <v>80</v>
      </c>
      <c r="C1519" s="2" t="s">
        <v>81</v>
      </c>
      <c r="D1519" s="2">
        <v>998.8654134911485</v>
      </c>
      <c r="E1519" s="2">
        <v>980.47338284086436</v>
      </c>
      <c r="F1519" s="2">
        <v>510.62607513740659</v>
      </c>
      <c r="G1519" s="2">
        <v>212.59080052375793</v>
      </c>
      <c r="H1519" s="2">
        <v>8.9907745220698416</v>
      </c>
      <c r="I1519" s="2">
        <v>0.82231086633633821</v>
      </c>
      <c r="J1519" s="2">
        <v>7</v>
      </c>
      <c r="K1519" s="2">
        <v>173.52933654630746</v>
      </c>
      <c r="L1519" s="2">
        <v>12555</v>
      </c>
      <c r="M1519" s="2">
        <v>1200</v>
      </c>
      <c r="N1519" s="2">
        <v>250.04734022977382</v>
      </c>
      <c r="O1519" s="2">
        <v>2504.7175217327922</v>
      </c>
      <c r="P1519" s="2">
        <v>998.8654134911485</v>
      </c>
      <c r="Q1519" s="2">
        <v>249.21479098685424</v>
      </c>
      <c r="R1519" s="2">
        <v>2553.9185947231076</v>
      </c>
      <c r="S1519" s="2">
        <v>1001.2662674151485</v>
      </c>
      <c r="T1519" s="2">
        <v>-0.83254924291958332</v>
      </c>
      <c r="U1519" s="2">
        <v>49.201072990315424</v>
      </c>
      <c r="V1519" s="2">
        <v>2.4008539239999891</v>
      </c>
    </row>
    <row r="1520" spans="1:22" ht="15">
      <c r="A1520" s="2">
        <v>1519</v>
      </c>
      <c r="B1520" s="2" t="s">
        <v>80</v>
      </c>
      <c r="C1520" s="2" t="s">
        <v>81</v>
      </c>
      <c r="D1520" s="2">
        <v>1051.8869685241953</v>
      </c>
      <c r="E1520" s="2">
        <v>1214.0027054701932</v>
      </c>
      <c r="F1520" s="2">
        <v>384.93351116776466</v>
      </c>
      <c r="G1520" s="2">
        <v>203.18982038414106</v>
      </c>
      <c r="H1520" s="2">
        <v>16.34168769326061</v>
      </c>
      <c r="I1520" s="2">
        <v>0.80559447278967133</v>
      </c>
      <c r="J1520" s="2">
        <v>7</v>
      </c>
      <c r="K1520" s="2">
        <v>186.53251978214732</v>
      </c>
      <c r="L1520" s="2">
        <v>11865</v>
      </c>
      <c r="M1520" s="2">
        <v>1195</v>
      </c>
      <c r="N1520" s="2">
        <v>249.95862599891481</v>
      </c>
      <c r="O1520" s="2">
        <v>2494.851825519685</v>
      </c>
      <c r="P1520" s="2">
        <v>1051.8869685241953</v>
      </c>
      <c r="Q1520" s="2">
        <v>249.17909603167661</v>
      </c>
      <c r="R1520" s="2">
        <v>2498.215079366209</v>
      </c>
      <c r="S1520" s="2">
        <v>1053.1986462592099</v>
      </c>
      <c r="T1520" s="2">
        <v>-0.77952996723820434</v>
      </c>
      <c r="U1520" s="2">
        <v>3.3632538465240032</v>
      </c>
      <c r="V1520" s="2">
        <v>1.3116777350146549</v>
      </c>
    </row>
    <row r="1521" spans="1:22" ht="15">
      <c r="A1521" s="2">
        <v>1520</v>
      </c>
      <c r="B1521" s="2" t="s">
        <v>80</v>
      </c>
      <c r="C1521" s="2" t="s">
        <v>81</v>
      </c>
      <c r="D1521" s="2">
        <v>996.92016354529187</v>
      </c>
      <c r="E1521" s="2">
        <v>906.08683247119188</v>
      </c>
      <c r="F1521" s="2">
        <v>650.46971878036857</v>
      </c>
      <c r="G1521" s="2">
        <v>238.17505132872611</v>
      </c>
      <c r="H1521" s="2">
        <v>19.99703481188044</v>
      </c>
      <c r="I1521" s="2">
        <v>0.8331573567446322</v>
      </c>
      <c r="J1521" s="2">
        <v>6</v>
      </c>
      <c r="K1521" s="2">
        <v>199.4261459084841</v>
      </c>
      <c r="L1521" s="2">
        <v>13900</v>
      </c>
      <c r="M1521" s="2">
        <v>1200</v>
      </c>
      <c r="N1521" s="2">
        <v>249.96712866897778</v>
      </c>
      <c r="O1521" s="2">
        <v>2503.754992804234</v>
      </c>
      <c r="P1521" s="2">
        <v>996.92016354529187</v>
      </c>
      <c r="Q1521" s="2">
        <v>253.34924931227235</v>
      </c>
      <c r="R1521" s="2">
        <v>2491.6776580841843</v>
      </c>
      <c r="S1521" s="2">
        <v>989.56333649376847</v>
      </c>
      <c r="T1521" s="2">
        <v>3.3821206432945701</v>
      </c>
      <c r="U1521" s="2">
        <v>-12.077334720049748</v>
      </c>
      <c r="V1521" s="2">
        <v>-7.3568270515233962</v>
      </c>
    </row>
    <row r="1522" spans="1:22" ht="15">
      <c r="A1522" s="2">
        <v>1521</v>
      </c>
      <c r="B1522" s="2" t="s">
        <v>78</v>
      </c>
      <c r="C1522" s="2" t="s">
        <v>81</v>
      </c>
      <c r="D1522" s="2">
        <v>986.82537050917745</v>
      </c>
      <c r="E1522" s="2">
        <v>752.78026623418555</v>
      </c>
      <c r="F1522" s="2">
        <v>396.82931695133448</v>
      </c>
      <c r="G1522" s="2">
        <v>244.51600572327152</v>
      </c>
      <c r="H1522" s="2">
        <v>13.583029912784696</v>
      </c>
      <c r="I1522" s="2">
        <v>0.82836977883474905</v>
      </c>
      <c r="J1522" s="2">
        <v>6</v>
      </c>
      <c r="K1522" s="2">
        <v>198.54767675882718</v>
      </c>
      <c r="L1522" s="2">
        <v>17895</v>
      </c>
      <c r="M1522" s="2">
        <v>1200</v>
      </c>
      <c r="N1522" s="2">
        <v>249.97799576620298</v>
      </c>
      <c r="O1522" s="2">
        <v>2501.7561290384192</v>
      </c>
      <c r="P1522" s="2">
        <v>986.82537050917745</v>
      </c>
      <c r="Q1522" s="2">
        <v>249.84318335837807</v>
      </c>
      <c r="R1522" s="2">
        <v>2493.8161056265485</v>
      </c>
      <c r="S1522" s="2">
        <v>998.44697111061828</v>
      </c>
      <c r="T1522" s="2">
        <v>-0.13481240782491</v>
      </c>
      <c r="U1522" s="2">
        <v>-7.9400234118706976</v>
      </c>
      <c r="V1522" s="2">
        <v>11.621600601440832</v>
      </c>
    </row>
    <row r="1523" spans="1:22" ht="15">
      <c r="A1523" s="2">
        <v>1522</v>
      </c>
      <c r="B1523" s="2" t="s">
        <v>78</v>
      </c>
      <c r="C1523" s="2" t="s">
        <v>81</v>
      </c>
      <c r="D1523" s="2">
        <v>1063.4996547945775</v>
      </c>
      <c r="E1523" s="2">
        <v>1242.6642735721543</v>
      </c>
      <c r="F1523" s="2">
        <v>690.56115234270692</v>
      </c>
      <c r="G1523" s="2">
        <v>234.08152085728943</v>
      </c>
      <c r="H1523" s="2">
        <v>17.021933615673333</v>
      </c>
      <c r="I1523" s="2">
        <v>0.8448708492750302</v>
      </c>
      <c r="J1523" s="2">
        <v>7</v>
      </c>
      <c r="K1523" s="2">
        <v>179.82455217135075</v>
      </c>
      <c r="L1523" s="2">
        <v>9865</v>
      </c>
      <c r="M1523" s="2">
        <v>1195</v>
      </c>
      <c r="N1523" s="2">
        <v>249.93836118409126</v>
      </c>
      <c r="O1523" s="2">
        <v>2496.9687591685556</v>
      </c>
      <c r="P1523" s="2">
        <v>1063.4996547945775</v>
      </c>
      <c r="Q1523" s="2">
        <v>251.38339107651007</v>
      </c>
      <c r="R1523" s="2">
        <v>2542.128529943674</v>
      </c>
      <c r="S1523" s="2">
        <v>1052.741371299242</v>
      </c>
      <c r="T1523" s="2">
        <v>1.4450298924188019</v>
      </c>
      <c r="U1523" s="2">
        <v>45.159770775118432</v>
      </c>
      <c r="V1523" s="2">
        <v>-10.75828349533549</v>
      </c>
    </row>
    <row r="1524" spans="1:22" ht="15">
      <c r="A1524" s="2">
        <v>1523</v>
      </c>
      <c r="B1524" s="2" t="s">
        <v>78</v>
      </c>
      <c r="C1524" s="2" t="s">
        <v>81</v>
      </c>
      <c r="D1524" s="2">
        <v>955.20901733543724</v>
      </c>
      <c r="E1524" s="2">
        <v>1141.6253465809859</v>
      </c>
      <c r="F1524" s="2">
        <v>585.97655259072781</v>
      </c>
      <c r="G1524" s="2">
        <v>183.51766896201298</v>
      </c>
      <c r="H1524" s="2">
        <v>13.011246931739151</v>
      </c>
      <c r="I1524" s="2">
        <v>0.81224901799811056</v>
      </c>
      <c r="J1524" s="2">
        <v>6</v>
      </c>
      <c r="K1524" s="2">
        <v>196.00085609412196</v>
      </c>
      <c r="L1524" s="2">
        <v>13055</v>
      </c>
      <c r="M1524" s="2">
        <v>1200</v>
      </c>
      <c r="N1524" s="2">
        <v>249.99599968950156</v>
      </c>
      <c r="O1524" s="2">
        <v>2504.3357221971596</v>
      </c>
      <c r="P1524" s="2">
        <v>955.20901733543724</v>
      </c>
      <c r="Q1524" s="2">
        <v>250.09674702185708</v>
      </c>
      <c r="R1524" s="2">
        <v>2532.3177476043675</v>
      </c>
      <c r="S1524" s="2">
        <v>958.46760940281922</v>
      </c>
      <c r="T1524" s="2">
        <v>0.10074733235552458</v>
      </c>
      <c r="U1524" s="2">
        <v>27.982025407207857</v>
      </c>
      <c r="V1524" s="2">
        <v>3.2585920673819828</v>
      </c>
    </row>
    <row r="1525" spans="1:22" ht="15">
      <c r="A1525" s="2">
        <v>1524</v>
      </c>
      <c r="B1525" s="2" t="s">
        <v>78</v>
      </c>
      <c r="C1525" s="2" t="s">
        <v>81</v>
      </c>
      <c r="D1525" s="2">
        <v>963.57015905668959</v>
      </c>
      <c r="E1525" s="2">
        <v>619.12747272290289</v>
      </c>
      <c r="F1525" s="2">
        <v>356.14047525450587</v>
      </c>
      <c r="G1525" s="2">
        <v>248.12512220349163</v>
      </c>
      <c r="H1525" s="2">
        <v>10.468642889987677</v>
      </c>
      <c r="I1525" s="2">
        <v>0.81227257499471306</v>
      </c>
      <c r="J1525" s="2">
        <v>6</v>
      </c>
      <c r="K1525" s="2">
        <v>197.71075800570216</v>
      </c>
      <c r="L1525" s="2">
        <v>20395</v>
      </c>
      <c r="M1525" s="2">
        <v>1200</v>
      </c>
      <c r="N1525" s="2">
        <v>250.01021728039578</v>
      </c>
      <c r="O1525" s="2">
        <v>2500.9042420629748</v>
      </c>
      <c r="P1525" s="2">
        <v>963.57015905668959</v>
      </c>
      <c r="Q1525" s="2">
        <v>247.85576338622906</v>
      </c>
      <c r="R1525" s="2">
        <v>2504.75488759877</v>
      </c>
      <c r="S1525" s="2">
        <v>980.63910429958764</v>
      </c>
      <c r="T1525" s="2">
        <v>-2.1544538941667213</v>
      </c>
      <c r="U1525" s="2">
        <v>3.8506455357951381</v>
      </c>
      <c r="V1525" s="2">
        <v>17.068945242898053</v>
      </c>
    </row>
    <row r="1526" spans="1:22" ht="15">
      <c r="A1526" s="2">
        <v>1525</v>
      </c>
      <c r="B1526" s="2" t="s">
        <v>78</v>
      </c>
      <c r="C1526" s="2" t="s">
        <v>81</v>
      </c>
      <c r="D1526" s="2">
        <v>1065.2615424711257</v>
      </c>
      <c r="E1526" s="2">
        <v>835.69843469886109</v>
      </c>
      <c r="F1526" s="2">
        <v>590.28387945145369</v>
      </c>
      <c r="G1526" s="2">
        <v>216.7944500525482</v>
      </c>
      <c r="H1526" s="2">
        <v>16.007182568311691</v>
      </c>
      <c r="I1526" s="2">
        <v>0.82423004588345072</v>
      </c>
      <c r="J1526" s="2">
        <v>7</v>
      </c>
      <c r="K1526" s="2">
        <v>184.63318719460614</v>
      </c>
      <c r="L1526" s="2">
        <v>13020</v>
      </c>
      <c r="M1526" s="2">
        <v>1200</v>
      </c>
      <c r="N1526" s="2">
        <v>250.03723269679114</v>
      </c>
      <c r="O1526" s="2">
        <v>2504.3629320997775</v>
      </c>
      <c r="P1526" s="2">
        <v>1065.2615424711257</v>
      </c>
      <c r="Q1526" s="2">
        <v>248.26623593366446</v>
      </c>
      <c r="R1526" s="2">
        <v>2486.3382381284009</v>
      </c>
      <c r="S1526" s="2">
        <v>1073.9500946752971</v>
      </c>
      <c r="T1526" s="2">
        <v>-1.770996763126675</v>
      </c>
      <c r="U1526" s="2">
        <v>-18.024693971376564</v>
      </c>
      <c r="V1526" s="2">
        <v>8.6885522041714012</v>
      </c>
    </row>
    <row r="1527" spans="1:22" ht="15">
      <c r="A1527" s="2">
        <v>1526</v>
      </c>
      <c r="B1527" s="2" t="s">
        <v>78</v>
      </c>
      <c r="C1527" s="2" t="s">
        <v>81</v>
      </c>
      <c r="D1527" s="2">
        <v>1023.1119685922749</v>
      </c>
      <c r="E1527" s="2">
        <v>968.03542689885944</v>
      </c>
      <c r="F1527" s="2">
        <v>425.32492699101567</v>
      </c>
      <c r="G1527" s="2">
        <v>279.07931843772531</v>
      </c>
      <c r="H1527" s="2">
        <v>13.415480217430741</v>
      </c>
      <c r="I1527" s="2">
        <v>0.83900768188294028</v>
      </c>
      <c r="J1527" s="2">
        <v>7</v>
      </c>
      <c r="K1527" s="2">
        <v>174.20442722052644</v>
      </c>
      <c r="L1527" s="2">
        <v>12785</v>
      </c>
      <c r="M1527" s="2">
        <v>1200</v>
      </c>
      <c r="N1527" s="2">
        <v>249.95754367342695</v>
      </c>
      <c r="O1527" s="2">
        <v>2504.535605820553</v>
      </c>
      <c r="P1527" s="2">
        <v>1023.1119685922749</v>
      </c>
      <c r="Q1527" s="2">
        <v>250.94773887323089</v>
      </c>
      <c r="R1527" s="2">
        <v>2522.7357951409213</v>
      </c>
      <c r="S1527" s="2">
        <v>1027.5926158715515</v>
      </c>
      <c r="T1527" s="2">
        <v>0.99019519980393511</v>
      </c>
      <c r="U1527" s="2">
        <v>18.200189320368281</v>
      </c>
      <c r="V1527" s="2">
        <v>4.4806472792765817</v>
      </c>
    </row>
    <row r="1528" spans="1:22" ht="15">
      <c r="A1528" s="2">
        <v>1527</v>
      </c>
      <c r="B1528" s="2" t="s">
        <v>78</v>
      </c>
      <c r="C1528" s="2" t="s">
        <v>81</v>
      </c>
      <c r="D1528" s="2">
        <v>1020.3934685559943</v>
      </c>
      <c r="E1528" s="2">
        <v>1135.8529036981054</v>
      </c>
      <c r="F1528" s="2">
        <v>539.52139765024185</v>
      </c>
      <c r="G1528" s="2">
        <v>329.28184872260317</v>
      </c>
      <c r="H1528" s="2">
        <v>23.687054614536464</v>
      </c>
      <c r="I1528" s="2">
        <v>0.81474104407941927</v>
      </c>
      <c r="J1528" s="2">
        <v>7</v>
      </c>
      <c r="K1528" s="2">
        <v>178.91635209406459</v>
      </c>
      <c r="L1528" s="2">
        <v>10670</v>
      </c>
      <c r="M1528" s="2">
        <v>1195</v>
      </c>
      <c r="N1528" s="2">
        <v>250.04603433267951</v>
      </c>
      <c r="O1528" s="2">
        <v>2496.0258814458725</v>
      </c>
      <c r="P1528" s="2">
        <v>1020.3934685559943</v>
      </c>
      <c r="Q1528" s="2">
        <v>252.48040116687829</v>
      </c>
      <c r="R1528" s="2">
        <v>2491.8024843250296</v>
      </c>
      <c r="S1528" s="2">
        <v>1009.9459053464384</v>
      </c>
      <c r="T1528" s="2">
        <v>2.4343668341987836</v>
      </c>
      <c r="U1528" s="2">
        <v>-4.2233971208429466</v>
      </c>
      <c r="V1528" s="2">
        <v>-10.447563209555938</v>
      </c>
    </row>
    <row r="1529" spans="1:22" ht="15">
      <c r="A1529" s="2">
        <v>1528</v>
      </c>
      <c r="B1529" s="2" t="s">
        <v>78</v>
      </c>
      <c r="C1529" s="2" t="s">
        <v>81</v>
      </c>
      <c r="D1529" s="2">
        <v>1041.494941606652</v>
      </c>
      <c r="E1529" s="2">
        <v>830.0480361096561</v>
      </c>
      <c r="F1529" s="2">
        <v>356.6151431761682</v>
      </c>
      <c r="G1529" s="2">
        <v>308.5140628227964</v>
      </c>
      <c r="H1529" s="2">
        <v>23.790465538855642</v>
      </c>
      <c r="I1529" s="2">
        <v>0.82132359710521996</v>
      </c>
      <c r="J1529" s="2">
        <v>7</v>
      </c>
      <c r="K1529" s="2">
        <v>181.1527054409375</v>
      </c>
      <c r="L1529" s="2">
        <v>14305</v>
      </c>
      <c r="M1529" s="2">
        <v>1200</v>
      </c>
      <c r="N1529" s="2">
        <v>250.03218309730806</v>
      </c>
      <c r="O1529" s="2">
        <v>2503.5037257617628</v>
      </c>
      <c r="P1529" s="2">
        <v>1041.494941606652</v>
      </c>
      <c r="Q1529" s="2">
        <v>250.25248175474186</v>
      </c>
      <c r="R1529" s="2">
        <v>2519.4119225326217</v>
      </c>
      <c r="S1529" s="2">
        <v>1042.8700121272996</v>
      </c>
      <c r="T1529" s="2">
        <v>0.22029865743380128</v>
      </c>
      <c r="U1529" s="2">
        <v>15.908196770858922</v>
      </c>
      <c r="V1529" s="2">
        <v>1.3750705206475686</v>
      </c>
    </row>
    <row r="1530" spans="1:22" ht="15">
      <c r="A1530" s="2">
        <v>1529</v>
      </c>
      <c r="B1530" s="2" t="s">
        <v>78</v>
      </c>
      <c r="C1530" s="2" t="s">
        <v>81</v>
      </c>
      <c r="D1530" s="2">
        <v>1048.8678682595491</v>
      </c>
      <c r="E1530" s="2">
        <v>919.90799516206607</v>
      </c>
      <c r="F1530" s="2">
        <v>386.36388946324587</v>
      </c>
      <c r="G1530" s="2">
        <v>265.95999904209748</v>
      </c>
      <c r="H1530" s="2">
        <v>19.125183565542102</v>
      </c>
      <c r="I1530" s="2">
        <v>0.80071613890351734</v>
      </c>
      <c r="J1530" s="2">
        <v>7</v>
      </c>
      <c r="K1530" s="2">
        <v>187.13031949050816</v>
      </c>
      <c r="L1530" s="2">
        <v>13600</v>
      </c>
      <c r="M1530" s="2">
        <v>1200</v>
      </c>
      <c r="N1530" s="2">
        <v>249.96013316049203</v>
      </c>
      <c r="O1530" s="2">
        <v>2503.9522762412048</v>
      </c>
      <c r="P1530" s="2">
        <v>1048.8678682595491</v>
      </c>
      <c r="Q1530" s="2">
        <v>249.96628560137702</v>
      </c>
      <c r="R1530" s="2">
        <v>2539.4177693168094</v>
      </c>
      <c r="S1530" s="2">
        <v>1048.687142728329</v>
      </c>
      <c r="T1530" s="2">
        <v>6.1524408849891188E-3</v>
      </c>
      <c r="U1530" s="2">
        <v>35.465493075604627</v>
      </c>
      <c r="V1530" s="2">
        <v>-0.18072553122010504</v>
      </c>
    </row>
    <row r="1531" spans="1:22" ht="15">
      <c r="A1531" s="2">
        <v>1530</v>
      </c>
      <c r="B1531" s="2" t="s">
        <v>78</v>
      </c>
      <c r="C1531" s="2" t="s">
        <v>81</v>
      </c>
      <c r="D1531" s="2">
        <v>1061.8458385230042</v>
      </c>
      <c r="E1531" s="2">
        <v>1162.3700311640278</v>
      </c>
      <c r="F1531" s="2">
        <v>645.11845270171762</v>
      </c>
      <c r="G1531" s="2">
        <v>165.56907228194177</v>
      </c>
      <c r="H1531" s="2">
        <v>22.87702412577346</v>
      </c>
      <c r="I1531" s="2">
        <v>0.80837960876990111</v>
      </c>
      <c r="J1531" s="2">
        <v>7</v>
      </c>
      <c r="K1531" s="2">
        <v>187.64978854052399</v>
      </c>
      <c r="L1531" s="2">
        <v>10840</v>
      </c>
      <c r="M1531" s="2">
        <v>1195</v>
      </c>
      <c r="N1531" s="2">
        <v>250.02569365057536</v>
      </c>
      <c r="O1531" s="2">
        <v>2495.8427061348225</v>
      </c>
      <c r="P1531" s="2">
        <v>1061.8458385230042</v>
      </c>
      <c r="Q1531" s="2">
        <v>251.78679552471019</v>
      </c>
      <c r="R1531" s="2">
        <v>2562.1811338905891</v>
      </c>
      <c r="S1531" s="2">
        <v>1050.8267260008797</v>
      </c>
      <c r="T1531" s="2">
        <v>1.7611018741348232</v>
      </c>
      <c r="U1531" s="2">
        <v>66.338427755766588</v>
      </c>
      <c r="V1531" s="2">
        <v>-11.019112522124487</v>
      </c>
    </row>
    <row r="1532" spans="1:22" ht="15">
      <c r="A1532" s="2">
        <v>1531</v>
      </c>
      <c r="B1532" s="2" t="s">
        <v>78</v>
      </c>
      <c r="C1532" s="2" t="s">
        <v>81</v>
      </c>
      <c r="D1532" s="2">
        <v>1006.084891106002</v>
      </c>
      <c r="E1532" s="2">
        <v>1201.3731271610595</v>
      </c>
      <c r="F1532" s="2">
        <v>416.41965843737125</v>
      </c>
      <c r="G1532" s="2">
        <v>127.74228407768533</v>
      </c>
      <c r="H1532" s="2">
        <v>11.02908340934664</v>
      </c>
      <c r="I1532" s="2">
        <v>0.81626730310497808</v>
      </c>
      <c r="J1532" s="2">
        <v>7</v>
      </c>
      <c r="K1532" s="2">
        <v>176.07763102653502</v>
      </c>
      <c r="L1532" s="2">
        <v>12250</v>
      </c>
      <c r="M1532" s="2">
        <v>1200</v>
      </c>
      <c r="N1532" s="2">
        <v>249.96525430741352</v>
      </c>
      <c r="O1532" s="2">
        <v>2504.9611087475987</v>
      </c>
      <c r="P1532" s="2">
        <v>1006.084891106002</v>
      </c>
      <c r="Q1532" s="2">
        <v>252.5530017005658</v>
      </c>
      <c r="R1532" s="2">
        <v>2516.9296010371463</v>
      </c>
      <c r="S1532" s="2">
        <v>1011.9266157976242</v>
      </c>
      <c r="T1532" s="2">
        <v>2.5877473931522843</v>
      </c>
      <c r="U1532" s="2">
        <v>11.968492289547612</v>
      </c>
      <c r="V1532" s="2">
        <v>5.8417246916221757</v>
      </c>
    </row>
    <row r="1533" spans="1:22" ht="15">
      <c r="A1533" s="2">
        <v>1532</v>
      </c>
      <c r="B1533" s="2" t="s">
        <v>78</v>
      </c>
      <c r="C1533" s="2" t="s">
        <v>81</v>
      </c>
      <c r="D1533" s="2">
        <v>1081.2372830114327</v>
      </c>
      <c r="E1533" s="2">
        <v>920.29747101478279</v>
      </c>
      <c r="F1533" s="2">
        <v>535.46773148700595</v>
      </c>
      <c r="G1533" s="2">
        <v>186.36287357192487</v>
      </c>
      <c r="H1533" s="2">
        <v>27.461138527374715</v>
      </c>
      <c r="I1533" s="2">
        <v>0.8180024620890618</v>
      </c>
      <c r="J1533" s="2">
        <v>7</v>
      </c>
      <c r="K1533" s="2">
        <v>188.82885585351187</v>
      </c>
      <c r="L1533" s="2">
        <v>13025</v>
      </c>
      <c r="M1533" s="2">
        <v>1200</v>
      </c>
      <c r="N1533" s="2">
        <v>250.03474438770101</v>
      </c>
      <c r="O1533" s="2">
        <v>2504.3591559564402</v>
      </c>
      <c r="P1533" s="2">
        <v>1081.2372830114327</v>
      </c>
      <c r="Q1533" s="2">
        <v>250.46836712687931</v>
      </c>
      <c r="R1533" s="2">
        <v>2506.3452712612066</v>
      </c>
      <c r="S1533" s="2">
        <v>1071.5355944165747</v>
      </c>
      <c r="T1533" s="2">
        <v>0.43362273917830407</v>
      </c>
      <c r="U1533" s="2">
        <v>1.986115304766372</v>
      </c>
      <c r="V1533" s="2">
        <v>-9.7016885948580693</v>
      </c>
    </row>
    <row r="1534" spans="1:22" ht="15">
      <c r="A1534" s="2">
        <v>1533</v>
      </c>
      <c r="B1534" s="2" t="s">
        <v>78</v>
      </c>
      <c r="C1534" s="2" t="s">
        <v>81</v>
      </c>
      <c r="D1534" s="2">
        <v>1095.1089355628937</v>
      </c>
      <c r="E1534" s="2">
        <v>1190.9714271198027</v>
      </c>
      <c r="F1534" s="2">
        <v>515.0281673297286</v>
      </c>
      <c r="G1534" s="2">
        <v>82.907316025812179</v>
      </c>
      <c r="H1534" s="2">
        <v>17.611787524074316</v>
      </c>
      <c r="I1534" s="2">
        <v>0.80852456201100731</v>
      </c>
      <c r="J1534" s="2">
        <v>7</v>
      </c>
      <c r="K1534" s="2">
        <v>193.49335938876786</v>
      </c>
      <c r="L1534" s="2">
        <v>11955</v>
      </c>
      <c r="M1534" s="2">
        <v>1200</v>
      </c>
      <c r="N1534" s="2">
        <v>250.007246242181</v>
      </c>
      <c r="O1534" s="2">
        <v>2505.2135849072588</v>
      </c>
      <c r="P1534" s="2">
        <v>1095.1089355628937</v>
      </c>
      <c r="Q1534" s="2">
        <v>251.15347057122341</v>
      </c>
      <c r="R1534" s="2">
        <v>2537.1003070899951</v>
      </c>
      <c r="S1534" s="2">
        <v>1093.4000431791287</v>
      </c>
      <c r="T1534" s="2">
        <v>1.1462243290424112</v>
      </c>
      <c r="U1534" s="2">
        <v>31.886722182736321</v>
      </c>
      <c r="V1534" s="2">
        <v>-1.7088923837650327</v>
      </c>
    </row>
    <row r="1535" spans="1:22" ht="15">
      <c r="A1535" s="2">
        <v>1534</v>
      </c>
      <c r="B1535" s="2" t="s">
        <v>78</v>
      </c>
      <c r="C1535" s="2" t="s">
        <v>81</v>
      </c>
      <c r="D1535" s="2">
        <v>1001.4246661332436</v>
      </c>
      <c r="E1535" s="2">
        <v>720.4910772619769</v>
      </c>
      <c r="F1535" s="2">
        <v>635.42995350435376</v>
      </c>
      <c r="G1535" s="2">
        <v>197.36501473933458</v>
      </c>
      <c r="H1535" s="2">
        <v>13.295486601535231</v>
      </c>
      <c r="I1535" s="2">
        <v>0.85691018674056985</v>
      </c>
      <c r="J1535" s="2">
        <v>6</v>
      </c>
      <c r="K1535" s="2">
        <v>194.77433411902896</v>
      </c>
      <c r="L1535" s="2">
        <v>16065</v>
      </c>
      <c r="M1535" s="2">
        <v>1200</v>
      </c>
      <c r="N1535" s="2">
        <v>250.03476195457907</v>
      </c>
      <c r="O1535" s="2">
        <v>2502.5502760526547</v>
      </c>
      <c r="P1535" s="2">
        <v>1001.4246661332436</v>
      </c>
      <c r="Q1535" s="2">
        <v>252.70372840192741</v>
      </c>
      <c r="R1535" s="2">
        <v>2502.2775648428546</v>
      </c>
      <c r="S1535" s="2">
        <v>1011.3514873569226</v>
      </c>
      <c r="T1535" s="2">
        <v>2.668966447348339</v>
      </c>
      <c r="U1535" s="2">
        <v>-0.27271120980003616</v>
      </c>
      <c r="V1535" s="2">
        <v>9.926821223678985</v>
      </c>
    </row>
    <row r="1536" spans="1:22" ht="15">
      <c r="A1536" s="2">
        <v>1535</v>
      </c>
      <c r="B1536" s="2" t="s">
        <v>79</v>
      </c>
      <c r="C1536" s="2" t="s">
        <v>81</v>
      </c>
      <c r="D1536" s="2">
        <v>982.65404256526381</v>
      </c>
      <c r="E1536" s="2">
        <v>1057.6482805539854</v>
      </c>
      <c r="F1536" s="2">
        <v>539.31280300021172</v>
      </c>
      <c r="G1536" s="2">
        <v>322.40069783991203</v>
      </c>
      <c r="H1536" s="2">
        <v>15.09182960446924</v>
      </c>
      <c r="I1536" s="2">
        <v>0.83730050997575745</v>
      </c>
      <c r="J1536" s="2">
        <v>6</v>
      </c>
      <c r="K1536" s="2">
        <v>195.59963455130242</v>
      </c>
      <c r="L1536" s="2">
        <v>13000</v>
      </c>
      <c r="M1536" s="2">
        <v>1200</v>
      </c>
      <c r="N1536" s="2">
        <v>250.01646954399732</v>
      </c>
      <c r="O1536" s="2">
        <v>2504.3768475444435</v>
      </c>
      <c r="P1536" s="2">
        <v>982.65404256526381</v>
      </c>
      <c r="Q1536" s="2">
        <v>253.62335156756041</v>
      </c>
      <c r="R1536" s="2">
        <v>2511.0148571502759</v>
      </c>
      <c r="S1536" s="2">
        <v>983.8994858513372</v>
      </c>
      <c r="T1536" s="2">
        <v>3.6068820235630881</v>
      </c>
      <c r="U1536" s="2">
        <v>6.6380096058323943</v>
      </c>
      <c r="V1536" s="2">
        <v>1.2454432860733959</v>
      </c>
    </row>
    <row r="1537" spans="1:22" ht="15">
      <c r="A1537" s="2">
        <v>1536</v>
      </c>
      <c r="B1537" s="2" t="s">
        <v>79</v>
      </c>
      <c r="C1537" s="2" t="s">
        <v>81</v>
      </c>
      <c r="D1537" s="2">
        <v>1048.7381713348441</v>
      </c>
      <c r="E1537" s="2">
        <v>773.55575151741505</v>
      </c>
      <c r="F1537" s="2">
        <v>405.83920469507575</v>
      </c>
      <c r="G1537" s="2">
        <v>234.13891256321222</v>
      </c>
      <c r="H1537" s="2">
        <v>19.65571211418137</v>
      </c>
      <c r="I1537" s="2">
        <v>0.79445566910319032</v>
      </c>
      <c r="J1537" s="2">
        <v>7</v>
      </c>
      <c r="K1537" s="2">
        <v>188.58162209509109</v>
      </c>
      <c r="L1537" s="2">
        <v>15130</v>
      </c>
      <c r="M1537" s="2">
        <v>1200</v>
      </c>
      <c r="N1537" s="2">
        <v>250.01169872656322</v>
      </c>
      <c r="O1537" s="2">
        <v>2503.0284633569172</v>
      </c>
      <c r="P1537" s="2">
        <v>1048.7381713348441</v>
      </c>
      <c r="Q1537" s="2">
        <v>247.46226656423283</v>
      </c>
      <c r="R1537" s="2">
        <v>2454.1893195394014</v>
      </c>
      <c r="S1537" s="2">
        <v>1059.5626863463751</v>
      </c>
      <c r="T1537" s="2">
        <v>-2.5494321623303904</v>
      </c>
      <c r="U1537" s="2">
        <v>-48.839143817515833</v>
      </c>
      <c r="V1537" s="2">
        <v>10.824515011531048</v>
      </c>
    </row>
    <row r="1538" spans="1:22" ht="15">
      <c r="A1538" s="2">
        <v>1537</v>
      </c>
      <c r="B1538" s="2" t="s">
        <v>79</v>
      </c>
      <c r="C1538" s="2" t="s">
        <v>81</v>
      </c>
      <c r="D1538" s="2">
        <v>1023.6317585222423</v>
      </c>
      <c r="E1538" s="2">
        <v>982.47920231660828</v>
      </c>
      <c r="F1538" s="2">
        <v>717.80322138220072</v>
      </c>
      <c r="G1538" s="2">
        <v>174.68649799237028</v>
      </c>
      <c r="H1538" s="2">
        <v>16.983721414580941</v>
      </c>
      <c r="I1538" s="2">
        <v>0.83480350236641243</v>
      </c>
      <c r="J1538" s="2">
        <v>7</v>
      </c>
      <c r="K1538" s="2">
        <v>175.17069339766093</v>
      </c>
      <c r="L1538" s="2">
        <v>11405</v>
      </c>
      <c r="M1538" s="2">
        <v>1195</v>
      </c>
      <c r="N1538" s="2">
        <v>249.97964433608087</v>
      </c>
      <c r="O1538" s="2">
        <v>2495.274091715753</v>
      </c>
      <c r="P1538" s="2">
        <v>1023.6317585222423</v>
      </c>
      <c r="Q1538" s="2">
        <v>251.9705271576282</v>
      </c>
      <c r="R1538" s="2">
        <v>2471.2865374748944</v>
      </c>
      <c r="S1538" s="2">
        <v>1025.8336525731797</v>
      </c>
      <c r="T1538" s="2">
        <v>1.9908828215473306</v>
      </c>
      <c r="U1538" s="2">
        <v>-23.987554240858572</v>
      </c>
      <c r="V1538" s="2">
        <v>2.2018940509374261</v>
      </c>
    </row>
    <row r="1539" spans="1:22" ht="15">
      <c r="A1539" s="2">
        <v>1538</v>
      </c>
      <c r="B1539" s="2" t="s">
        <v>80</v>
      </c>
      <c r="C1539" s="2" t="s">
        <v>81</v>
      </c>
      <c r="D1539" s="2">
        <v>962.97733240062371</v>
      </c>
      <c r="E1539" s="2">
        <v>945.03882445860654</v>
      </c>
      <c r="F1539" s="2">
        <v>474.75455040112138</v>
      </c>
      <c r="G1539" s="2">
        <v>306.52100981213152</v>
      </c>
      <c r="H1539" s="2">
        <v>24.972958766389638</v>
      </c>
      <c r="I1539" s="2">
        <v>0.80076765491161495</v>
      </c>
      <c r="J1539" s="2">
        <v>7</v>
      </c>
      <c r="K1539" s="2">
        <v>171.79538846150123</v>
      </c>
      <c r="L1539" s="2">
        <v>12390</v>
      </c>
      <c r="M1539" s="2">
        <v>1200</v>
      </c>
      <c r="N1539" s="2">
        <v>250.03842286508967</v>
      </c>
      <c r="O1539" s="2">
        <v>2504.8492212960518</v>
      </c>
      <c r="P1539" s="2">
        <v>962.97733240062371</v>
      </c>
      <c r="Q1539" s="2">
        <v>249.63673384898647</v>
      </c>
      <c r="R1539" s="2">
        <v>2550.880693193506</v>
      </c>
      <c r="S1539" s="2">
        <v>951.35011543496171</v>
      </c>
      <c r="T1539" s="2">
        <v>-0.40168901610320518</v>
      </c>
      <c r="U1539" s="2">
        <v>46.031471897454139</v>
      </c>
      <c r="V1539" s="2">
        <v>-11.627216965662001</v>
      </c>
    </row>
    <row r="1540" spans="1:22" ht="15">
      <c r="A1540" s="2">
        <v>1539</v>
      </c>
      <c r="B1540" s="2" t="s">
        <v>80</v>
      </c>
      <c r="C1540" s="2" t="s">
        <v>81</v>
      </c>
      <c r="D1540" s="2">
        <v>1094.4262627279386</v>
      </c>
      <c r="E1540" s="2">
        <v>861.63547761971131</v>
      </c>
      <c r="F1540" s="2">
        <v>501.89485065639019</v>
      </c>
      <c r="G1540" s="2">
        <v>124.19751063687727</v>
      </c>
      <c r="H1540" s="2">
        <v>22.996066038496792</v>
      </c>
      <c r="I1540" s="2">
        <v>0.79005162269575524</v>
      </c>
      <c r="J1540" s="2">
        <v>7</v>
      </c>
      <c r="K1540" s="2">
        <v>197.89416851984919</v>
      </c>
      <c r="L1540" s="2">
        <v>14375</v>
      </c>
      <c r="M1540" s="2">
        <v>1200</v>
      </c>
      <c r="N1540" s="2">
        <v>250.00384209112346</v>
      </c>
      <c r="O1540" s="2">
        <v>2503.4603612958804</v>
      </c>
      <c r="P1540" s="2">
        <v>1094.4262627279386</v>
      </c>
      <c r="Q1540" s="2">
        <v>250.05425517158307</v>
      </c>
      <c r="R1540" s="2">
        <v>2464.3495435120026</v>
      </c>
      <c r="S1540" s="2">
        <v>1096.722567228413</v>
      </c>
      <c r="T1540" s="2">
        <v>5.0413080459605908E-2</v>
      </c>
      <c r="U1540" s="2">
        <v>-39.110817783877792</v>
      </c>
      <c r="V1540" s="2">
        <v>2.2963045004744345</v>
      </c>
    </row>
    <row r="1541" spans="1:22" ht="15">
      <c r="A1541" s="2">
        <v>1540</v>
      </c>
      <c r="B1541" s="2" t="s">
        <v>80</v>
      </c>
      <c r="C1541" s="2" t="s">
        <v>81</v>
      </c>
      <c r="D1541" s="2">
        <v>979.13014584919438</v>
      </c>
      <c r="E1541" s="2">
        <v>996.19591352529824</v>
      </c>
      <c r="F1541" s="2">
        <v>661.6337719373405</v>
      </c>
      <c r="G1541" s="2">
        <v>266.66324426885694</v>
      </c>
      <c r="H1541" s="2">
        <v>25.220157883595675</v>
      </c>
      <c r="I1541" s="2">
        <v>0.81066491475328806</v>
      </c>
      <c r="J1541" s="2">
        <v>7</v>
      </c>
      <c r="K1541" s="2">
        <v>172.544454034849</v>
      </c>
      <c r="L1541" s="2">
        <v>11110</v>
      </c>
      <c r="M1541" s="2">
        <v>1195</v>
      </c>
      <c r="N1541" s="2">
        <v>249.94592825031705</v>
      </c>
      <c r="O1541" s="2">
        <v>2495.5611796665421</v>
      </c>
      <c r="P1541" s="2">
        <v>979.13014584919438</v>
      </c>
      <c r="Q1541" s="2">
        <v>251.88896063103715</v>
      </c>
      <c r="R1541" s="2">
        <v>2465.8846837546403</v>
      </c>
      <c r="S1541" s="2">
        <v>970.013646425557</v>
      </c>
      <c r="T1541" s="2">
        <v>1.9430323807200978</v>
      </c>
      <c r="U1541" s="2">
        <v>-29.676495911901839</v>
      </c>
      <c r="V1541" s="2">
        <v>-9.1164994236373786</v>
      </c>
    </row>
    <row r="1542" spans="1:22" ht="15">
      <c r="A1542" s="2">
        <v>1541</v>
      </c>
      <c r="B1542" s="2" t="s">
        <v>78</v>
      </c>
      <c r="C1542" s="2" t="s">
        <v>81</v>
      </c>
      <c r="D1542" s="2">
        <v>1095.1689759735018</v>
      </c>
      <c r="E1542" s="2">
        <v>708.95078572211787</v>
      </c>
      <c r="F1542" s="2">
        <v>448.49125575274229</v>
      </c>
      <c r="G1542" s="2">
        <v>112.44313906179741</v>
      </c>
      <c r="H1542" s="2">
        <v>27.805617175996304</v>
      </c>
      <c r="I1542" s="2">
        <v>0.84130163388559598</v>
      </c>
      <c r="J1542" s="2">
        <v>7</v>
      </c>
      <c r="K1542" s="2">
        <v>185.96506241260022</v>
      </c>
      <c r="L1542" s="2">
        <v>16840</v>
      </c>
      <c r="M1542" s="2">
        <v>1200</v>
      </c>
      <c r="N1542" s="2">
        <v>249.98958108685511</v>
      </c>
      <c r="O1542" s="2">
        <v>2502.1922556129398</v>
      </c>
      <c r="P1542" s="2">
        <v>1095.1689759735018</v>
      </c>
      <c r="Q1542" s="2">
        <v>244.56709879101902</v>
      </c>
      <c r="R1542" s="2">
        <v>2460.7094347813386</v>
      </c>
      <c r="S1542" s="2">
        <v>1092.4606292747692</v>
      </c>
      <c r="T1542" s="2">
        <v>-5.4224822958360903</v>
      </c>
      <c r="U1542" s="2">
        <v>-41.482820831601202</v>
      </c>
      <c r="V1542" s="2">
        <v>-2.7083466987326119</v>
      </c>
    </row>
    <row r="1543" spans="1:22" ht="15">
      <c r="A1543" s="2">
        <v>1542</v>
      </c>
      <c r="B1543" s="2" t="s">
        <v>78</v>
      </c>
      <c r="C1543" s="2" t="s">
        <v>81</v>
      </c>
      <c r="D1543" s="2">
        <v>1086.822743632365</v>
      </c>
      <c r="E1543" s="2">
        <v>871.93771933671087</v>
      </c>
      <c r="F1543" s="2">
        <v>525.82961292937398</v>
      </c>
      <c r="G1543" s="2">
        <v>130.55528460070491</v>
      </c>
      <c r="H1543" s="2">
        <v>16.282294376287609</v>
      </c>
      <c r="I1543" s="2">
        <v>0.82576422670390459</v>
      </c>
      <c r="J1543" s="2">
        <v>7</v>
      </c>
      <c r="K1543" s="2">
        <v>188.02024467348676</v>
      </c>
      <c r="L1543" s="2">
        <v>13995</v>
      </c>
      <c r="M1543" s="2">
        <v>1200</v>
      </c>
      <c r="N1543" s="2">
        <v>250.03629597261894</v>
      </c>
      <c r="O1543" s="2">
        <v>2503.6966716173047</v>
      </c>
      <c r="P1543" s="2">
        <v>1086.822743632365</v>
      </c>
      <c r="Q1543" s="2">
        <v>248.64058950217884</v>
      </c>
      <c r="R1543" s="2">
        <v>2502.0182264752257</v>
      </c>
      <c r="S1543" s="2">
        <v>1098.1986069859056</v>
      </c>
      <c r="T1543" s="2">
        <v>-1.3957064704401034</v>
      </c>
      <c r="U1543" s="2">
        <v>-1.6784451420789992</v>
      </c>
      <c r="V1543" s="2">
        <v>11.375863353540581</v>
      </c>
    </row>
    <row r="1544" spans="1:22" ht="15">
      <c r="A1544" s="2">
        <v>1543</v>
      </c>
      <c r="B1544" s="2" t="s">
        <v>78</v>
      </c>
      <c r="C1544" s="2" t="s">
        <v>81</v>
      </c>
      <c r="D1544" s="2">
        <v>1061.3141640322283</v>
      </c>
      <c r="E1544" s="2">
        <v>1225.2824097988196</v>
      </c>
      <c r="F1544" s="2">
        <v>446.37819230556488</v>
      </c>
      <c r="G1544" s="2">
        <v>83.109130950178951</v>
      </c>
      <c r="H1544" s="2">
        <v>11.098641905002296</v>
      </c>
      <c r="I1544" s="2">
        <v>0.80307860702043399</v>
      </c>
      <c r="J1544" s="2">
        <v>7</v>
      </c>
      <c r="K1544" s="2">
        <v>188.79385881039087</v>
      </c>
      <c r="L1544" s="2">
        <v>12185</v>
      </c>
      <c r="M1544" s="2">
        <v>1200</v>
      </c>
      <c r="N1544" s="2">
        <v>249.95432254281985</v>
      </c>
      <c r="O1544" s="2">
        <v>2505.0148655700573</v>
      </c>
      <c r="P1544" s="2">
        <v>1061.3141640322283</v>
      </c>
      <c r="Q1544" s="2">
        <v>252.21240316594964</v>
      </c>
      <c r="R1544" s="2">
        <v>2579.24186919146</v>
      </c>
      <c r="S1544" s="2">
        <v>1065.8325885456909</v>
      </c>
      <c r="T1544" s="2">
        <v>2.2580806231297856</v>
      </c>
      <c r="U1544" s="2">
        <v>74.227003621402673</v>
      </c>
      <c r="V1544" s="2">
        <v>4.5184245134626053</v>
      </c>
    </row>
    <row r="1545" spans="1:22" ht="15">
      <c r="A1545" s="2">
        <v>1544</v>
      </c>
      <c r="B1545" s="2" t="s">
        <v>78</v>
      </c>
      <c r="C1545" s="2" t="s">
        <v>81</v>
      </c>
      <c r="D1545" s="2">
        <v>959.97399137122557</v>
      </c>
      <c r="E1545" s="2">
        <v>1221.3886690326035</v>
      </c>
      <c r="F1545" s="2">
        <v>397.85580104216933</v>
      </c>
      <c r="G1545" s="2">
        <v>124.78556627873331</v>
      </c>
      <c r="H1545" s="2">
        <v>8.3279849565587938</v>
      </c>
      <c r="I1545" s="2">
        <v>0.83566962727345528</v>
      </c>
      <c r="J1545" s="2">
        <v>6</v>
      </c>
      <c r="K1545" s="2">
        <v>191.45803557627968</v>
      </c>
      <c r="L1545" s="2">
        <v>14305</v>
      </c>
      <c r="M1545" s="2">
        <v>1200</v>
      </c>
      <c r="N1545" s="2">
        <v>249.98266624138199</v>
      </c>
      <c r="O1545" s="2">
        <v>2503.5020122693891</v>
      </c>
      <c r="P1545" s="2">
        <v>959.97399137122557</v>
      </c>
      <c r="Q1545" s="2">
        <v>249.47402496562981</v>
      </c>
      <c r="R1545" s="2">
        <v>2494.6633954733729</v>
      </c>
      <c r="S1545" s="2">
        <v>957.06405617182031</v>
      </c>
      <c r="T1545" s="2">
        <v>-0.50864127575218276</v>
      </c>
      <c r="U1545" s="2">
        <v>-8.8386167960161401</v>
      </c>
      <c r="V1545" s="2">
        <v>-2.909935199405254</v>
      </c>
    </row>
    <row r="1546" spans="1:22" ht="15">
      <c r="A1546" s="2">
        <v>1545</v>
      </c>
      <c r="B1546" s="2" t="s">
        <v>78</v>
      </c>
      <c r="C1546" s="2" t="s">
        <v>81</v>
      </c>
      <c r="D1546" s="2">
        <v>1096.6432215645909</v>
      </c>
      <c r="E1546" s="2">
        <v>1006.4016521326266</v>
      </c>
      <c r="F1546" s="2">
        <v>635.20630318671465</v>
      </c>
      <c r="G1546" s="2">
        <v>277.64940958702937</v>
      </c>
      <c r="H1546" s="2">
        <v>24.940866207703948</v>
      </c>
      <c r="I1546" s="2">
        <v>0.79164778032572947</v>
      </c>
      <c r="J1546" s="2">
        <v>7</v>
      </c>
      <c r="K1546" s="2">
        <v>197.89522722075949</v>
      </c>
      <c r="L1546" s="2">
        <v>11145</v>
      </c>
      <c r="M1546" s="2">
        <v>1195</v>
      </c>
      <c r="N1546" s="2">
        <v>250.05120910839156</v>
      </c>
      <c r="O1546" s="2">
        <v>2495.5308293852067</v>
      </c>
      <c r="P1546" s="2">
        <v>1096.6432215645909</v>
      </c>
      <c r="Q1546" s="2">
        <v>251.51938983457634</v>
      </c>
      <c r="R1546" s="2">
        <v>2519.7886223247328</v>
      </c>
      <c r="S1546" s="2">
        <v>1086.5952764219978</v>
      </c>
      <c r="T1546" s="2">
        <v>1.4681807261847837</v>
      </c>
      <c r="U1546" s="2">
        <v>24.257792939526098</v>
      </c>
      <c r="V1546" s="2">
        <v>-10.047945142593107</v>
      </c>
    </row>
    <row r="1547" spans="1:22" ht="15">
      <c r="A1547" s="2">
        <v>1546</v>
      </c>
      <c r="B1547" s="2" t="s">
        <v>78</v>
      </c>
      <c r="C1547" s="2" t="s">
        <v>81</v>
      </c>
      <c r="D1547" s="2">
        <v>987.55711173871532</v>
      </c>
      <c r="E1547" s="2">
        <v>759.58401786629111</v>
      </c>
      <c r="F1547" s="2">
        <v>436.63573572412133</v>
      </c>
      <c r="G1547" s="2">
        <v>231.52086387388408</v>
      </c>
      <c r="H1547" s="2">
        <v>14.596186969894916</v>
      </c>
      <c r="I1547" s="2">
        <v>0.80689405370969325</v>
      </c>
      <c r="J1547" s="2">
        <v>7</v>
      </c>
      <c r="K1547" s="2">
        <v>174.84276497345843</v>
      </c>
      <c r="L1547" s="2">
        <v>14980</v>
      </c>
      <c r="M1547" s="2">
        <v>1200</v>
      </c>
      <c r="N1547" s="2">
        <v>250.02080208936189</v>
      </c>
      <c r="O1547" s="2">
        <v>2503.111163682383</v>
      </c>
      <c r="P1547" s="2">
        <v>987.55711173871532</v>
      </c>
      <c r="Q1547" s="2">
        <v>251.47567847982765</v>
      </c>
      <c r="R1547" s="2">
        <v>2519.4806664032212</v>
      </c>
      <c r="S1547" s="2">
        <v>1000.9954807398171</v>
      </c>
      <c r="T1547" s="2">
        <v>1.4548763904657562</v>
      </c>
      <c r="U1547" s="2">
        <v>16.369502720838227</v>
      </c>
      <c r="V1547" s="2">
        <v>13.438369001101819</v>
      </c>
    </row>
    <row r="1548" spans="1:22" ht="15">
      <c r="A1548" s="2">
        <v>1547</v>
      </c>
      <c r="B1548" s="2" t="s">
        <v>78</v>
      </c>
      <c r="C1548" s="2" t="s">
        <v>81</v>
      </c>
      <c r="D1548" s="2">
        <v>950.32336886506528</v>
      </c>
      <c r="E1548" s="2">
        <v>994.20471439370885</v>
      </c>
      <c r="F1548" s="2">
        <v>630.41253574192524</v>
      </c>
      <c r="G1548" s="2">
        <v>186.55188577948138</v>
      </c>
      <c r="H1548" s="2">
        <v>15.629079432226717</v>
      </c>
      <c r="I1548" s="2">
        <v>0.79838543548015883</v>
      </c>
      <c r="J1548" s="2">
        <v>6</v>
      </c>
      <c r="K1548" s="2">
        <v>198.38441572887851</v>
      </c>
      <c r="L1548" s="2">
        <v>13775</v>
      </c>
      <c r="M1548" s="2">
        <v>1200</v>
      </c>
      <c r="N1548" s="2">
        <v>249.98792031429176</v>
      </c>
      <c r="O1548" s="2">
        <v>2503.8370095205614</v>
      </c>
      <c r="P1548" s="2">
        <v>950.32336886506528</v>
      </c>
      <c r="Q1548" s="2">
        <v>254.31207303434314</v>
      </c>
      <c r="R1548" s="2">
        <v>2489.395062462675</v>
      </c>
      <c r="S1548" s="2">
        <v>944.8523524555967</v>
      </c>
      <c r="T1548" s="2">
        <v>4.3241527200513872</v>
      </c>
      <c r="U1548" s="2">
        <v>-14.441947057886409</v>
      </c>
      <c r="V1548" s="2">
        <v>-5.4710164094685751</v>
      </c>
    </row>
    <row r="1549" spans="1:22" ht="15">
      <c r="A1549" s="2">
        <v>1548</v>
      </c>
      <c r="B1549" s="2" t="s">
        <v>78</v>
      </c>
      <c r="C1549" s="2" t="s">
        <v>81</v>
      </c>
      <c r="D1549" s="2">
        <v>1015.0325419730507</v>
      </c>
      <c r="E1549" s="2">
        <v>935.13084850274026</v>
      </c>
      <c r="F1549" s="2">
        <v>706.33735759183764</v>
      </c>
      <c r="G1549" s="2">
        <v>164.10796418320388</v>
      </c>
      <c r="H1549" s="2">
        <v>18.392715576570481</v>
      </c>
      <c r="I1549" s="2">
        <v>0.82210004758089783</v>
      </c>
      <c r="J1549" s="2">
        <v>7</v>
      </c>
      <c r="K1549" s="2">
        <v>176.38321428150013</v>
      </c>
      <c r="L1549" s="2">
        <v>11845</v>
      </c>
      <c r="M1549" s="2">
        <v>1195</v>
      </c>
      <c r="N1549" s="2">
        <v>250.01507448650042</v>
      </c>
      <c r="O1549" s="2">
        <v>2494.871825752411</v>
      </c>
      <c r="P1549" s="2">
        <v>1015.0325419730507</v>
      </c>
      <c r="Q1549" s="2">
        <v>254.0619464574952</v>
      </c>
      <c r="R1549" s="2">
        <v>2474.3990234856833</v>
      </c>
      <c r="S1549" s="2">
        <v>1011.6633417186663</v>
      </c>
      <c r="T1549" s="2">
        <v>4.046871970994772</v>
      </c>
      <c r="U1549" s="2">
        <v>-20.47280226672774</v>
      </c>
      <c r="V1549" s="2">
        <v>-3.3692002543843955</v>
      </c>
    </row>
    <row r="1550" spans="1:22" ht="15">
      <c r="A1550" s="2">
        <v>1549</v>
      </c>
      <c r="B1550" s="2" t="s">
        <v>78</v>
      </c>
      <c r="C1550" s="2" t="s">
        <v>81</v>
      </c>
      <c r="D1550" s="2">
        <v>1081.6914157476276</v>
      </c>
      <c r="E1550" s="2">
        <v>1203.2325683976524</v>
      </c>
      <c r="F1550" s="2">
        <v>684.98848285526037</v>
      </c>
      <c r="G1550" s="2">
        <v>329.2824008804746</v>
      </c>
      <c r="H1550" s="2">
        <v>16.566145736724138</v>
      </c>
      <c r="I1550" s="2">
        <v>0.84385518774623058</v>
      </c>
      <c r="J1550" s="2">
        <v>7</v>
      </c>
      <c r="K1550" s="2">
        <v>183.12069102699454</v>
      </c>
      <c r="L1550" s="2">
        <v>9645</v>
      </c>
      <c r="M1550" s="2">
        <v>1195</v>
      </c>
      <c r="N1550" s="2">
        <v>250.02413731225889</v>
      </c>
      <c r="O1550" s="2">
        <v>2497.2597455493274</v>
      </c>
      <c r="P1550" s="2">
        <v>1081.6914157476276</v>
      </c>
      <c r="Q1550" s="2">
        <v>255.66190438353956</v>
      </c>
      <c r="R1550" s="2">
        <v>2511.0017422480801</v>
      </c>
      <c r="S1550" s="2">
        <v>1076.9908725906757</v>
      </c>
      <c r="T1550" s="2">
        <v>5.6377670712806776</v>
      </c>
      <c r="U1550" s="2">
        <v>13.7419966987527</v>
      </c>
      <c r="V1550" s="2">
        <v>-4.7005431569518805</v>
      </c>
    </row>
    <row r="1551" spans="1:22" ht="15">
      <c r="A1551" s="2">
        <v>1550</v>
      </c>
      <c r="B1551" s="2" t="s">
        <v>78</v>
      </c>
      <c r="C1551" s="2" t="s">
        <v>81</v>
      </c>
      <c r="D1551" s="2">
        <v>1009.2877188813873</v>
      </c>
      <c r="E1551" s="2">
        <v>711.285360599868</v>
      </c>
      <c r="F1551" s="2">
        <v>607.41334008052945</v>
      </c>
      <c r="G1551" s="2">
        <v>226.45295776426792</v>
      </c>
      <c r="H1551" s="2">
        <v>22.831481392029673</v>
      </c>
      <c r="I1551" s="2">
        <v>0.82422861143480985</v>
      </c>
      <c r="J1551" s="2">
        <v>7</v>
      </c>
      <c r="K1551" s="2">
        <v>174.93200046672007</v>
      </c>
      <c r="L1551" s="2">
        <v>13840</v>
      </c>
      <c r="M1551" s="2">
        <v>1200</v>
      </c>
      <c r="N1551" s="2">
        <v>249.98996071482267</v>
      </c>
      <c r="O1551" s="2">
        <v>2503.7946368341381</v>
      </c>
      <c r="P1551" s="2">
        <v>1009.2877188813873</v>
      </c>
      <c r="Q1551" s="2">
        <v>251.42367405408348</v>
      </c>
      <c r="R1551" s="2">
        <v>2463.0348721968599</v>
      </c>
      <c r="S1551" s="2">
        <v>1009.8693481939905</v>
      </c>
      <c r="T1551" s="2">
        <v>1.4337133392608052</v>
      </c>
      <c r="U1551" s="2">
        <v>-40.759764637278295</v>
      </c>
      <c r="V1551" s="2">
        <v>0.58162931260324058</v>
      </c>
    </row>
    <row r="1552" spans="1:22" ht="15">
      <c r="A1552" s="2">
        <v>1551</v>
      </c>
      <c r="B1552" s="2" t="s">
        <v>78</v>
      </c>
      <c r="C1552" s="2" t="s">
        <v>81</v>
      </c>
      <c r="D1552" s="2">
        <v>1034.9000437417999</v>
      </c>
      <c r="E1552" s="2">
        <v>1166.4512333576567</v>
      </c>
      <c r="F1552" s="2">
        <v>714.70697596669197</v>
      </c>
      <c r="G1552" s="2">
        <v>313.49884193157777</v>
      </c>
      <c r="H1552" s="2">
        <v>27.261717437766492</v>
      </c>
      <c r="I1552" s="2">
        <v>0.80085507077863438</v>
      </c>
      <c r="J1552" s="2">
        <v>7</v>
      </c>
      <c r="K1552" s="2">
        <v>184.60626496120568</v>
      </c>
      <c r="L1552" s="2">
        <v>9745</v>
      </c>
      <c r="M1552" s="2">
        <v>1195</v>
      </c>
      <c r="N1552" s="2">
        <v>250.01408061039504</v>
      </c>
      <c r="O1552" s="2">
        <v>2497.1273062199925</v>
      </c>
      <c r="P1552" s="2">
        <v>1034.9000437417999</v>
      </c>
      <c r="Q1552" s="2">
        <v>249.2929888679746</v>
      </c>
      <c r="R1552" s="2">
        <v>2556.7133578274411</v>
      </c>
      <c r="S1552" s="2">
        <v>1012.2481662870666</v>
      </c>
      <c r="T1552" s="2">
        <v>-0.72109174242044105</v>
      </c>
      <c r="U1552" s="2">
        <v>59.586051607448553</v>
      </c>
      <c r="V1552" s="2">
        <v>-22.651877454733267</v>
      </c>
    </row>
    <row r="1553" spans="1:22" ht="15">
      <c r="A1553" s="2">
        <v>1552</v>
      </c>
      <c r="B1553" s="2" t="s">
        <v>78</v>
      </c>
      <c r="C1553" s="2" t="s">
        <v>81</v>
      </c>
      <c r="D1553" s="2">
        <v>1097.1753440680914</v>
      </c>
      <c r="E1553" s="2">
        <v>924.97892137616873</v>
      </c>
      <c r="F1553" s="2">
        <v>653.10636898502707</v>
      </c>
      <c r="G1553" s="2">
        <v>219.53874458093196</v>
      </c>
      <c r="H1553" s="2">
        <v>11.329970070626587</v>
      </c>
      <c r="I1553" s="2">
        <v>0.82698960720561443</v>
      </c>
      <c r="J1553" s="2">
        <v>7</v>
      </c>
      <c r="K1553" s="2">
        <v>189.52999348624232</v>
      </c>
      <c r="L1553" s="2">
        <v>11895</v>
      </c>
      <c r="M1553" s="2">
        <v>1195</v>
      </c>
      <c r="N1553" s="2">
        <v>249.96449004850078</v>
      </c>
      <c r="O1553" s="2">
        <v>2494.8257276612371</v>
      </c>
      <c r="P1553" s="2">
        <v>1097.1753440680914</v>
      </c>
      <c r="Q1553" s="2">
        <v>252.21686993850346</v>
      </c>
      <c r="R1553" s="2">
        <v>2538.2726975068595</v>
      </c>
      <c r="S1553" s="2">
        <v>1092.410889127061</v>
      </c>
      <c r="T1553" s="2">
        <v>2.2523798900026861</v>
      </c>
      <c r="U1553" s="2">
        <v>43.446969845622334</v>
      </c>
      <c r="V1553" s="2">
        <v>-4.764454941030408</v>
      </c>
    </row>
    <row r="1554" spans="1:22" ht="15">
      <c r="A1554" s="2">
        <v>1553</v>
      </c>
      <c r="B1554" s="2" t="s">
        <v>78</v>
      </c>
      <c r="C1554" s="2" t="s">
        <v>81</v>
      </c>
      <c r="D1554" s="2">
        <v>1003.3277296461165</v>
      </c>
      <c r="E1554" s="2">
        <v>706.59739127149805</v>
      </c>
      <c r="F1554" s="2">
        <v>612.24638316780329</v>
      </c>
      <c r="G1554" s="2">
        <v>177.1059855655767</v>
      </c>
      <c r="H1554" s="2">
        <v>21.168367059901357</v>
      </c>
      <c r="I1554" s="2">
        <v>0.8516441563447007</v>
      </c>
      <c r="J1554" s="2">
        <v>6</v>
      </c>
      <c r="K1554" s="2">
        <v>196.3511250897028</v>
      </c>
      <c r="L1554" s="2">
        <v>16680</v>
      </c>
      <c r="M1554" s="2">
        <v>1200</v>
      </c>
      <c r="N1554" s="2">
        <v>250.02391034479464</v>
      </c>
      <c r="O1554" s="2">
        <v>2502.2641909225199</v>
      </c>
      <c r="P1554" s="2">
        <v>1003.3277296461165</v>
      </c>
      <c r="Q1554" s="2">
        <v>247.25761765351243</v>
      </c>
      <c r="R1554" s="2">
        <v>2452.0063511501216</v>
      </c>
      <c r="S1554" s="2">
        <v>1001.6143313303025</v>
      </c>
      <c r="T1554" s="2">
        <v>-2.7662926912822172</v>
      </c>
      <c r="U1554" s="2">
        <v>-50.257839772398256</v>
      </c>
      <c r="V1554" s="2">
        <v>-1.7133983158139472</v>
      </c>
    </row>
    <row r="1555" spans="1:22" ht="15">
      <c r="A1555" s="2">
        <v>1554</v>
      </c>
      <c r="B1555" s="2" t="s">
        <v>78</v>
      </c>
      <c r="C1555" s="2" t="s">
        <v>81</v>
      </c>
      <c r="D1555" s="2">
        <v>1083.3569164969958</v>
      </c>
      <c r="E1555" s="2">
        <v>1062.9835509927943</v>
      </c>
      <c r="F1555" s="2">
        <v>379.9449005164206</v>
      </c>
      <c r="G1555" s="2">
        <v>161.22455258853734</v>
      </c>
      <c r="H1555" s="2">
        <v>17.452469692099839</v>
      </c>
      <c r="I1555" s="2">
        <v>0.80688825691584498</v>
      </c>
      <c r="J1555" s="2">
        <v>7</v>
      </c>
      <c r="K1555" s="2">
        <v>191.80508881966102</v>
      </c>
      <c r="L1555" s="2">
        <v>13330</v>
      </c>
      <c r="M1555" s="2">
        <v>1200</v>
      </c>
      <c r="N1555" s="2">
        <v>249.97186351713231</v>
      </c>
      <c r="O1555" s="2">
        <v>2504.1380954674537</v>
      </c>
      <c r="P1555" s="2">
        <v>1083.3569164969958</v>
      </c>
      <c r="Q1555" s="2">
        <v>252.6863268077654</v>
      </c>
      <c r="R1555" s="2">
        <v>2481.8181187033128</v>
      </c>
      <c r="S1555" s="2">
        <v>1084.2178241116892</v>
      </c>
      <c r="T1555" s="2">
        <v>2.7144632906330912</v>
      </c>
      <c r="U1555" s="2">
        <v>-22.319976764140847</v>
      </c>
      <c r="V1555" s="2">
        <v>0.8609076146933603</v>
      </c>
    </row>
    <row r="1556" spans="1:22" ht="15">
      <c r="A1556" s="2">
        <v>1555</v>
      </c>
      <c r="B1556" s="2" t="s">
        <v>79</v>
      </c>
      <c r="C1556" s="2" t="s">
        <v>81</v>
      </c>
      <c r="D1556" s="2">
        <v>997.58898036088794</v>
      </c>
      <c r="E1556" s="2">
        <v>742.76341270888224</v>
      </c>
      <c r="F1556" s="2">
        <v>702.60519050061703</v>
      </c>
      <c r="G1556" s="2">
        <v>235.71576793445274</v>
      </c>
      <c r="H1556" s="2">
        <v>16.592151758261025</v>
      </c>
      <c r="I1556" s="2">
        <v>0.8173601835663431</v>
      </c>
      <c r="J1556" s="2">
        <v>7</v>
      </c>
      <c r="K1556" s="2">
        <v>174.35729601888474</v>
      </c>
      <c r="L1556" s="2">
        <v>12720</v>
      </c>
      <c r="M1556" s="2">
        <v>1200</v>
      </c>
      <c r="N1556" s="2">
        <v>249.97225551383767</v>
      </c>
      <c r="O1556" s="2">
        <v>2504.5859283413033</v>
      </c>
      <c r="P1556" s="2">
        <v>997.58898036088794</v>
      </c>
      <c r="Q1556" s="2">
        <v>248.48235971211056</v>
      </c>
      <c r="R1556" s="2">
        <v>2507.3629583464231</v>
      </c>
      <c r="S1556" s="2">
        <v>999.58680258182926</v>
      </c>
      <c r="T1556" s="2">
        <v>-1.4898958017271013</v>
      </c>
      <c r="U1556" s="2">
        <v>2.777030005119741</v>
      </c>
      <c r="V1556" s="2">
        <v>1.9978222209413161</v>
      </c>
    </row>
    <row r="1557" spans="1:22" ht="15">
      <c r="A1557" s="2">
        <v>1556</v>
      </c>
      <c r="B1557" s="2" t="s">
        <v>79</v>
      </c>
      <c r="C1557" s="2" t="s">
        <v>81</v>
      </c>
      <c r="D1557" s="2">
        <v>986.50792887201533</v>
      </c>
      <c r="E1557" s="2">
        <v>1014.7688447032124</v>
      </c>
      <c r="F1557" s="2">
        <v>543.64541349932551</v>
      </c>
      <c r="G1557" s="2">
        <v>158.95759621169418</v>
      </c>
      <c r="H1557" s="2">
        <v>25.762911185156554</v>
      </c>
      <c r="I1557" s="2">
        <v>0.79933535309508441</v>
      </c>
      <c r="J1557" s="2">
        <v>7</v>
      </c>
      <c r="K1557" s="2">
        <v>176.30860886971107</v>
      </c>
      <c r="L1557" s="2">
        <v>12455</v>
      </c>
      <c r="M1557" s="2">
        <v>1200</v>
      </c>
      <c r="N1557" s="2">
        <v>250.04815561161712</v>
      </c>
      <c r="O1557" s="2">
        <v>2504.7971650389163</v>
      </c>
      <c r="P1557" s="2">
        <v>986.50792887201533</v>
      </c>
      <c r="Q1557" s="2">
        <v>251.89193624174848</v>
      </c>
      <c r="R1557" s="2">
        <v>2486.1193157435482</v>
      </c>
      <c r="S1557" s="2">
        <v>973.6322262380661</v>
      </c>
      <c r="T1557" s="2">
        <v>1.8437806301313628</v>
      </c>
      <c r="U1557" s="2">
        <v>-18.677849295368105</v>
      </c>
      <c r="V1557" s="2">
        <v>-12.875702633949231</v>
      </c>
    </row>
    <row r="1558" spans="1:22" ht="15">
      <c r="A1558" s="2">
        <v>1557</v>
      </c>
      <c r="B1558" s="2" t="s">
        <v>79</v>
      </c>
      <c r="C1558" s="2" t="s">
        <v>81</v>
      </c>
      <c r="D1558" s="2">
        <v>1012.9639707971364</v>
      </c>
      <c r="E1558" s="2">
        <v>1201.9056308898143</v>
      </c>
      <c r="F1558" s="2">
        <v>672.27756958454847</v>
      </c>
      <c r="G1558" s="2">
        <v>308.71244355337694</v>
      </c>
      <c r="H1558" s="2">
        <v>20.242795661091805</v>
      </c>
      <c r="I1558" s="2">
        <v>0.8556767816678621</v>
      </c>
      <c r="J1558" s="2">
        <v>6</v>
      </c>
      <c r="K1558" s="2">
        <v>197.30268728002144</v>
      </c>
      <c r="L1558" s="2">
        <v>11430</v>
      </c>
      <c r="M1558" s="2">
        <v>1195</v>
      </c>
      <c r="N1558" s="2">
        <v>250.00459822433911</v>
      </c>
      <c r="O1558" s="2">
        <v>2495.2513937050007</v>
      </c>
      <c r="P1558" s="2">
        <v>1012.9639707971364</v>
      </c>
      <c r="Q1558" s="2">
        <v>253.66763048047295</v>
      </c>
      <c r="R1558" s="2">
        <v>2504.6212785638058</v>
      </c>
      <c r="S1558" s="2">
        <v>997.2171234437177</v>
      </c>
      <c r="T1558" s="2">
        <v>3.663032256133846</v>
      </c>
      <c r="U1558" s="2">
        <v>9.3698848588051078</v>
      </c>
      <c r="V1558" s="2">
        <v>-15.74684735341873</v>
      </c>
    </row>
    <row r="1559" spans="1:22" ht="15">
      <c r="A1559" s="2">
        <v>1558</v>
      </c>
      <c r="B1559" s="2" t="s">
        <v>80</v>
      </c>
      <c r="C1559" s="2" t="s">
        <v>81</v>
      </c>
      <c r="D1559" s="2">
        <v>978.40010869549587</v>
      </c>
      <c r="E1559" s="2">
        <v>930.79178684856743</v>
      </c>
      <c r="F1559" s="2">
        <v>505.3527963347733</v>
      </c>
      <c r="G1559" s="2">
        <v>272.34145479276776</v>
      </c>
      <c r="H1559" s="2">
        <v>27.276921397540718</v>
      </c>
      <c r="I1559" s="2">
        <v>0.82430870821233837</v>
      </c>
      <c r="J1559" s="2">
        <v>6</v>
      </c>
      <c r="K1559" s="2">
        <v>197.82234878510755</v>
      </c>
      <c r="L1559" s="2">
        <v>14605</v>
      </c>
      <c r="M1559" s="2">
        <v>1200</v>
      </c>
      <c r="N1559" s="2">
        <v>250.02408440127624</v>
      </c>
      <c r="O1559" s="2">
        <v>2503.3246619350853</v>
      </c>
      <c r="P1559" s="2">
        <v>978.40010869549587</v>
      </c>
      <c r="Q1559" s="2">
        <v>249.47717927272953</v>
      </c>
      <c r="R1559" s="2">
        <v>2496.0507460543809</v>
      </c>
      <c r="S1559" s="2">
        <v>966.72747693946167</v>
      </c>
      <c r="T1559" s="2">
        <v>-0.54690512854671169</v>
      </c>
      <c r="U1559" s="2">
        <v>-7.2739158807044078</v>
      </c>
      <c r="V1559" s="2">
        <v>-11.672631756034207</v>
      </c>
    </row>
    <row r="1560" spans="1:22" ht="15">
      <c r="A1560" s="2">
        <v>1559</v>
      </c>
      <c r="B1560" s="2" t="s">
        <v>80</v>
      </c>
      <c r="C1560" s="2" t="s">
        <v>81</v>
      </c>
      <c r="D1560" s="2">
        <v>1018.9709735335782</v>
      </c>
      <c r="E1560" s="2">
        <v>1012.2350925696082</v>
      </c>
      <c r="F1560" s="2">
        <v>362.86375969648361</v>
      </c>
      <c r="G1560" s="2">
        <v>170.02248657634482</v>
      </c>
      <c r="H1560" s="2">
        <v>28.986722554080188</v>
      </c>
      <c r="I1560" s="2">
        <v>0.82039535458898172</v>
      </c>
      <c r="J1560" s="2">
        <v>7</v>
      </c>
      <c r="K1560" s="2">
        <v>177.43552680926328</v>
      </c>
      <c r="L1560" s="2">
        <v>13840</v>
      </c>
      <c r="M1560" s="2">
        <v>1200</v>
      </c>
      <c r="N1560" s="2">
        <v>249.98518794688363</v>
      </c>
      <c r="O1560" s="2">
        <v>2503.7944603376695</v>
      </c>
      <c r="P1560" s="2">
        <v>1018.9709735335782</v>
      </c>
      <c r="Q1560" s="2">
        <v>246.40890019661396</v>
      </c>
      <c r="R1560" s="2">
        <v>2548.2080868092303</v>
      </c>
      <c r="S1560" s="2">
        <v>1010.055702510146</v>
      </c>
      <c r="T1560" s="2">
        <v>-3.5762877502696711</v>
      </c>
      <c r="U1560" s="2">
        <v>44.413626471560747</v>
      </c>
      <c r="V1560" s="2">
        <v>-8.915271023432183</v>
      </c>
    </row>
    <row r="1561" spans="1:22" ht="15">
      <c r="A1561" s="2">
        <v>1560</v>
      </c>
      <c r="B1561" s="2" t="s">
        <v>80</v>
      </c>
      <c r="C1561" s="2" t="s">
        <v>81</v>
      </c>
      <c r="D1561" s="2">
        <v>977.3194442386739</v>
      </c>
      <c r="E1561" s="2">
        <v>961.10348990187049</v>
      </c>
      <c r="F1561" s="2">
        <v>682.2911343537271</v>
      </c>
      <c r="G1561" s="2">
        <v>201.77332921419293</v>
      </c>
      <c r="H1561" s="2">
        <v>13.26479779696092</v>
      </c>
      <c r="I1561" s="2">
        <v>0.79237516929395502</v>
      </c>
      <c r="J1561" s="2">
        <v>7</v>
      </c>
      <c r="K1561" s="2">
        <v>176.20070501082625</v>
      </c>
      <c r="L1561" s="2">
        <v>11590</v>
      </c>
      <c r="M1561" s="2">
        <v>1195</v>
      </c>
      <c r="N1561" s="2">
        <v>249.99679633567501</v>
      </c>
      <c r="O1561" s="2">
        <v>2495.1013371420268</v>
      </c>
      <c r="P1561" s="2">
        <v>977.3194442386739</v>
      </c>
      <c r="Q1561" s="2">
        <v>250.78129646955904</v>
      </c>
      <c r="R1561" s="2">
        <v>2457.6518895123609</v>
      </c>
      <c r="S1561" s="2">
        <v>979.22821466801679</v>
      </c>
      <c r="T1561" s="2">
        <v>0.7845001338840234</v>
      </c>
      <c r="U1561" s="2">
        <v>-37.449447629665883</v>
      </c>
      <c r="V1561" s="2">
        <v>1.9087704293428942</v>
      </c>
    </row>
    <row r="1562" spans="1:22" ht="15">
      <c r="A1562" s="2">
        <v>1561</v>
      </c>
      <c r="B1562" s="2" t="s">
        <v>78</v>
      </c>
      <c r="C1562" s="2" t="s">
        <v>81</v>
      </c>
      <c r="D1562" s="2">
        <v>1087.506140768528</v>
      </c>
      <c r="E1562" s="2">
        <v>1225.616029871162</v>
      </c>
      <c r="F1562" s="2">
        <v>581.11721742898226</v>
      </c>
      <c r="G1562" s="2">
        <v>130.48010364407673</v>
      </c>
      <c r="H1562" s="2">
        <v>25.911093203350902</v>
      </c>
      <c r="I1562" s="2">
        <v>0.83329755519749604</v>
      </c>
      <c r="J1562" s="2">
        <v>7</v>
      </c>
      <c r="K1562" s="2">
        <v>186.43762860070916</v>
      </c>
      <c r="L1562" s="2">
        <v>11040</v>
      </c>
      <c r="M1562" s="2">
        <v>1195</v>
      </c>
      <c r="N1562" s="2">
        <v>250.01280567452685</v>
      </c>
      <c r="O1562" s="2">
        <v>2495.6349192486891</v>
      </c>
      <c r="P1562" s="2">
        <v>1087.506140768528</v>
      </c>
      <c r="Q1562" s="2">
        <v>251.57921849287541</v>
      </c>
      <c r="R1562" s="2">
        <v>2501.4201585304399</v>
      </c>
      <c r="S1562" s="2">
        <v>1076.8950449587826</v>
      </c>
      <c r="T1562" s="2">
        <v>1.5664128183485673</v>
      </c>
      <c r="U1562" s="2">
        <v>5.7852392817508189</v>
      </c>
      <c r="V1562" s="2">
        <v>-10.611095809745393</v>
      </c>
    </row>
    <row r="1563" spans="1:22" ht="15">
      <c r="A1563" s="2">
        <v>1562</v>
      </c>
      <c r="B1563" s="2" t="s">
        <v>78</v>
      </c>
      <c r="C1563" s="2" t="s">
        <v>81</v>
      </c>
      <c r="D1563" s="2">
        <v>970.08147003361955</v>
      </c>
      <c r="E1563" s="2">
        <v>1225.3775948891416</v>
      </c>
      <c r="F1563" s="2">
        <v>746.66278818622231</v>
      </c>
      <c r="G1563" s="2">
        <v>93.708038022741675</v>
      </c>
      <c r="H1563" s="2">
        <v>23.928598162252456</v>
      </c>
      <c r="I1563" s="2">
        <v>0.83152119577396666</v>
      </c>
      <c r="J1563" s="2">
        <v>6</v>
      </c>
      <c r="K1563" s="2">
        <v>194.43911451362808</v>
      </c>
      <c r="L1563" s="2">
        <v>12080</v>
      </c>
      <c r="M1563" s="2">
        <v>1200</v>
      </c>
      <c r="N1563" s="2">
        <v>250.04218325495648</v>
      </c>
      <c r="O1563" s="2">
        <v>2505.1072583219106</v>
      </c>
      <c r="P1563" s="2">
        <v>970.08147003361955</v>
      </c>
      <c r="Q1563" s="2">
        <v>252.83747293568959</v>
      </c>
      <c r="R1563" s="2">
        <v>2579.5341878185936</v>
      </c>
      <c r="S1563" s="2">
        <v>962.69224640127447</v>
      </c>
      <c r="T1563" s="2">
        <v>2.7952896807331058</v>
      </c>
      <c r="U1563" s="2">
        <v>74.426929496682988</v>
      </c>
      <c r="V1563" s="2">
        <v>-7.3892236323450788</v>
      </c>
    </row>
    <row r="1564" spans="1:22" ht="15">
      <c r="A1564" s="2">
        <v>1563</v>
      </c>
      <c r="B1564" s="2" t="s">
        <v>78</v>
      </c>
      <c r="C1564" s="2" t="s">
        <v>81</v>
      </c>
      <c r="D1564" s="2">
        <v>1033.3482459886</v>
      </c>
      <c r="E1564" s="2">
        <v>1139.7789378301241</v>
      </c>
      <c r="F1564" s="2">
        <v>466.88361205160618</v>
      </c>
      <c r="G1564" s="2">
        <v>197.98586806980893</v>
      </c>
      <c r="H1564" s="2">
        <v>28.773798489011824</v>
      </c>
      <c r="I1564" s="2">
        <v>0.82857451121089987</v>
      </c>
      <c r="J1564" s="2">
        <v>7</v>
      </c>
      <c r="K1564" s="2">
        <v>178.16282784590379</v>
      </c>
      <c r="L1564" s="2">
        <v>11850</v>
      </c>
      <c r="M1564" s="2">
        <v>1195</v>
      </c>
      <c r="N1564" s="2">
        <v>249.99235318289436</v>
      </c>
      <c r="O1564" s="2">
        <v>2494.8664476232016</v>
      </c>
      <c r="P1564" s="2">
        <v>1033.3482459886</v>
      </c>
      <c r="Q1564" s="2">
        <v>251.27486880034775</v>
      </c>
      <c r="R1564" s="2">
        <v>2554.6820825779646</v>
      </c>
      <c r="S1564" s="2">
        <v>1016.0249850407646</v>
      </c>
      <c r="T1564" s="2">
        <v>1.2825156174533845</v>
      </c>
      <c r="U1564" s="2">
        <v>59.815634954763027</v>
      </c>
      <c r="V1564" s="2">
        <v>-17.323260947835365</v>
      </c>
    </row>
    <row r="1565" spans="1:22" ht="15">
      <c r="A1565" s="2">
        <v>1564</v>
      </c>
      <c r="B1565" s="2" t="s">
        <v>78</v>
      </c>
      <c r="C1565" s="2" t="s">
        <v>81</v>
      </c>
      <c r="D1565" s="2">
        <v>974.94239587103948</v>
      </c>
      <c r="E1565" s="2">
        <v>1149.8888976406306</v>
      </c>
      <c r="F1565" s="2">
        <v>732.02427877113223</v>
      </c>
      <c r="G1565" s="2">
        <v>240.65544250886887</v>
      </c>
      <c r="H1565" s="2">
        <v>13.232397999148816</v>
      </c>
      <c r="I1565" s="2">
        <v>0.83605054549872881</v>
      </c>
      <c r="J1565" s="2">
        <v>6</v>
      </c>
      <c r="K1565" s="2">
        <v>194.35475544712384</v>
      </c>
      <c r="L1565" s="2">
        <v>11755</v>
      </c>
      <c r="M1565" s="2">
        <v>1195</v>
      </c>
      <c r="N1565" s="2">
        <v>250.0073486798311</v>
      </c>
      <c r="O1565" s="2">
        <v>2494.9516401793785</v>
      </c>
      <c r="P1565" s="2">
        <v>974.94239587103948</v>
      </c>
      <c r="Q1565" s="2">
        <v>255.82992880555128</v>
      </c>
      <c r="R1565" s="2">
        <v>2494.0379990304364</v>
      </c>
      <c r="S1565" s="2">
        <v>975.70434249590858</v>
      </c>
      <c r="T1565" s="2">
        <v>5.8225801257201795</v>
      </c>
      <c r="U1565" s="2">
        <v>-0.91364114894213344</v>
      </c>
      <c r="V1565" s="2">
        <v>0.76194662486909692</v>
      </c>
    </row>
    <row r="1566" spans="1:22" ht="15">
      <c r="A1566" s="2">
        <v>1565</v>
      </c>
      <c r="B1566" s="2" t="s">
        <v>78</v>
      </c>
      <c r="C1566" s="2" t="s">
        <v>81</v>
      </c>
      <c r="D1566" s="2">
        <v>1083.745914651081</v>
      </c>
      <c r="E1566" s="2">
        <v>833.97740804357454</v>
      </c>
      <c r="F1566" s="2">
        <v>502.96486970037222</v>
      </c>
      <c r="G1566" s="2">
        <v>295.10325075360015</v>
      </c>
      <c r="H1566" s="2">
        <v>12.178031396120787</v>
      </c>
      <c r="I1566" s="2">
        <v>0.79287357431137939</v>
      </c>
      <c r="J1566" s="2">
        <v>7</v>
      </c>
      <c r="K1566" s="2">
        <v>195.26548741975446</v>
      </c>
      <c r="L1566" s="2">
        <v>13105</v>
      </c>
      <c r="M1566" s="2">
        <v>1200</v>
      </c>
      <c r="N1566" s="2">
        <v>250.02549036997993</v>
      </c>
      <c r="O1566" s="2">
        <v>2504.3004634304898</v>
      </c>
      <c r="P1566" s="2">
        <v>1083.745914651081</v>
      </c>
      <c r="Q1566" s="2">
        <v>253.0703347891631</v>
      </c>
      <c r="R1566" s="2">
        <v>2473.0104400329251</v>
      </c>
      <c r="S1566" s="2">
        <v>1093.5909249644506</v>
      </c>
      <c r="T1566" s="2">
        <v>3.0448444191831641</v>
      </c>
      <c r="U1566" s="2">
        <v>-31.29002339756471</v>
      </c>
      <c r="V1566" s="2">
        <v>9.8450103133695848</v>
      </c>
    </row>
    <row r="1567" spans="1:22" ht="15">
      <c r="A1567" s="2">
        <v>1566</v>
      </c>
      <c r="B1567" s="2" t="s">
        <v>78</v>
      </c>
      <c r="C1567" s="2" t="s">
        <v>81</v>
      </c>
      <c r="D1567" s="2">
        <v>1095.3511476633139</v>
      </c>
      <c r="E1567" s="2">
        <v>1052.7227184502408</v>
      </c>
      <c r="F1567" s="2">
        <v>372.38311963155866</v>
      </c>
      <c r="G1567" s="2">
        <v>177.89494331926107</v>
      </c>
      <c r="H1567" s="2">
        <v>20.280002790037543</v>
      </c>
      <c r="I1567" s="2">
        <v>0.79266503568273039</v>
      </c>
      <c r="J1567" s="2">
        <v>7</v>
      </c>
      <c r="K1567" s="2">
        <v>197.40839867586274</v>
      </c>
      <c r="L1567" s="2">
        <v>13340</v>
      </c>
      <c r="M1567" s="2">
        <v>1200</v>
      </c>
      <c r="N1567" s="2">
        <v>249.97976901217703</v>
      </c>
      <c r="O1567" s="2">
        <v>2504.1313881486917</v>
      </c>
      <c r="P1567" s="2">
        <v>1095.3511476633139</v>
      </c>
      <c r="Q1567" s="2">
        <v>252.21707277083613</v>
      </c>
      <c r="R1567" s="2">
        <v>2480.8727805942663</v>
      </c>
      <c r="S1567" s="2">
        <v>1091.3295108715615</v>
      </c>
      <c r="T1567" s="2">
        <v>2.2373037586590954</v>
      </c>
      <c r="U1567" s="2">
        <v>-23.258607554425453</v>
      </c>
      <c r="V1567" s="2">
        <v>-4.0216367917523712</v>
      </c>
    </row>
    <row r="1568" spans="1:22" ht="15">
      <c r="A1568" s="2">
        <v>1567</v>
      </c>
      <c r="B1568" s="2" t="s">
        <v>78</v>
      </c>
      <c r="C1568" s="2" t="s">
        <v>81</v>
      </c>
      <c r="D1568" s="2">
        <v>1069.1466700518504</v>
      </c>
      <c r="E1568" s="2">
        <v>1234.3057594378479</v>
      </c>
      <c r="F1568" s="2">
        <v>471.64459452033043</v>
      </c>
      <c r="G1568" s="2">
        <v>181.95071384077892</v>
      </c>
      <c r="H1568" s="2">
        <v>14.245607784949243</v>
      </c>
      <c r="I1568" s="2">
        <v>0.81383734831353649</v>
      </c>
      <c r="J1568" s="2">
        <v>7</v>
      </c>
      <c r="K1568" s="2">
        <v>187.67292862061359</v>
      </c>
      <c r="L1568" s="2">
        <v>11330</v>
      </c>
      <c r="M1568" s="2">
        <v>1195</v>
      </c>
      <c r="N1568" s="2">
        <v>250.04852921255258</v>
      </c>
      <c r="O1568" s="2">
        <v>2495.3490586554717</v>
      </c>
      <c r="P1568" s="2">
        <v>1069.1466700518504</v>
      </c>
      <c r="Q1568" s="2">
        <v>254.60388174362041</v>
      </c>
      <c r="R1568" s="2">
        <v>2559.5979763878145</v>
      </c>
      <c r="S1568" s="2">
        <v>1064.439947638617</v>
      </c>
      <c r="T1568" s="2">
        <v>4.5553525310678253</v>
      </c>
      <c r="U1568" s="2">
        <v>64.248917732342761</v>
      </c>
      <c r="V1568" s="2">
        <v>-4.7067224132333649</v>
      </c>
    </row>
    <row r="1569" spans="1:22" ht="15">
      <c r="A1569" s="2">
        <v>1568</v>
      </c>
      <c r="B1569" s="2" t="s">
        <v>78</v>
      </c>
      <c r="C1569" s="2" t="s">
        <v>81</v>
      </c>
      <c r="D1569" s="2">
        <v>1061.1182479071431</v>
      </c>
      <c r="E1569" s="2">
        <v>1193.7006108462811</v>
      </c>
      <c r="F1569" s="2">
        <v>480.90036204084754</v>
      </c>
      <c r="G1569" s="2">
        <v>217.22076930571347</v>
      </c>
      <c r="H1569" s="2">
        <v>26.484011562075466</v>
      </c>
      <c r="I1569" s="2">
        <v>0.84262364248745147</v>
      </c>
      <c r="J1569" s="2">
        <v>7</v>
      </c>
      <c r="K1569" s="2">
        <v>179.90038907773626</v>
      </c>
      <c r="L1569" s="2">
        <v>11305</v>
      </c>
      <c r="M1569" s="2">
        <v>1195</v>
      </c>
      <c r="N1569" s="2">
        <v>250.0152522793193</v>
      </c>
      <c r="O1569" s="2">
        <v>2495.3717865892959</v>
      </c>
      <c r="P1569" s="2">
        <v>1061.1182479071431</v>
      </c>
      <c r="Q1569" s="2">
        <v>247.51156884030888</v>
      </c>
      <c r="R1569" s="2">
        <v>2504.3065968205465</v>
      </c>
      <c r="S1569" s="2">
        <v>1046.833226861163</v>
      </c>
      <c r="T1569" s="2">
        <v>-2.5036834390104161</v>
      </c>
      <c r="U1569" s="2">
        <v>8.9348102312505944</v>
      </c>
      <c r="V1569" s="2">
        <v>-14.285021045980102</v>
      </c>
    </row>
    <row r="1570" spans="1:22" ht="15">
      <c r="A1570" s="2">
        <v>1569</v>
      </c>
      <c r="B1570" s="2" t="s">
        <v>78</v>
      </c>
      <c r="C1570" s="2" t="s">
        <v>81</v>
      </c>
      <c r="D1570" s="2">
        <v>1006.7657924257219</v>
      </c>
      <c r="E1570" s="2">
        <v>1102.8730227961205</v>
      </c>
      <c r="F1570" s="2">
        <v>486.43931988626719</v>
      </c>
      <c r="G1570" s="2">
        <v>300.85054876515642</v>
      </c>
      <c r="H1570" s="2">
        <v>14.045627737417817</v>
      </c>
      <c r="I1570" s="2">
        <v>0.84632811161922294</v>
      </c>
      <c r="J1570" s="2">
        <v>6</v>
      </c>
      <c r="K1570" s="2">
        <v>198.26152107436289</v>
      </c>
      <c r="L1570" s="2">
        <v>13200</v>
      </c>
      <c r="M1570" s="2">
        <v>1200</v>
      </c>
      <c r="N1570" s="2">
        <v>250.00087487929412</v>
      </c>
      <c r="O1570" s="2">
        <v>2504.2311567631664</v>
      </c>
      <c r="P1570" s="2">
        <v>1006.7657924257219</v>
      </c>
      <c r="Q1570" s="2">
        <v>251.84129194747044</v>
      </c>
      <c r="R1570" s="2">
        <v>2552.664856183289</v>
      </c>
      <c r="S1570" s="2">
        <v>1006.7448779820367</v>
      </c>
      <c r="T1570" s="2">
        <v>1.8404170681763219</v>
      </c>
      <c r="U1570" s="2">
        <v>48.433699420122593</v>
      </c>
      <c r="V1570" s="2">
        <v>-2.0914443685228434E-2</v>
      </c>
    </row>
    <row r="1571" spans="1:22" ht="15">
      <c r="A1571" s="2">
        <v>1570</v>
      </c>
      <c r="B1571" s="2" t="s">
        <v>78</v>
      </c>
      <c r="C1571" s="2" t="s">
        <v>81</v>
      </c>
      <c r="D1571" s="2">
        <v>1093.5676978551783</v>
      </c>
      <c r="E1571" s="2">
        <v>633.29120830167085</v>
      </c>
      <c r="F1571" s="2">
        <v>597.34924370422959</v>
      </c>
      <c r="G1571" s="2">
        <v>263.93998243845999</v>
      </c>
      <c r="H1571" s="2">
        <v>8.7291126330383122</v>
      </c>
      <c r="I1571" s="2">
        <v>0.79445137477014216</v>
      </c>
      <c r="J1571" s="2">
        <v>7</v>
      </c>
      <c r="K1571" s="2">
        <v>196.64382465403145</v>
      </c>
      <c r="L1571" s="2">
        <v>14310</v>
      </c>
      <c r="M1571" s="2">
        <v>1200</v>
      </c>
      <c r="N1571" s="2">
        <v>250.0194258484583</v>
      </c>
      <c r="O1571" s="2">
        <v>2503.5002516249874</v>
      </c>
      <c r="P1571" s="2">
        <v>1093.5676978551783</v>
      </c>
      <c r="Q1571" s="2">
        <v>248.89399581098368</v>
      </c>
      <c r="R1571" s="2">
        <v>2515.9373602729129</v>
      </c>
      <c r="S1571" s="2">
        <v>1107.7226141043818</v>
      </c>
      <c r="T1571" s="2">
        <v>-1.1254300374746151</v>
      </c>
      <c r="U1571" s="2">
        <v>12.43710864792547</v>
      </c>
      <c r="V1571" s="2">
        <v>14.154916249203552</v>
      </c>
    </row>
    <row r="1572" spans="1:22" ht="15">
      <c r="A1572" s="2">
        <v>1571</v>
      </c>
      <c r="B1572" s="2" t="s">
        <v>78</v>
      </c>
      <c r="C1572" s="2" t="s">
        <v>81</v>
      </c>
      <c r="D1572" s="2">
        <v>979.50353620108217</v>
      </c>
      <c r="E1572" s="2">
        <v>639.02297631138936</v>
      </c>
      <c r="F1572" s="2">
        <v>579.59316782653332</v>
      </c>
      <c r="G1572" s="2">
        <v>118.81478094263002</v>
      </c>
      <c r="H1572" s="2">
        <v>28.439366151578724</v>
      </c>
      <c r="I1572" s="2">
        <v>0.81270848356885839</v>
      </c>
      <c r="J1572" s="2">
        <v>7</v>
      </c>
      <c r="K1572" s="2">
        <v>172.17622238380241</v>
      </c>
      <c r="L1572" s="2">
        <v>15990</v>
      </c>
      <c r="M1572" s="2">
        <v>1200</v>
      </c>
      <c r="N1572" s="2">
        <v>249.99726494693815</v>
      </c>
      <c r="O1572" s="2">
        <v>2502.585452901079</v>
      </c>
      <c r="P1572" s="2">
        <v>979.50353620108217</v>
      </c>
      <c r="Q1572" s="2">
        <v>248.00465128518354</v>
      </c>
      <c r="R1572" s="2">
        <v>2501.1940280856347</v>
      </c>
      <c r="S1572" s="2">
        <v>976.54378387503698</v>
      </c>
      <c r="T1572" s="2">
        <v>-1.9926136617546035</v>
      </c>
      <c r="U1572" s="2">
        <v>-1.3914248154442248</v>
      </c>
      <c r="V1572" s="2">
        <v>-2.9597523260451908</v>
      </c>
    </row>
    <row r="1573" spans="1:22" ht="15">
      <c r="A1573" s="2">
        <v>1572</v>
      </c>
      <c r="B1573" s="2" t="s">
        <v>78</v>
      </c>
      <c r="C1573" s="2" t="s">
        <v>81</v>
      </c>
      <c r="D1573" s="2">
        <v>1073.9626328810118</v>
      </c>
      <c r="E1573" s="2">
        <v>1193.2613358367234</v>
      </c>
      <c r="F1573" s="2">
        <v>521.37095658108592</v>
      </c>
      <c r="G1573" s="2">
        <v>164.95645073708147</v>
      </c>
      <c r="H1573" s="2">
        <v>25.175851769279689</v>
      </c>
      <c r="I1573" s="2">
        <v>0.79591740442439918</v>
      </c>
      <c r="J1573" s="2">
        <v>7</v>
      </c>
      <c r="K1573" s="2">
        <v>192.76275705978608</v>
      </c>
      <c r="L1573" s="2">
        <v>11380</v>
      </c>
      <c r="M1573" s="2">
        <v>1195</v>
      </c>
      <c r="N1573" s="2">
        <v>250.04648533252089</v>
      </c>
      <c r="O1573" s="2">
        <v>2495.3008725666878</v>
      </c>
      <c r="P1573" s="2">
        <v>1073.9626328810118</v>
      </c>
      <c r="Q1573" s="2">
        <v>251.82321146416317</v>
      </c>
      <c r="R1573" s="2">
        <v>2537.7797483169084</v>
      </c>
      <c r="S1573" s="2">
        <v>1060.8404027445808</v>
      </c>
      <c r="T1573" s="2">
        <v>1.7767261316422776</v>
      </c>
      <c r="U1573" s="2">
        <v>42.478875750220595</v>
      </c>
      <c r="V1573" s="2">
        <v>-13.122230136430971</v>
      </c>
    </row>
    <row r="1574" spans="1:22" ht="15">
      <c r="A1574" s="2">
        <v>1573</v>
      </c>
      <c r="B1574" s="2" t="s">
        <v>78</v>
      </c>
      <c r="C1574" s="2" t="s">
        <v>81</v>
      </c>
      <c r="D1574" s="2">
        <v>1016.5766722057015</v>
      </c>
      <c r="E1574" s="2">
        <v>906.42469505546615</v>
      </c>
      <c r="F1574" s="2">
        <v>730.91161977499723</v>
      </c>
      <c r="G1574" s="2">
        <v>210.20822900580242</v>
      </c>
      <c r="H1574" s="2">
        <v>22.203453131020069</v>
      </c>
      <c r="I1574" s="2">
        <v>0.8409612936736085</v>
      </c>
      <c r="J1574" s="2">
        <v>7</v>
      </c>
      <c r="K1574" s="2">
        <v>172.68956369220624</v>
      </c>
      <c r="L1574" s="2">
        <v>11575</v>
      </c>
      <c r="M1574" s="2">
        <v>1195</v>
      </c>
      <c r="N1574" s="2">
        <v>249.99505747084854</v>
      </c>
      <c r="O1574" s="2">
        <v>2495.1151141056685</v>
      </c>
      <c r="P1574" s="2">
        <v>1016.5766722057015</v>
      </c>
      <c r="Q1574" s="2">
        <v>248.67947540349607</v>
      </c>
      <c r="R1574" s="2">
        <v>2466.6948275351383</v>
      </c>
      <c r="S1574" s="2">
        <v>1010.3732631880698</v>
      </c>
      <c r="T1574" s="2">
        <v>-1.3155820673524659</v>
      </c>
      <c r="U1574" s="2">
        <v>-28.420286570530152</v>
      </c>
      <c r="V1574" s="2">
        <v>-6.2034090176316568</v>
      </c>
    </row>
    <row r="1575" spans="1:22" ht="15">
      <c r="A1575" s="2">
        <v>1574</v>
      </c>
      <c r="B1575" s="2" t="s">
        <v>78</v>
      </c>
      <c r="C1575" s="2" t="s">
        <v>81</v>
      </c>
      <c r="D1575" s="2">
        <v>1074.3295068969019</v>
      </c>
      <c r="E1575" s="2">
        <v>634.13696659263223</v>
      </c>
      <c r="F1575" s="2">
        <v>527.08417447283864</v>
      </c>
      <c r="G1575" s="2">
        <v>286.21349429711699</v>
      </c>
      <c r="H1575" s="2">
        <v>14.653847365174443</v>
      </c>
      <c r="I1575" s="2">
        <v>0.84879685760941359</v>
      </c>
      <c r="J1575" s="2">
        <v>7</v>
      </c>
      <c r="K1575" s="2">
        <v>180.81551842059085</v>
      </c>
      <c r="L1575" s="2">
        <v>14775</v>
      </c>
      <c r="M1575" s="2">
        <v>1200</v>
      </c>
      <c r="N1575" s="2">
        <v>250.00084412996867</v>
      </c>
      <c r="O1575" s="2">
        <v>2503.2258064993725</v>
      </c>
      <c r="P1575" s="2">
        <v>1074.3295068969019</v>
      </c>
      <c r="Q1575" s="2">
        <v>250.23132746007343</v>
      </c>
      <c r="R1575" s="2">
        <v>2448.5906794349935</v>
      </c>
      <c r="S1575" s="2">
        <v>1084.311252128713</v>
      </c>
      <c r="T1575" s="2">
        <v>0.23048333010476085</v>
      </c>
      <c r="U1575" s="2">
        <v>-54.635127064379049</v>
      </c>
      <c r="V1575" s="2">
        <v>9.9817452318111464</v>
      </c>
    </row>
    <row r="1576" spans="1:22" ht="15">
      <c r="A1576" s="2">
        <v>1575</v>
      </c>
      <c r="B1576" s="2" t="s">
        <v>79</v>
      </c>
      <c r="C1576" s="2" t="s">
        <v>81</v>
      </c>
      <c r="D1576" s="2">
        <v>1056.009618495591</v>
      </c>
      <c r="E1576" s="2">
        <v>797.758467879612</v>
      </c>
      <c r="F1576" s="2">
        <v>606.73322677612305</v>
      </c>
      <c r="G1576" s="2">
        <v>185.4541970952414</v>
      </c>
      <c r="H1576" s="2">
        <v>26.166451591067016</v>
      </c>
      <c r="I1576" s="2">
        <v>0.79645309708779677</v>
      </c>
      <c r="J1576" s="2">
        <v>7</v>
      </c>
      <c r="K1576" s="2">
        <v>189.41293276346155</v>
      </c>
      <c r="L1576" s="2">
        <v>13450</v>
      </c>
      <c r="M1576" s="2">
        <v>1200</v>
      </c>
      <c r="N1576" s="2">
        <v>249.98856769656655</v>
      </c>
      <c r="O1576" s="2">
        <v>2504.0553930250608</v>
      </c>
      <c r="P1576" s="2">
        <v>1056.009618495591</v>
      </c>
      <c r="Q1576" s="2">
        <v>251.35030897306399</v>
      </c>
      <c r="R1576" s="2">
        <v>2458.6717556348281</v>
      </c>
      <c r="S1576" s="2">
        <v>1051.9755500224667</v>
      </c>
      <c r="T1576" s="2">
        <v>1.3617412764974404</v>
      </c>
      <c r="U1576" s="2">
        <v>-45.383637390232707</v>
      </c>
      <c r="V1576" s="2">
        <v>-4.0340684731243073</v>
      </c>
    </row>
    <row r="1577" spans="1:22" ht="15">
      <c r="A1577" s="2">
        <v>1576</v>
      </c>
      <c r="B1577" s="2" t="s">
        <v>79</v>
      </c>
      <c r="C1577" s="2" t="s">
        <v>81</v>
      </c>
      <c r="D1577" s="2">
        <v>986.12392105860636</v>
      </c>
      <c r="E1577" s="2">
        <v>838.81118157878518</v>
      </c>
      <c r="F1577" s="2">
        <v>648.74560600146651</v>
      </c>
      <c r="G1577" s="2">
        <v>95.160487615503371</v>
      </c>
      <c r="H1577" s="2">
        <v>14.130536628421396</v>
      </c>
      <c r="I1577" s="2">
        <v>0.79214746803976599</v>
      </c>
      <c r="J1577" s="2">
        <v>7</v>
      </c>
      <c r="K1577" s="2">
        <v>177.83916701030628</v>
      </c>
      <c r="L1577" s="2">
        <v>13510</v>
      </c>
      <c r="M1577" s="2">
        <v>1200</v>
      </c>
      <c r="N1577" s="2">
        <v>249.96185834605458</v>
      </c>
      <c r="O1577" s="2">
        <v>2504.0133138023693</v>
      </c>
      <c r="P1577" s="2">
        <v>986.12392105860636</v>
      </c>
      <c r="Q1577" s="2">
        <v>252.28105846680896</v>
      </c>
      <c r="R1577" s="2">
        <v>2491.2065316596231</v>
      </c>
      <c r="S1577" s="2">
        <v>995.49375010062113</v>
      </c>
      <c r="T1577" s="2">
        <v>2.319200120754374</v>
      </c>
      <c r="U1577" s="2">
        <v>-12.806782142746215</v>
      </c>
      <c r="V1577" s="2">
        <v>9.3698290420147714</v>
      </c>
    </row>
    <row r="1578" spans="1:22" ht="15">
      <c r="A1578" s="2">
        <v>1577</v>
      </c>
      <c r="B1578" s="2" t="s">
        <v>79</v>
      </c>
      <c r="C1578" s="2" t="s">
        <v>81</v>
      </c>
      <c r="D1578" s="2">
        <v>1034.7065953537822</v>
      </c>
      <c r="E1578" s="2">
        <v>734.51295088743791</v>
      </c>
      <c r="F1578" s="2">
        <v>364.16621226817369</v>
      </c>
      <c r="G1578" s="2">
        <v>148.06429434800521</v>
      </c>
      <c r="H1578" s="2">
        <v>10.513861378654838</v>
      </c>
      <c r="I1578" s="2">
        <v>0.82915163905592637</v>
      </c>
      <c r="J1578" s="2">
        <v>7</v>
      </c>
      <c r="K1578" s="2">
        <v>178.27285257011113</v>
      </c>
      <c r="L1578" s="2">
        <v>17155</v>
      </c>
      <c r="M1578" s="2">
        <v>1200</v>
      </c>
      <c r="N1578" s="2">
        <v>250.02454688537028</v>
      </c>
      <c r="O1578" s="2">
        <v>2502.0575430148201</v>
      </c>
      <c r="P1578" s="2">
        <v>1034.7065953537822</v>
      </c>
      <c r="Q1578" s="2">
        <v>248.31778498700891</v>
      </c>
      <c r="R1578" s="2">
        <v>2512.4979927819759</v>
      </c>
      <c r="S1578" s="2">
        <v>1047.9601425112103</v>
      </c>
      <c r="T1578" s="2">
        <v>-1.7067618983613784</v>
      </c>
      <c r="U1578" s="2">
        <v>10.440449767155769</v>
      </c>
      <c r="V1578" s="2">
        <v>13.253547157428102</v>
      </c>
    </row>
    <row r="1579" spans="1:22" ht="15">
      <c r="A1579" s="2">
        <v>1578</v>
      </c>
      <c r="B1579" s="2" t="s">
        <v>80</v>
      </c>
      <c r="C1579" s="2" t="s">
        <v>81</v>
      </c>
      <c r="D1579" s="2">
        <v>1039.3589463667013</v>
      </c>
      <c r="E1579" s="2">
        <v>970.98199392203242</v>
      </c>
      <c r="F1579" s="2">
        <v>661.92446360364556</v>
      </c>
      <c r="G1579" s="2">
        <v>181.37940454296768</v>
      </c>
      <c r="H1579" s="2">
        <v>17.888021130580455</v>
      </c>
      <c r="I1579" s="2">
        <v>0.80134596538264313</v>
      </c>
      <c r="J1579" s="2">
        <v>7</v>
      </c>
      <c r="K1579" s="2">
        <v>185.28807268663056</v>
      </c>
      <c r="L1579" s="2">
        <v>11785</v>
      </c>
      <c r="M1579" s="2">
        <v>1195</v>
      </c>
      <c r="N1579" s="2">
        <v>249.94853800772344</v>
      </c>
      <c r="O1579" s="2">
        <v>2494.9223153566891</v>
      </c>
      <c r="P1579" s="2">
        <v>1039.3589463667013</v>
      </c>
      <c r="Q1579" s="2">
        <v>249.13498999441472</v>
      </c>
      <c r="R1579" s="2">
        <v>2504.6790600537356</v>
      </c>
      <c r="S1579" s="2">
        <v>1033.5899447305751</v>
      </c>
      <c r="T1579" s="2">
        <v>-0.81354801330871851</v>
      </c>
      <c r="U1579" s="2">
        <v>9.7567446970465426</v>
      </c>
      <c r="V1579" s="2">
        <v>-5.7690016361261769</v>
      </c>
    </row>
    <row r="1580" spans="1:22" ht="15">
      <c r="A1580" s="2">
        <v>1579</v>
      </c>
      <c r="B1580" s="2" t="s">
        <v>80</v>
      </c>
      <c r="C1580" s="2" t="s">
        <v>81</v>
      </c>
      <c r="D1580" s="2">
        <v>1006.0742868809029</v>
      </c>
      <c r="E1580" s="2">
        <v>763.71606724569574</v>
      </c>
      <c r="F1580" s="2">
        <v>590.17004556953907</v>
      </c>
      <c r="G1580" s="2">
        <v>292.2055163490586</v>
      </c>
      <c r="H1580" s="2">
        <v>25.258376077748835</v>
      </c>
      <c r="I1580" s="2">
        <v>0.85247280544368553</v>
      </c>
      <c r="J1580" s="2">
        <v>6</v>
      </c>
      <c r="K1580" s="2">
        <v>196.69723977436689</v>
      </c>
      <c r="L1580" s="2">
        <v>15155</v>
      </c>
      <c r="M1580" s="2">
        <v>1200</v>
      </c>
      <c r="N1580" s="2">
        <v>249.96469663406816</v>
      </c>
      <c r="O1580" s="2">
        <v>2503.0133387928777</v>
      </c>
      <c r="P1580" s="2">
        <v>1006.0742868809029</v>
      </c>
      <c r="Q1580" s="2">
        <v>249.58631155822039</v>
      </c>
      <c r="R1580" s="2">
        <v>2503.4494659473548</v>
      </c>
      <c r="S1580" s="2">
        <v>998.06580279508796</v>
      </c>
      <c r="T1580" s="2">
        <v>-0.37838507584777403</v>
      </c>
      <c r="U1580" s="2">
        <v>0.43612715447716255</v>
      </c>
      <c r="V1580" s="2">
        <v>-8.0084840858149846</v>
      </c>
    </row>
    <row r="1581" spans="1:22" ht="15">
      <c r="A1581" s="2">
        <v>1580</v>
      </c>
      <c r="B1581" s="2" t="s">
        <v>80</v>
      </c>
      <c r="C1581" s="2" t="s">
        <v>81</v>
      </c>
      <c r="D1581" s="2">
        <v>1052.2288991487585</v>
      </c>
      <c r="E1581" s="2">
        <v>789.65172707103193</v>
      </c>
      <c r="F1581" s="2">
        <v>685.04436416551471</v>
      </c>
      <c r="G1581" s="2">
        <v>214.18112031649798</v>
      </c>
      <c r="H1581" s="2">
        <v>20.171439457219094</v>
      </c>
      <c r="I1581" s="2">
        <v>0.79781461868435144</v>
      </c>
      <c r="J1581" s="2">
        <v>7</v>
      </c>
      <c r="K1581" s="2">
        <v>188.41270972446364</v>
      </c>
      <c r="L1581" s="2">
        <v>12665</v>
      </c>
      <c r="M1581" s="2">
        <v>1200</v>
      </c>
      <c r="N1581" s="2">
        <v>250.04524831063759</v>
      </c>
      <c r="O1581" s="2">
        <v>2504.6312920238929</v>
      </c>
      <c r="P1581" s="2">
        <v>1052.2288991487585</v>
      </c>
      <c r="Q1581" s="2">
        <v>250.1708013366927</v>
      </c>
      <c r="R1581" s="2">
        <v>2454.1791007718452</v>
      </c>
      <c r="S1581" s="2">
        <v>1055.8829285910945</v>
      </c>
      <c r="T1581" s="2">
        <v>0.12555302605511542</v>
      </c>
      <c r="U1581" s="2">
        <v>-50.452191252047669</v>
      </c>
      <c r="V1581" s="2">
        <v>3.6540294423359683</v>
      </c>
    </row>
    <row r="1582" spans="1:22" ht="15">
      <c r="A1582" s="2">
        <v>1581</v>
      </c>
      <c r="B1582" s="2" t="s">
        <v>78</v>
      </c>
      <c r="C1582" s="2" t="s">
        <v>81</v>
      </c>
      <c r="D1582" s="2">
        <v>1049.9594134744257</v>
      </c>
      <c r="E1582" s="2">
        <v>721.86942872358486</v>
      </c>
      <c r="F1582" s="2">
        <v>512.64018919318914</v>
      </c>
      <c r="G1582" s="2">
        <v>302.08998893620446</v>
      </c>
      <c r="H1582" s="2">
        <v>21.010890547186136</v>
      </c>
      <c r="I1582" s="2">
        <v>0.80203220583731316</v>
      </c>
      <c r="J1582" s="2">
        <v>7</v>
      </c>
      <c r="K1582" s="2">
        <v>187.01767938149763</v>
      </c>
      <c r="L1582" s="2">
        <v>13920</v>
      </c>
      <c r="M1582" s="2">
        <v>1200</v>
      </c>
      <c r="N1582" s="2">
        <v>250.04331383037871</v>
      </c>
      <c r="O1582" s="2">
        <v>2503.7448536314128</v>
      </c>
      <c r="P1582" s="2">
        <v>1049.9594134744257</v>
      </c>
      <c r="Q1582" s="2">
        <v>247.36673570257838</v>
      </c>
      <c r="R1582" s="2">
        <v>2514.5636149318852</v>
      </c>
      <c r="S1582" s="2">
        <v>1050.4562541244015</v>
      </c>
      <c r="T1582" s="2">
        <v>-2.676578127800326</v>
      </c>
      <c r="U1582" s="2">
        <v>10.818761300472488</v>
      </c>
      <c r="V1582" s="2">
        <v>0.49684064997586574</v>
      </c>
    </row>
    <row r="1583" spans="1:22" ht="15">
      <c r="A1583" s="2">
        <v>1582</v>
      </c>
      <c r="B1583" s="2" t="s">
        <v>78</v>
      </c>
      <c r="C1583" s="2" t="s">
        <v>81</v>
      </c>
      <c r="D1583" s="2">
        <v>1023.2830127817579</v>
      </c>
      <c r="E1583" s="2">
        <v>999.7965895337984</v>
      </c>
      <c r="F1583" s="2">
        <v>517.16180192306638</v>
      </c>
      <c r="G1583" s="2">
        <v>262.98323825001717</v>
      </c>
      <c r="H1583" s="2">
        <v>28.562529067043215</v>
      </c>
      <c r="I1583" s="2">
        <v>0.85010077662300321</v>
      </c>
      <c r="J1583" s="2">
        <v>7</v>
      </c>
      <c r="K1583" s="2">
        <v>171.95995058486986</v>
      </c>
      <c r="L1583" s="2">
        <v>12015</v>
      </c>
      <c r="M1583" s="2">
        <v>1200</v>
      </c>
      <c r="N1583" s="2">
        <v>250.00303350573731</v>
      </c>
      <c r="O1583" s="2">
        <v>2505.1613962148494</v>
      </c>
      <c r="P1583" s="2">
        <v>1023.2830127817579</v>
      </c>
      <c r="Q1583" s="2">
        <v>248.32346981789649</v>
      </c>
      <c r="R1583" s="2">
        <v>2520.8734442800619</v>
      </c>
      <c r="S1583" s="2">
        <v>1008.5036109065795</v>
      </c>
      <c r="T1583" s="2">
        <v>-1.6795636878408118</v>
      </c>
      <c r="U1583" s="2">
        <v>15.712048065212457</v>
      </c>
      <c r="V1583" s="2">
        <v>-14.779401875178337</v>
      </c>
    </row>
    <row r="1584" spans="1:22" ht="15">
      <c r="A1584" s="2">
        <v>1583</v>
      </c>
      <c r="B1584" s="2" t="s">
        <v>78</v>
      </c>
      <c r="C1584" s="2" t="s">
        <v>81</v>
      </c>
      <c r="D1584" s="2">
        <v>961.88241636846215</v>
      </c>
      <c r="E1584" s="2">
        <v>879.56894497619942</v>
      </c>
      <c r="F1584" s="2">
        <v>566.35734811425209</v>
      </c>
      <c r="G1584" s="2">
        <v>273.31066537415609</v>
      </c>
      <c r="H1584" s="2">
        <v>29.498304112814367</v>
      </c>
      <c r="I1584" s="2">
        <v>0.84678552007069818</v>
      </c>
      <c r="J1584" s="2">
        <v>6</v>
      </c>
      <c r="K1584" s="2">
        <v>189.32035593620654</v>
      </c>
      <c r="L1584" s="2">
        <v>14510</v>
      </c>
      <c r="M1584" s="2">
        <v>1200</v>
      </c>
      <c r="N1584" s="2">
        <v>249.96091253953398</v>
      </c>
      <c r="O1584" s="2">
        <v>2503.3783047279549</v>
      </c>
      <c r="P1584" s="2">
        <v>961.88241636846215</v>
      </c>
      <c r="Q1584" s="2">
        <v>246.50343587757413</v>
      </c>
      <c r="R1584" s="2">
        <v>2509.7633011132589</v>
      </c>
      <c r="S1584" s="2">
        <v>952.6592718373721</v>
      </c>
      <c r="T1584" s="2">
        <v>-3.4574766619598449</v>
      </c>
      <c r="U1584" s="2">
        <v>6.3849963853040208</v>
      </c>
      <c r="V1584" s="2">
        <v>-9.2231445310900426</v>
      </c>
    </row>
    <row r="1585" spans="1:22" ht="15">
      <c r="A1585" s="2">
        <v>1584</v>
      </c>
      <c r="B1585" s="2" t="s">
        <v>78</v>
      </c>
      <c r="C1585" s="2" t="s">
        <v>81</v>
      </c>
      <c r="D1585" s="2">
        <v>1034.2093083891086</v>
      </c>
      <c r="E1585" s="2">
        <v>1182.6451668515801</v>
      </c>
      <c r="F1585" s="2">
        <v>534.49095925316215</v>
      </c>
      <c r="G1585" s="2">
        <v>272.73628678638488</v>
      </c>
      <c r="H1585" s="2">
        <v>23.556648844387382</v>
      </c>
      <c r="I1585" s="2">
        <v>0.84762654325924813</v>
      </c>
      <c r="J1585" s="2">
        <v>7</v>
      </c>
      <c r="K1585" s="2">
        <v>174.30339822138154</v>
      </c>
      <c r="L1585" s="2">
        <v>10745</v>
      </c>
      <c r="M1585" s="2">
        <v>1195</v>
      </c>
      <c r="N1585" s="2">
        <v>249.9466371894805</v>
      </c>
      <c r="O1585" s="2">
        <v>2495.9401809345472</v>
      </c>
      <c r="P1585" s="2">
        <v>1034.2093083891086</v>
      </c>
      <c r="Q1585" s="2">
        <v>251.96093306161276</v>
      </c>
      <c r="R1585" s="2">
        <v>2514.0331701717646</v>
      </c>
      <c r="S1585" s="2">
        <v>1027.6624229928664</v>
      </c>
      <c r="T1585" s="2">
        <v>2.0142958721322657</v>
      </c>
      <c r="U1585" s="2">
        <v>18.092989237217353</v>
      </c>
      <c r="V1585" s="2">
        <v>-6.54688539624226</v>
      </c>
    </row>
    <row r="1586" spans="1:22" ht="15">
      <c r="A1586" s="2">
        <v>1585</v>
      </c>
      <c r="B1586" s="2" t="s">
        <v>78</v>
      </c>
      <c r="C1586" s="2" t="s">
        <v>81</v>
      </c>
      <c r="D1586" s="2">
        <v>1010.0621272809803</v>
      </c>
      <c r="E1586" s="2">
        <v>1023.8978022127412</v>
      </c>
      <c r="F1586" s="2">
        <v>745.49067411571741</v>
      </c>
      <c r="G1586" s="2">
        <v>210.47478353837505</v>
      </c>
      <c r="H1586" s="2">
        <v>16.631586210802197</v>
      </c>
      <c r="I1586" s="2">
        <v>0.79073509841458878</v>
      </c>
      <c r="J1586" s="2">
        <v>7</v>
      </c>
      <c r="K1586" s="2">
        <v>182.48157935682502</v>
      </c>
      <c r="L1586" s="2">
        <v>10800</v>
      </c>
      <c r="M1586" s="2">
        <v>1195</v>
      </c>
      <c r="N1586" s="2">
        <v>249.96215552285989</v>
      </c>
      <c r="O1586" s="2">
        <v>2495.8821584249686</v>
      </c>
      <c r="P1586" s="2">
        <v>1010.0621272809803</v>
      </c>
      <c r="Q1586" s="2">
        <v>249.91767488558733</v>
      </c>
      <c r="R1586" s="2">
        <v>2543.974770015825</v>
      </c>
      <c r="S1586" s="2">
        <v>1006.4453038351829</v>
      </c>
      <c r="T1586" s="2">
        <v>-4.4480637272556578E-2</v>
      </c>
      <c r="U1586" s="2">
        <v>48.09261159085645</v>
      </c>
      <c r="V1586" s="2">
        <v>-3.6168234457974222</v>
      </c>
    </row>
    <row r="1587" spans="1:22" ht="15">
      <c r="A1587" s="2">
        <v>1586</v>
      </c>
      <c r="B1587" s="2" t="s">
        <v>78</v>
      </c>
      <c r="C1587" s="2" t="s">
        <v>81</v>
      </c>
      <c r="D1587" s="2">
        <v>955.65420162165537</v>
      </c>
      <c r="E1587" s="2">
        <v>1229.9127546371892</v>
      </c>
      <c r="F1587" s="2">
        <v>615.45024598017335</v>
      </c>
      <c r="G1587" s="2">
        <v>245.69833573885262</v>
      </c>
      <c r="H1587" s="2">
        <v>15.155518204439431</v>
      </c>
      <c r="I1587" s="2">
        <v>0.81587689983192835</v>
      </c>
      <c r="J1587" s="2">
        <v>6</v>
      </c>
      <c r="K1587" s="2">
        <v>195.2202597022748</v>
      </c>
      <c r="L1587" s="2">
        <v>11930</v>
      </c>
      <c r="M1587" s="2">
        <v>1195</v>
      </c>
      <c r="N1587" s="2">
        <v>249.96298664477581</v>
      </c>
      <c r="O1587" s="2">
        <v>2494.7950864786994</v>
      </c>
      <c r="P1587" s="2">
        <v>955.65420162165537</v>
      </c>
      <c r="Q1587" s="2">
        <v>251.26242843626989</v>
      </c>
      <c r="R1587" s="2">
        <v>2498.7482459245143</v>
      </c>
      <c r="S1587" s="2">
        <v>951.96279342434855</v>
      </c>
      <c r="T1587" s="2">
        <v>1.2994417914940755</v>
      </c>
      <c r="U1587" s="2">
        <v>3.9531594458148902</v>
      </c>
      <c r="V1587" s="2">
        <v>-3.6914081973068278</v>
      </c>
    </row>
    <row r="1588" spans="1:22" ht="15">
      <c r="A1588" s="2">
        <v>1587</v>
      </c>
      <c r="B1588" s="2" t="s">
        <v>78</v>
      </c>
      <c r="C1588" s="2" t="s">
        <v>81</v>
      </c>
      <c r="D1588" s="2">
        <v>1026.4118430903181</v>
      </c>
      <c r="E1588" s="2">
        <v>1070.2971335151233</v>
      </c>
      <c r="F1588" s="2">
        <v>651.29750333726406</v>
      </c>
      <c r="G1588" s="2">
        <v>155.73103037429973</v>
      </c>
      <c r="H1588" s="2">
        <v>8.2068681539967656</v>
      </c>
      <c r="I1588" s="2">
        <v>0.85493304003728554</v>
      </c>
      <c r="J1588" s="2">
        <v>7</v>
      </c>
      <c r="K1588" s="2">
        <v>171.51081597246727</v>
      </c>
      <c r="L1588" s="2">
        <v>11390</v>
      </c>
      <c r="M1588" s="2">
        <v>1195</v>
      </c>
      <c r="N1588" s="2">
        <v>249.9644378712033</v>
      </c>
      <c r="O1588" s="2">
        <v>2495.287753640001</v>
      </c>
      <c r="P1588" s="2">
        <v>1026.4118430903181</v>
      </c>
      <c r="Q1588" s="2">
        <v>252.00724950213987</v>
      </c>
      <c r="R1588" s="2">
        <v>2534.6430115762764</v>
      </c>
      <c r="S1588" s="2">
        <v>1026.4441902808921</v>
      </c>
      <c r="T1588" s="2">
        <v>2.0428116309365691</v>
      </c>
      <c r="U1588" s="2">
        <v>39.355257936275393</v>
      </c>
      <c r="V1588" s="2">
        <v>3.2347190574000706E-2</v>
      </c>
    </row>
    <row r="1589" spans="1:22" ht="15">
      <c r="A1589" s="2">
        <v>1588</v>
      </c>
      <c r="B1589" s="2" t="s">
        <v>78</v>
      </c>
      <c r="C1589" s="2" t="s">
        <v>81</v>
      </c>
      <c r="D1589" s="2">
        <v>1000.6029920070432</v>
      </c>
      <c r="E1589" s="2">
        <v>732.94978463090956</v>
      </c>
      <c r="F1589" s="2">
        <v>376.89658282324672</v>
      </c>
      <c r="G1589" s="2">
        <v>160.59440867509693</v>
      </c>
      <c r="H1589" s="2">
        <v>27.106287985574454</v>
      </c>
      <c r="I1589" s="2">
        <v>0.81291763002052908</v>
      </c>
      <c r="J1589" s="2">
        <v>7</v>
      </c>
      <c r="K1589" s="2">
        <v>175.83981364609463</v>
      </c>
      <c r="L1589" s="2">
        <v>16835</v>
      </c>
      <c r="M1589" s="2">
        <v>1200</v>
      </c>
      <c r="N1589" s="2">
        <v>250.02468590799782</v>
      </c>
      <c r="O1589" s="2">
        <v>2502.1954898460035</v>
      </c>
      <c r="P1589" s="2">
        <v>1000.6029920070432</v>
      </c>
      <c r="Q1589" s="2">
        <v>249.42552578398673</v>
      </c>
      <c r="R1589" s="2">
        <v>2498.4840269221872</v>
      </c>
      <c r="S1589" s="2">
        <v>1001.6017172533751</v>
      </c>
      <c r="T1589" s="2">
        <v>-0.59916012401109242</v>
      </c>
      <c r="U1589" s="2">
        <v>-3.7114629238162706</v>
      </c>
      <c r="V1589" s="2">
        <v>0.99872524633190096</v>
      </c>
    </row>
    <row r="1590" spans="1:22" ht="15">
      <c r="A1590" s="2">
        <v>1589</v>
      </c>
      <c r="B1590" s="2" t="s">
        <v>78</v>
      </c>
      <c r="C1590" s="2" t="s">
        <v>81</v>
      </c>
      <c r="D1590" s="2">
        <v>1023.4196473378688</v>
      </c>
      <c r="E1590" s="2">
        <v>1136.8794686975889</v>
      </c>
      <c r="F1590" s="2">
        <v>473.74033015221357</v>
      </c>
      <c r="G1590" s="2">
        <v>184.67112652258947</v>
      </c>
      <c r="H1590" s="2">
        <v>9.3984965682029724</v>
      </c>
      <c r="I1590" s="2">
        <v>0.84629808372119442</v>
      </c>
      <c r="J1590" s="2">
        <v>7</v>
      </c>
      <c r="K1590" s="2">
        <v>172.75568688480917</v>
      </c>
      <c r="L1590" s="2">
        <v>11910</v>
      </c>
      <c r="M1590" s="2">
        <v>1195</v>
      </c>
      <c r="N1590" s="2">
        <v>249.95482075733844</v>
      </c>
      <c r="O1590" s="2">
        <v>2494.8122027533827</v>
      </c>
      <c r="P1590" s="2">
        <v>1023.4196473378688</v>
      </c>
      <c r="Q1590" s="2">
        <v>251.57377747270866</v>
      </c>
      <c r="R1590" s="2">
        <v>2482.8622545408398</v>
      </c>
      <c r="S1590" s="2">
        <v>1029.0024551507677</v>
      </c>
      <c r="T1590" s="2">
        <v>1.6189567153702171</v>
      </c>
      <c r="U1590" s="2">
        <v>-11.949948212542949</v>
      </c>
      <c r="V1590" s="2">
        <v>5.5828078128988636</v>
      </c>
    </row>
    <row r="1591" spans="1:22" ht="15">
      <c r="A1591" s="2">
        <v>1590</v>
      </c>
      <c r="B1591" s="2" t="s">
        <v>78</v>
      </c>
      <c r="C1591" s="2" t="s">
        <v>81</v>
      </c>
      <c r="D1591" s="2">
        <v>1034.0553657268174</v>
      </c>
      <c r="E1591" s="2">
        <v>1003.2020488521084</v>
      </c>
      <c r="F1591" s="2">
        <v>407.72906960919499</v>
      </c>
      <c r="G1591" s="2">
        <v>313.76152152195573</v>
      </c>
      <c r="H1591" s="2">
        <v>26.095292738173157</v>
      </c>
      <c r="I1591" s="2">
        <v>0.80380432797130197</v>
      </c>
      <c r="J1591" s="2">
        <v>7</v>
      </c>
      <c r="K1591" s="2">
        <v>183.77880034144971</v>
      </c>
      <c r="L1591" s="2">
        <v>12400</v>
      </c>
      <c r="M1591" s="2">
        <v>1200</v>
      </c>
      <c r="N1591" s="2">
        <v>250.00517390039042</v>
      </c>
      <c r="O1591" s="2">
        <v>2504.8397807958709</v>
      </c>
      <c r="P1591" s="2">
        <v>1034.0553657268174</v>
      </c>
      <c r="Q1591" s="2">
        <v>248.46209046506661</v>
      </c>
      <c r="R1591" s="2">
        <v>2503.1802629995691</v>
      </c>
      <c r="S1591" s="2">
        <v>1027.8230064371921</v>
      </c>
      <c r="T1591" s="2">
        <v>-1.5430834353238083</v>
      </c>
      <c r="U1591" s="2">
        <v>-1.6595177963017704</v>
      </c>
      <c r="V1591" s="2">
        <v>-6.2323592896252649</v>
      </c>
    </row>
    <row r="1592" spans="1:22" ht="15">
      <c r="A1592" s="2">
        <v>1591</v>
      </c>
      <c r="B1592" s="2" t="s">
        <v>78</v>
      </c>
      <c r="C1592" s="2" t="s">
        <v>81</v>
      </c>
      <c r="D1592" s="2">
        <v>999.48011722881347</v>
      </c>
      <c r="E1592" s="2">
        <v>1152.6754422229715</v>
      </c>
      <c r="F1592" s="2">
        <v>653.94484549760818</v>
      </c>
      <c r="G1592" s="2">
        <v>260.23693462600932</v>
      </c>
      <c r="H1592" s="2">
        <v>24.951030920259655</v>
      </c>
      <c r="I1592" s="2">
        <v>0.79616012919461354</v>
      </c>
      <c r="J1592" s="2">
        <v>7</v>
      </c>
      <c r="K1592" s="2">
        <v>179.33939248410746</v>
      </c>
      <c r="L1592" s="2">
        <v>10345</v>
      </c>
      <c r="M1592" s="2">
        <v>1195</v>
      </c>
      <c r="N1592" s="2">
        <v>249.9520670727521</v>
      </c>
      <c r="O1592" s="2">
        <v>2496.3864576407955</v>
      </c>
      <c r="P1592" s="2">
        <v>999.48011722881347</v>
      </c>
      <c r="Q1592" s="2">
        <v>250.94065792217572</v>
      </c>
      <c r="R1592" s="2">
        <v>2506.1001405747202</v>
      </c>
      <c r="S1592" s="2">
        <v>985.53022095857068</v>
      </c>
      <c r="T1592" s="2">
        <v>0.98859084942361619</v>
      </c>
      <c r="U1592" s="2">
        <v>9.7136829339247015</v>
      </c>
      <c r="V1592" s="2">
        <v>-13.949896270242789</v>
      </c>
    </row>
    <row r="1593" spans="1:22" ht="15">
      <c r="A1593" s="2">
        <v>1592</v>
      </c>
      <c r="B1593" s="2" t="s">
        <v>78</v>
      </c>
      <c r="C1593" s="2" t="s">
        <v>81</v>
      </c>
      <c r="D1593" s="2">
        <v>983.42340205563232</v>
      </c>
      <c r="E1593" s="2">
        <v>702.7730050496757</v>
      </c>
      <c r="F1593" s="2">
        <v>405.18430387601256</v>
      </c>
      <c r="G1593" s="2">
        <v>172.39775559399277</v>
      </c>
      <c r="H1593" s="2">
        <v>24.116943394299597</v>
      </c>
      <c r="I1593" s="2">
        <v>0.84853556525893514</v>
      </c>
      <c r="J1593" s="2">
        <v>6</v>
      </c>
      <c r="K1593" s="2">
        <v>193.16090810240729</v>
      </c>
      <c r="L1593" s="2">
        <v>19485</v>
      </c>
      <c r="M1593" s="2">
        <v>1200</v>
      </c>
      <c r="N1593" s="2">
        <v>249.97656931279883</v>
      </c>
      <c r="O1593" s="2">
        <v>2501.1884596299265</v>
      </c>
      <c r="P1593" s="2">
        <v>983.42340205563232</v>
      </c>
      <c r="Q1593" s="2">
        <v>245.76607777322201</v>
      </c>
      <c r="R1593" s="2">
        <v>2499.1073097855251</v>
      </c>
      <c r="S1593" s="2">
        <v>980.32200807077277</v>
      </c>
      <c r="T1593" s="2">
        <v>-4.2104915395768217</v>
      </c>
      <c r="U1593" s="2">
        <v>-2.0811498444013523</v>
      </c>
      <c r="V1593" s="2">
        <v>-3.1013939848595555</v>
      </c>
    </row>
    <row r="1594" spans="1:22" ht="15">
      <c r="A1594" s="2">
        <v>1593</v>
      </c>
      <c r="B1594" s="2" t="s">
        <v>78</v>
      </c>
      <c r="C1594" s="2" t="s">
        <v>81</v>
      </c>
      <c r="D1594" s="2">
        <v>982.69572667777538</v>
      </c>
      <c r="E1594" s="2">
        <v>772.7202533162199</v>
      </c>
      <c r="F1594" s="2">
        <v>585.75099278241396</v>
      </c>
      <c r="G1594" s="2">
        <v>277.3052104585804</v>
      </c>
      <c r="H1594" s="2">
        <v>9.272089434787631</v>
      </c>
      <c r="I1594" s="2">
        <v>0.84682706681312991</v>
      </c>
      <c r="J1594" s="2">
        <v>6</v>
      </c>
      <c r="K1594" s="2">
        <v>193.40739984767708</v>
      </c>
      <c r="L1594" s="2">
        <v>15255</v>
      </c>
      <c r="M1594" s="2">
        <v>1200</v>
      </c>
      <c r="N1594" s="2">
        <v>250.03698531064984</v>
      </c>
      <c r="O1594" s="2">
        <v>2502.9618702076373</v>
      </c>
      <c r="P1594" s="2">
        <v>982.69572667777538</v>
      </c>
      <c r="Q1594" s="2">
        <v>254.72299288423017</v>
      </c>
      <c r="R1594" s="2">
        <v>2526.420737524285</v>
      </c>
      <c r="S1594" s="2">
        <v>987.04245960129902</v>
      </c>
      <c r="T1594" s="2">
        <v>4.6860075735803264</v>
      </c>
      <c r="U1594" s="2">
        <v>23.458867316647684</v>
      </c>
      <c r="V1594" s="2">
        <v>4.3467329235236321</v>
      </c>
    </row>
    <row r="1595" spans="1:22" ht="15">
      <c r="A1595" s="2">
        <v>1594</v>
      </c>
      <c r="B1595" s="2" t="s">
        <v>78</v>
      </c>
      <c r="C1595" s="2" t="s">
        <v>81</v>
      </c>
      <c r="D1595" s="2">
        <v>1035.6323080719449</v>
      </c>
      <c r="E1595" s="2">
        <v>1046.3491497794166</v>
      </c>
      <c r="F1595" s="2">
        <v>578.91124049201608</v>
      </c>
      <c r="G1595" s="2">
        <v>190.62947637401521</v>
      </c>
      <c r="H1595" s="2">
        <v>15.759703677613288</v>
      </c>
      <c r="I1595" s="2">
        <v>0.80259196483064443</v>
      </c>
      <c r="J1595" s="2">
        <v>7</v>
      </c>
      <c r="K1595" s="2">
        <v>184.33709663779766</v>
      </c>
      <c r="L1595" s="2">
        <v>11775</v>
      </c>
      <c r="M1595" s="2">
        <v>1195</v>
      </c>
      <c r="N1595" s="2">
        <v>249.95718530206673</v>
      </c>
      <c r="O1595" s="2">
        <v>2494.9316136830007</v>
      </c>
      <c r="P1595" s="2">
        <v>1035.6323080719449</v>
      </c>
      <c r="Q1595" s="2">
        <v>252.84223015511213</v>
      </c>
      <c r="R1595" s="2">
        <v>2483.5137857302266</v>
      </c>
      <c r="S1595" s="2">
        <v>1036.0371833146082</v>
      </c>
      <c r="T1595" s="2">
        <v>2.8850448530454003</v>
      </c>
      <c r="U1595" s="2">
        <v>-11.417827952774132</v>
      </c>
      <c r="V1595" s="2">
        <v>0.4048752426633655</v>
      </c>
    </row>
    <row r="1596" spans="1:22" ht="15">
      <c r="A1596" s="2">
        <v>1595</v>
      </c>
      <c r="B1596" s="2" t="s">
        <v>79</v>
      </c>
      <c r="C1596" s="2" t="s">
        <v>81</v>
      </c>
      <c r="D1596" s="2">
        <v>1064.2893028212711</v>
      </c>
      <c r="E1596" s="2">
        <v>977.81801304081455</v>
      </c>
      <c r="F1596" s="2">
        <v>554.06211949884892</v>
      </c>
      <c r="G1596" s="2">
        <v>201.17875664262101</v>
      </c>
      <c r="H1596" s="2">
        <v>19.344744571484625</v>
      </c>
      <c r="I1596" s="2">
        <v>0.80320882770000024</v>
      </c>
      <c r="J1596" s="2">
        <v>7</v>
      </c>
      <c r="K1596" s="2">
        <v>189.29240283605921</v>
      </c>
      <c r="L1596" s="2">
        <v>12340</v>
      </c>
      <c r="M1596" s="2">
        <v>1200</v>
      </c>
      <c r="N1596" s="2">
        <v>250.00218432925902</v>
      </c>
      <c r="O1596" s="2">
        <v>2504.8884824057077</v>
      </c>
      <c r="P1596" s="2">
        <v>1064.2893028212711</v>
      </c>
      <c r="Q1596" s="2">
        <v>247.6310231680047</v>
      </c>
      <c r="R1596" s="2">
        <v>2532.645941715462</v>
      </c>
      <c r="S1596" s="2">
        <v>1065.2375030415096</v>
      </c>
      <c r="T1596" s="2">
        <v>-2.3711611612543209</v>
      </c>
      <c r="U1596" s="2">
        <v>27.757459309754267</v>
      </c>
      <c r="V1596" s="2">
        <v>0.9482002202385047</v>
      </c>
    </row>
    <row r="1597" spans="1:22" ht="15">
      <c r="A1597" s="2">
        <v>1596</v>
      </c>
      <c r="B1597" s="2" t="s">
        <v>79</v>
      </c>
      <c r="C1597" s="2" t="s">
        <v>81</v>
      </c>
      <c r="D1597" s="2">
        <v>1013.6912156245671</v>
      </c>
      <c r="E1597" s="2">
        <v>626.42327356152236</v>
      </c>
      <c r="F1597" s="2">
        <v>413.30410791561007</v>
      </c>
      <c r="G1597" s="2">
        <v>182.90963749866933</v>
      </c>
      <c r="H1597" s="2">
        <v>27.656952987890691</v>
      </c>
      <c r="I1597" s="2">
        <v>0.84366347685456278</v>
      </c>
      <c r="J1597" s="2">
        <v>7</v>
      </c>
      <c r="K1597" s="2">
        <v>171.64786052303361</v>
      </c>
      <c r="L1597" s="2">
        <v>17490</v>
      </c>
      <c r="M1597" s="2">
        <v>1200</v>
      </c>
      <c r="N1597" s="2">
        <v>249.97851345553414</v>
      </c>
      <c r="O1597" s="2">
        <v>2501.9172146148617</v>
      </c>
      <c r="P1597" s="2">
        <v>1013.6912156245671</v>
      </c>
      <c r="Q1597" s="2">
        <v>244.93023461063493</v>
      </c>
      <c r="R1597" s="2">
        <v>2451.3709988437345</v>
      </c>
      <c r="S1597" s="2">
        <v>1011.545920098933</v>
      </c>
      <c r="T1597" s="2">
        <v>-5.0482788448992153</v>
      </c>
      <c r="U1597" s="2">
        <v>-50.546215771127208</v>
      </c>
      <c r="V1597" s="2">
        <v>-2.1452955256340829</v>
      </c>
    </row>
    <row r="1598" spans="1:22" ht="15">
      <c r="A1598" s="2">
        <v>1597</v>
      </c>
      <c r="B1598" s="2" t="s">
        <v>79</v>
      </c>
      <c r="C1598" s="2" t="s">
        <v>81</v>
      </c>
      <c r="D1598" s="2">
        <v>1009.4388152938336</v>
      </c>
      <c r="E1598" s="2">
        <v>1160.8943787286989</v>
      </c>
      <c r="F1598" s="2">
        <v>700.27542766183615</v>
      </c>
      <c r="G1598" s="2">
        <v>267.91000434430316</v>
      </c>
      <c r="H1598" s="2">
        <v>26.391841109842062</v>
      </c>
      <c r="I1598" s="2">
        <v>0.79800817582989114</v>
      </c>
      <c r="J1598" s="2">
        <v>7</v>
      </c>
      <c r="K1598" s="2">
        <v>180.70685164598623</v>
      </c>
      <c r="L1598" s="2">
        <v>10045</v>
      </c>
      <c r="M1598" s="2">
        <v>1195</v>
      </c>
      <c r="N1598" s="2">
        <v>250.01021582469184</v>
      </c>
      <c r="O1598" s="2">
        <v>2496.7471585634403</v>
      </c>
      <c r="P1598" s="2">
        <v>1009.4388152938336</v>
      </c>
      <c r="Q1598" s="2">
        <v>248.47285732287403</v>
      </c>
      <c r="R1598" s="2">
        <v>2484.7031627787569</v>
      </c>
      <c r="S1598" s="2">
        <v>988.60136211939061</v>
      </c>
      <c r="T1598" s="2">
        <v>-1.5373585018178062</v>
      </c>
      <c r="U1598" s="2">
        <v>-12.043995784683375</v>
      </c>
      <c r="V1598" s="2">
        <v>-20.837453174442999</v>
      </c>
    </row>
    <row r="1599" spans="1:22" ht="15">
      <c r="A1599" s="2">
        <v>1598</v>
      </c>
      <c r="B1599" s="2" t="s">
        <v>80</v>
      </c>
      <c r="C1599" s="2" t="s">
        <v>81</v>
      </c>
      <c r="D1599" s="2">
        <v>1081.8978589144535</v>
      </c>
      <c r="E1599" s="2">
        <v>1115.7523656962439</v>
      </c>
      <c r="F1599" s="2">
        <v>694.58752172067761</v>
      </c>
      <c r="G1599" s="2">
        <v>229.38706252723932</v>
      </c>
      <c r="H1599" s="2">
        <v>13.215772869531065</v>
      </c>
      <c r="I1599" s="2">
        <v>0.84577457326930017</v>
      </c>
      <c r="J1599" s="2">
        <v>7</v>
      </c>
      <c r="K1599" s="2">
        <v>182.73998991285254</v>
      </c>
      <c r="L1599" s="2">
        <v>10485</v>
      </c>
      <c r="M1599" s="2">
        <v>1195</v>
      </c>
      <c r="N1599" s="2">
        <v>250.00899423284648</v>
      </c>
      <c r="O1599" s="2">
        <v>2496.2291849438443</v>
      </c>
      <c r="P1599" s="2">
        <v>1081.8978589144535</v>
      </c>
      <c r="Q1599" s="2">
        <v>255.31489242476823</v>
      </c>
      <c r="R1599" s="2">
        <v>2479.4047646692025</v>
      </c>
      <c r="S1599" s="2">
        <v>1079.885604096527</v>
      </c>
      <c r="T1599" s="2">
        <v>5.3058981919217558</v>
      </c>
      <c r="U1599" s="2">
        <v>-16.824420274641852</v>
      </c>
      <c r="V1599" s="2">
        <v>-2.0122548179265323</v>
      </c>
    </row>
    <row r="1600" spans="1:22" ht="15">
      <c r="A1600" s="2">
        <v>1599</v>
      </c>
      <c r="B1600" s="2" t="s">
        <v>80</v>
      </c>
      <c r="C1600" s="2" t="s">
        <v>81</v>
      </c>
      <c r="D1600" s="2">
        <v>952.43757443968207</v>
      </c>
      <c r="E1600" s="2">
        <v>985.68576677935198</v>
      </c>
      <c r="F1600" s="2">
        <v>475.78005120158195</v>
      </c>
      <c r="G1600" s="2">
        <v>163.84593896334991</v>
      </c>
      <c r="H1600" s="2">
        <v>27.410156763158739</v>
      </c>
      <c r="I1600" s="2">
        <v>0.79757174791535368</v>
      </c>
      <c r="J1600" s="2">
        <v>6</v>
      </c>
      <c r="K1600" s="2">
        <v>199.02860921898409</v>
      </c>
      <c r="L1600" s="2">
        <v>15350</v>
      </c>
      <c r="M1600" s="2">
        <v>1200</v>
      </c>
      <c r="N1600" s="2">
        <v>249.98494666668284</v>
      </c>
      <c r="O1600" s="2">
        <v>2502.9096555424485</v>
      </c>
      <c r="P1600" s="2">
        <v>952.43757443968207</v>
      </c>
      <c r="Q1600" s="2">
        <v>247.37127317026608</v>
      </c>
      <c r="R1600" s="2">
        <v>2545.9532125569954</v>
      </c>
      <c r="S1600" s="2">
        <v>941.71954735016664</v>
      </c>
      <c r="T1600" s="2">
        <v>-2.6136734964167658</v>
      </c>
      <c r="U1600" s="2">
        <v>43.043557014546877</v>
      </c>
      <c r="V1600" s="2">
        <v>-10.718027089515431</v>
      </c>
    </row>
    <row r="1601" spans="1:22" ht="15">
      <c r="A1601" s="2">
        <v>1600</v>
      </c>
      <c r="B1601" s="2" t="s">
        <v>80</v>
      </c>
      <c r="C1601" s="2" t="s">
        <v>81</v>
      </c>
      <c r="D1601" s="2">
        <v>994.22181042609736</v>
      </c>
      <c r="E1601" s="2">
        <v>792.44201444089413</v>
      </c>
      <c r="F1601" s="2">
        <v>440.78856101259589</v>
      </c>
      <c r="G1601" s="2">
        <v>282.4666751967743</v>
      </c>
      <c r="H1601" s="2">
        <v>21.336303548421711</v>
      </c>
      <c r="I1601" s="2">
        <v>0.85954637470655149</v>
      </c>
      <c r="J1601" s="2">
        <v>6</v>
      </c>
      <c r="K1601" s="2">
        <v>192.7803315179909</v>
      </c>
      <c r="L1601" s="2">
        <v>16460</v>
      </c>
      <c r="M1601" s="2">
        <v>1200</v>
      </c>
      <c r="N1601" s="2">
        <v>249.98318597912333</v>
      </c>
      <c r="O1601" s="2">
        <v>2502.3627230018442</v>
      </c>
      <c r="P1601" s="2">
        <v>994.22181042609736</v>
      </c>
      <c r="Q1601" s="2">
        <v>248.9994027373709</v>
      </c>
      <c r="R1601" s="2">
        <v>2519.9610244740707</v>
      </c>
      <c r="S1601" s="2">
        <v>995.30563718147118</v>
      </c>
      <c r="T1601" s="2">
        <v>-0.98378324175243392</v>
      </c>
      <c r="U1601" s="2">
        <v>17.598301472226467</v>
      </c>
      <c r="V1601" s="2">
        <v>1.0838267553738206</v>
      </c>
    </row>
    <row r="1602" spans="1:22" ht="15">
      <c r="A1602" s="2">
        <v>1601</v>
      </c>
      <c r="B1602" s="2" t="s">
        <v>78</v>
      </c>
      <c r="C1602" s="2" t="s">
        <v>81</v>
      </c>
      <c r="D1602" s="2">
        <v>1006.4715865068138</v>
      </c>
      <c r="E1602" s="2">
        <v>612.74195046862587</v>
      </c>
      <c r="F1602" s="2">
        <v>718.33721343427896</v>
      </c>
      <c r="G1602" s="2">
        <v>201.63680145749822</v>
      </c>
      <c r="H1602" s="2">
        <v>12.924747118726373</v>
      </c>
      <c r="I1602" s="2">
        <v>0.84056320633040749</v>
      </c>
      <c r="J1602" s="2">
        <v>6</v>
      </c>
      <c r="K1602" s="2">
        <v>199.56293965104297</v>
      </c>
      <c r="L1602" s="2">
        <v>16280</v>
      </c>
      <c r="M1602" s="2">
        <v>1200</v>
      </c>
      <c r="N1602" s="2">
        <v>250.02548769106198</v>
      </c>
      <c r="O1602" s="2">
        <v>2502.4476395807619</v>
      </c>
      <c r="P1602" s="2">
        <v>1006.4715865068138</v>
      </c>
      <c r="Q1602" s="2">
        <v>248.55975018705769</v>
      </c>
      <c r="R1602" s="2">
        <v>2433.4088429970648</v>
      </c>
      <c r="S1602" s="2">
        <v>1015.9611092521483</v>
      </c>
      <c r="T1602" s="2">
        <v>-1.465737504004295</v>
      </c>
      <c r="U1602" s="2">
        <v>-69.038796583697149</v>
      </c>
      <c r="V1602" s="2">
        <v>9.4895227453345115</v>
      </c>
    </row>
    <row r="1603" spans="1:22" ht="15">
      <c r="A1603" s="2">
        <v>1602</v>
      </c>
      <c r="B1603" s="2" t="s">
        <v>78</v>
      </c>
      <c r="C1603" s="2" t="s">
        <v>81</v>
      </c>
      <c r="D1603" s="2">
        <v>1009.1511873179115</v>
      </c>
      <c r="E1603" s="2">
        <v>667.08235137630254</v>
      </c>
      <c r="F1603" s="2">
        <v>444.99619835987687</v>
      </c>
      <c r="G1603" s="2">
        <v>105.93885199166834</v>
      </c>
      <c r="H1603" s="2">
        <v>23.543301396537572</v>
      </c>
      <c r="I1603" s="2">
        <v>0.85666089533362544</v>
      </c>
      <c r="J1603" s="2">
        <v>6</v>
      </c>
      <c r="K1603" s="2">
        <v>196.33423851742779</v>
      </c>
      <c r="L1603" s="2">
        <v>20485</v>
      </c>
      <c r="M1603" s="2">
        <v>1200</v>
      </c>
      <c r="N1603" s="2">
        <v>250.01028633188972</v>
      </c>
      <c r="O1603" s="2">
        <v>2500.8774196276604</v>
      </c>
      <c r="P1603" s="2">
        <v>1009.1511873179115</v>
      </c>
      <c r="Q1603" s="2">
        <v>249.49153564897455</v>
      </c>
      <c r="R1603" s="2">
        <v>2508.662438583834</v>
      </c>
      <c r="S1603" s="2">
        <v>1018.9903726754815</v>
      </c>
      <c r="T1603" s="2">
        <v>-0.51875068291516868</v>
      </c>
      <c r="U1603" s="2">
        <v>7.7850189561736443</v>
      </c>
      <c r="V1603" s="2">
        <v>9.8391853575699315</v>
      </c>
    </row>
    <row r="1604" spans="1:22" ht="15">
      <c r="A1604" s="2">
        <v>1603</v>
      </c>
      <c r="B1604" s="2" t="s">
        <v>78</v>
      </c>
      <c r="C1604" s="2" t="s">
        <v>81</v>
      </c>
      <c r="D1604" s="2">
        <v>992.86636074539274</v>
      </c>
      <c r="E1604" s="2">
        <v>662.96299003297463</v>
      </c>
      <c r="F1604" s="2">
        <v>488.11004273593426</v>
      </c>
      <c r="G1604" s="2">
        <v>150.8201375673525</v>
      </c>
      <c r="H1604" s="2">
        <v>25.468113576062024</v>
      </c>
      <c r="I1604" s="2">
        <v>0.83754810468060903</v>
      </c>
      <c r="J1604" s="2">
        <v>6</v>
      </c>
      <c r="K1604" s="2">
        <v>197.57399708283279</v>
      </c>
      <c r="L1604" s="2">
        <v>19165</v>
      </c>
      <c r="M1604" s="2">
        <v>1200</v>
      </c>
      <c r="N1604" s="2">
        <v>250.00730408853735</v>
      </c>
      <c r="O1604" s="2">
        <v>2501.2959261627097</v>
      </c>
      <c r="P1604" s="2">
        <v>992.86636074539274</v>
      </c>
      <c r="Q1604" s="2">
        <v>245.46717144564562</v>
      </c>
      <c r="R1604" s="2">
        <v>2487.6003438229895</v>
      </c>
      <c r="S1604" s="2">
        <v>996.33594108961006</v>
      </c>
      <c r="T1604" s="2">
        <v>-4.5401326428917343</v>
      </c>
      <c r="U1604" s="2">
        <v>-13.695582339720204</v>
      </c>
      <c r="V1604" s="2">
        <v>3.4695803442173201</v>
      </c>
    </row>
    <row r="1605" spans="1:22" ht="15">
      <c r="A1605" s="2">
        <v>1604</v>
      </c>
      <c r="B1605" s="2" t="s">
        <v>78</v>
      </c>
      <c r="C1605" s="2" t="s">
        <v>81</v>
      </c>
      <c r="D1605" s="2">
        <v>955.7623497559689</v>
      </c>
      <c r="E1605" s="2">
        <v>646.09691691584885</v>
      </c>
      <c r="F1605" s="2">
        <v>580.19909886643291</v>
      </c>
      <c r="G1605" s="2">
        <v>235.91739898081869</v>
      </c>
      <c r="H1605" s="2">
        <v>27.144887558650225</v>
      </c>
      <c r="I1605" s="2">
        <v>0.84459063803777101</v>
      </c>
      <c r="J1605" s="2">
        <v>6</v>
      </c>
      <c r="K1605" s="2">
        <v>188.60465388228039</v>
      </c>
      <c r="L1605" s="2">
        <v>17065</v>
      </c>
      <c r="M1605" s="2">
        <v>1200</v>
      </c>
      <c r="N1605" s="2">
        <v>250.02632608989396</v>
      </c>
      <c r="O1605" s="2">
        <v>2502.0958600543013</v>
      </c>
      <c r="P1605" s="2">
        <v>955.7623497559689</v>
      </c>
      <c r="Q1605" s="2">
        <v>245.5261733126554</v>
      </c>
      <c r="R1605" s="2">
        <v>2451.4462913946491</v>
      </c>
      <c r="S1605" s="2">
        <v>949.38242558626496</v>
      </c>
      <c r="T1605" s="2">
        <v>-4.5001527772385543</v>
      </c>
      <c r="U1605" s="2">
        <v>-50.649568659652232</v>
      </c>
      <c r="V1605" s="2">
        <v>-6.3799241697039406</v>
      </c>
    </row>
    <row r="1606" spans="1:22" ht="15">
      <c r="A1606" s="2">
        <v>1605</v>
      </c>
      <c r="B1606" s="2" t="s">
        <v>78</v>
      </c>
      <c r="C1606" s="2" t="s">
        <v>81</v>
      </c>
      <c r="D1606" s="2">
        <v>1092.2628852073103</v>
      </c>
      <c r="E1606" s="2">
        <v>1095.7762079196982</v>
      </c>
      <c r="F1606" s="2">
        <v>655.18874954432249</v>
      </c>
      <c r="G1606" s="2">
        <v>328.60153283225372</v>
      </c>
      <c r="H1606" s="2">
        <v>10.240004830062389</v>
      </c>
      <c r="I1606" s="2">
        <v>0.8257421750039794</v>
      </c>
      <c r="J1606" s="2">
        <v>7</v>
      </c>
      <c r="K1606" s="2">
        <v>188.9664349878505</v>
      </c>
      <c r="L1606" s="2">
        <v>10285</v>
      </c>
      <c r="M1606" s="2">
        <v>1195</v>
      </c>
      <c r="N1606" s="2">
        <v>250.03000732250149</v>
      </c>
      <c r="O1606" s="2">
        <v>2496.4601325680906</v>
      </c>
      <c r="P1606" s="2">
        <v>1092.2628852073103</v>
      </c>
      <c r="Q1606" s="2">
        <v>255.95135588954469</v>
      </c>
      <c r="R1606" s="2">
        <v>2525.776318073089</v>
      </c>
      <c r="S1606" s="2">
        <v>1090.5759517114534</v>
      </c>
      <c r="T1606" s="2">
        <v>5.9213485670431965</v>
      </c>
      <c r="U1606" s="2">
        <v>29.31618550499843</v>
      </c>
      <c r="V1606" s="2">
        <v>-1.6869334958569198</v>
      </c>
    </row>
    <row r="1607" spans="1:22" ht="15">
      <c r="A1607" s="2">
        <v>1606</v>
      </c>
      <c r="B1607" s="2" t="s">
        <v>78</v>
      </c>
      <c r="C1607" s="2" t="s">
        <v>81</v>
      </c>
      <c r="D1607" s="2">
        <v>1084.3560970504768</v>
      </c>
      <c r="E1607" s="2">
        <v>894.03027703519911</v>
      </c>
      <c r="F1607" s="2">
        <v>442.50842900946736</v>
      </c>
      <c r="G1607" s="2">
        <v>259.51510800048709</v>
      </c>
      <c r="H1607" s="2">
        <v>25.086212350521237</v>
      </c>
      <c r="I1607" s="2">
        <v>0.85620169424917547</v>
      </c>
      <c r="J1607" s="2">
        <v>7</v>
      </c>
      <c r="K1607" s="2">
        <v>180.92467569828455</v>
      </c>
      <c r="L1607" s="2">
        <v>13400</v>
      </c>
      <c r="M1607" s="2">
        <v>1200</v>
      </c>
      <c r="N1607" s="2">
        <v>250.01600404286825</v>
      </c>
      <c r="O1607" s="2">
        <v>2504.0909484623194</v>
      </c>
      <c r="P1607" s="2">
        <v>1084.3560970504768</v>
      </c>
      <c r="Q1607" s="2">
        <v>249.27095914584973</v>
      </c>
      <c r="R1607" s="2">
        <v>2508.1286784083973</v>
      </c>
      <c r="S1607" s="2">
        <v>1081.867557661006</v>
      </c>
      <c r="T1607" s="2">
        <v>-0.74504489701851639</v>
      </c>
      <c r="U1607" s="2">
        <v>4.0377299460778886</v>
      </c>
      <c r="V1607" s="2">
        <v>-2.4885393894708159</v>
      </c>
    </row>
    <row r="1608" spans="1:22" ht="15">
      <c r="A1608" s="2">
        <v>1607</v>
      </c>
      <c r="B1608" s="2" t="s">
        <v>78</v>
      </c>
      <c r="C1608" s="2" t="s">
        <v>81</v>
      </c>
      <c r="D1608" s="2">
        <v>987.71178491879255</v>
      </c>
      <c r="E1608" s="2">
        <v>1008.2093127188273</v>
      </c>
      <c r="F1608" s="2">
        <v>663.65999281406403</v>
      </c>
      <c r="G1608" s="2">
        <v>201.2287619127892</v>
      </c>
      <c r="H1608" s="2">
        <v>18.026709320954978</v>
      </c>
      <c r="I1608" s="2">
        <v>0.81394622996216648</v>
      </c>
      <c r="J1608" s="2">
        <v>7</v>
      </c>
      <c r="K1608" s="2">
        <v>173.35504283420065</v>
      </c>
      <c r="L1608" s="2">
        <v>11415</v>
      </c>
      <c r="M1608" s="2">
        <v>1195</v>
      </c>
      <c r="N1608" s="2">
        <v>249.94920574559094</v>
      </c>
      <c r="O1608" s="2">
        <v>2495.2632464765888</v>
      </c>
      <c r="P1608" s="2">
        <v>987.71178491879255</v>
      </c>
      <c r="Q1608" s="2">
        <v>254.13326094779481</v>
      </c>
      <c r="R1608" s="2">
        <v>2541.3420076747611</v>
      </c>
      <c r="S1608" s="2">
        <v>981.27100098313929</v>
      </c>
      <c r="T1608" s="2">
        <v>4.1840552022038651</v>
      </c>
      <c r="U1608" s="2">
        <v>46.078761198172288</v>
      </c>
      <c r="V1608" s="2">
        <v>-6.4407839356532577</v>
      </c>
    </row>
    <row r="1609" spans="1:22" ht="15">
      <c r="A1609" s="2">
        <v>1608</v>
      </c>
      <c r="B1609" s="2" t="s">
        <v>78</v>
      </c>
      <c r="C1609" s="2" t="s">
        <v>81</v>
      </c>
      <c r="D1609" s="2">
        <v>1080.0722268293612</v>
      </c>
      <c r="E1609" s="2">
        <v>638.01779942587018</v>
      </c>
      <c r="F1609" s="2">
        <v>553.71294086799026</v>
      </c>
      <c r="G1609" s="2">
        <v>190.82842538598925</v>
      </c>
      <c r="H1609" s="2">
        <v>29.452869412954897</v>
      </c>
      <c r="I1609" s="2">
        <v>0.8048052995745093</v>
      </c>
      <c r="J1609" s="2">
        <v>7</v>
      </c>
      <c r="K1609" s="2">
        <v>191.71845971413069</v>
      </c>
      <c r="L1609" s="2">
        <v>15470</v>
      </c>
      <c r="M1609" s="2">
        <v>1200</v>
      </c>
      <c r="N1609" s="2">
        <v>250.02851228655385</v>
      </c>
      <c r="O1609" s="2">
        <v>2502.8481534152556</v>
      </c>
      <c r="P1609" s="2">
        <v>1080.0722268293612</v>
      </c>
      <c r="Q1609" s="2">
        <v>246.79629107826773</v>
      </c>
      <c r="R1609" s="2">
        <v>2440.6353926224292</v>
      </c>
      <c r="S1609" s="2">
        <v>1076.5949399099104</v>
      </c>
      <c r="T1609" s="2">
        <v>-3.2322212082861199</v>
      </c>
      <c r="U1609" s="2">
        <v>-62.21276079282643</v>
      </c>
      <c r="V1609" s="2">
        <v>-3.4772869194507621</v>
      </c>
    </row>
    <row r="1610" spans="1:22" ht="15">
      <c r="A1610" s="2">
        <v>1609</v>
      </c>
      <c r="B1610" s="2" t="s">
        <v>78</v>
      </c>
      <c r="C1610" s="2" t="s">
        <v>81</v>
      </c>
      <c r="D1610" s="2">
        <v>979.00084797292948</v>
      </c>
      <c r="E1610" s="2">
        <v>1128.1567909172736</v>
      </c>
      <c r="F1610" s="2">
        <v>433.59738904982805</v>
      </c>
      <c r="G1610" s="2">
        <v>104.02209636056796</v>
      </c>
      <c r="H1610" s="2">
        <v>24.628617947921157</v>
      </c>
      <c r="I1610" s="2">
        <v>0.80744673275621615</v>
      </c>
      <c r="J1610" s="2">
        <v>7</v>
      </c>
      <c r="K1610" s="2">
        <v>173.20927600849976</v>
      </c>
      <c r="L1610" s="2">
        <v>12840</v>
      </c>
      <c r="M1610" s="2">
        <v>1200</v>
      </c>
      <c r="N1610" s="2">
        <v>250.03292477540879</v>
      </c>
      <c r="O1610" s="2">
        <v>2504.4968168597588</v>
      </c>
      <c r="P1610" s="2">
        <v>979.00084797292948</v>
      </c>
      <c r="Q1610" s="2">
        <v>251.24593152160801</v>
      </c>
      <c r="R1610" s="2">
        <v>2511.9821612095056</v>
      </c>
      <c r="S1610" s="2">
        <v>970.61975272454094</v>
      </c>
      <c r="T1610" s="2">
        <v>1.2130067461992269</v>
      </c>
      <c r="U1610" s="2">
        <v>7.4853443497468106</v>
      </c>
      <c r="V1610" s="2">
        <v>-8.381095248388533</v>
      </c>
    </row>
    <row r="1611" spans="1:22" ht="15">
      <c r="A1611" s="2">
        <v>1610</v>
      </c>
      <c r="B1611" s="2" t="s">
        <v>78</v>
      </c>
      <c r="C1611" s="2" t="s">
        <v>81</v>
      </c>
      <c r="D1611" s="2">
        <v>993.82205685833469</v>
      </c>
      <c r="E1611" s="2">
        <v>793.27670040074736</v>
      </c>
      <c r="F1611" s="2">
        <v>628.87922236695886</v>
      </c>
      <c r="G1611" s="2">
        <v>287.52346958033741</v>
      </c>
      <c r="H1611" s="2">
        <v>13.47537798108533</v>
      </c>
      <c r="I1611" s="2">
        <v>0.8304964682878927</v>
      </c>
      <c r="J1611" s="2">
        <v>6</v>
      </c>
      <c r="K1611" s="2">
        <v>199.44336406132774</v>
      </c>
      <c r="L1611" s="2">
        <v>14595</v>
      </c>
      <c r="M1611" s="2">
        <v>1200</v>
      </c>
      <c r="N1611" s="2">
        <v>250.02708395465285</v>
      </c>
      <c r="O1611" s="2">
        <v>2503.3306162960594</v>
      </c>
      <c r="P1611" s="2">
        <v>993.82205685833469</v>
      </c>
      <c r="Q1611" s="2">
        <v>253.96591339071136</v>
      </c>
      <c r="R1611" s="2">
        <v>2451.8522699556129</v>
      </c>
      <c r="S1611" s="2">
        <v>998.94094933672363</v>
      </c>
      <c r="T1611" s="2">
        <v>3.9388294360585121</v>
      </c>
      <c r="U1611" s="2">
        <v>-51.478346340446478</v>
      </c>
      <c r="V1611" s="2">
        <v>5.1188924783889433</v>
      </c>
    </row>
    <row r="1612" spans="1:22" ht="15">
      <c r="A1612" s="2">
        <v>1611</v>
      </c>
      <c r="B1612" s="2" t="s">
        <v>78</v>
      </c>
      <c r="C1612" s="2" t="s">
        <v>81</v>
      </c>
      <c r="D1612" s="2">
        <v>995.52915196400136</v>
      </c>
      <c r="E1612" s="2">
        <v>1020.6933262408711</v>
      </c>
      <c r="F1612" s="2">
        <v>726.80324204266071</v>
      </c>
      <c r="G1612" s="2">
        <v>149.30515560088679</v>
      </c>
      <c r="H1612" s="2">
        <v>27.63663321826607</v>
      </c>
      <c r="I1612" s="2">
        <v>0.81577632187632843</v>
      </c>
      <c r="J1612" s="2">
        <v>7</v>
      </c>
      <c r="K1612" s="2">
        <v>174.33510444806944</v>
      </c>
      <c r="L1612" s="2">
        <v>11275</v>
      </c>
      <c r="M1612" s="2">
        <v>1195</v>
      </c>
      <c r="N1612" s="2">
        <v>250.00820798083652</v>
      </c>
      <c r="O1612" s="2">
        <v>2495.4006552692631</v>
      </c>
      <c r="P1612" s="2">
        <v>995.52915196400136</v>
      </c>
      <c r="Q1612" s="2">
        <v>250.35459648345329</v>
      </c>
      <c r="R1612" s="2">
        <v>2513.3697912300254</v>
      </c>
      <c r="S1612" s="2">
        <v>981.46496340488284</v>
      </c>
      <c r="T1612" s="2">
        <v>0.3463885026167759</v>
      </c>
      <c r="U1612" s="2">
        <v>17.969135960762287</v>
      </c>
      <c r="V1612" s="2">
        <v>-14.06418855911852</v>
      </c>
    </row>
    <row r="1613" spans="1:22" ht="15">
      <c r="A1613" s="2">
        <v>1612</v>
      </c>
      <c r="B1613" s="2" t="s">
        <v>78</v>
      </c>
      <c r="C1613" s="2" t="s">
        <v>81</v>
      </c>
      <c r="D1613" s="2">
        <v>1061.0406184918247</v>
      </c>
      <c r="E1613" s="2">
        <v>907.25630200468004</v>
      </c>
      <c r="F1613" s="2">
        <v>565.10062916204333</v>
      </c>
      <c r="G1613" s="2">
        <v>123.23946207296103</v>
      </c>
      <c r="H1613" s="2">
        <v>27.76691100327298</v>
      </c>
      <c r="I1613" s="2">
        <v>0.80505387660115957</v>
      </c>
      <c r="J1613" s="2">
        <v>7</v>
      </c>
      <c r="K1613" s="2">
        <v>188.28209591767774</v>
      </c>
      <c r="L1613" s="2">
        <v>13405</v>
      </c>
      <c r="M1613" s="2">
        <v>1200</v>
      </c>
      <c r="N1613" s="2">
        <v>250.03767294033415</v>
      </c>
      <c r="O1613" s="2">
        <v>2504.0882857243269</v>
      </c>
      <c r="P1613" s="2">
        <v>1061.0406184918247</v>
      </c>
      <c r="Q1613" s="2">
        <v>247.27406916748413</v>
      </c>
      <c r="R1613" s="2">
        <v>2480.6119069974966</v>
      </c>
      <c r="S1613" s="2">
        <v>1050.0779900037489</v>
      </c>
      <c r="T1613" s="2">
        <v>-2.7636037728500185</v>
      </c>
      <c r="U1613" s="2">
        <v>-23.476378726830262</v>
      </c>
      <c r="V1613" s="2">
        <v>-10.962628488075779</v>
      </c>
    </row>
    <row r="1614" spans="1:22" ht="15">
      <c r="A1614" s="2">
        <v>1613</v>
      </c>
      <c r="B1614" s="2" t="s">
        <v>78</v>
      </c>
      <c r="C1614" s="2" t="s">
        <v>81</v>
      </c>
      <c r="D1614" s="2">
        <v>1043.5859450604767</v>
      </c>
      <c r="E1614" s="2">
        <v>1165.9852719749324</v>
      </c>
      <c r="F1614" s="2">
        <v>619.70969643443823</v>
      </c>
      <c r="G1614" s="2">
        <v>221.80295151891187</v>
      </c>
      <c r="H1614" s="2">
        <v>18.286672879010439</v>
      </c>
      <c r="I1614" s="2">
        <v>0.80707818716997282</v>
      </c>
      <c r="J1614" s="2">
        <v>7</v>
      </c>
      <c r="K1614" s="2">
        <v>184.7202771765823</v>
      </c>
      <c r="L1614" s="2">
        <v>10655</v>
      </c>
      <c r="M1614" s="2">
        <v>1195</v>
      </c>
      <c r="N1614" s="2">
        <v>250.04832984817043</v>
      </c>
      <c r="O1614" s="2">
        <v>2496.0423550294386</v>
      </c>
      <c r="P1614" s="2">
        <v>1043.5859450604767</v>
      </c>
      <c r="Q1614" s="2">
        <v>250.55434996154673</v>
      </c>
      <c r="R1614" s="2">
        <v>2512.8449354157283</v>
      </c>
      <c r="S1614" s="2">
        <v>1039.4874048214276</v>
      </c>
      <c r="T1614" s="2">
        <v>0.5060201133763087</v>
      </c>
      <c r="U1614" s="2">
        <v>16.802580386289719</v>
      </c>
      <c r="V1614" s="2">
        <v>-4.0985402390490435</v>
      </c>
    </row>
    <row r="1615" spans="1:22" ht="15">
      <c r="A1615" s="2">
        <v>1614</v>
      </c>
      <c r="B1615" s="2" t="s">
        <v>78</v>
      </c>
      <c r="C1615" s="2" t="s">
        <v>81</v>
      </c>
      <c r="D1615" s="2">
        <v>969.5317151141353</v>
      </c>
      <c r="E1615" s="2">
        <v>875.21239190828055</v>
      </c>
      <c r="F1615" s="2">
        <v>448.51403879001737</v>
      </c>
      <c r="G1615" s="2">
        <v>314.27758924663067</v>
      </c>
      <c r="H1615" s="2">
        <v>26.766681218985468</v>
      </c>
      <c r="I1615" s="2">
        <v>0.83215758651029326</v>
      </c>
      <c r="J1615" s="2">
        <v>6</v>
      </c>
      <c r="K1615" s="2">
        <v>194.1803112837336</v>
      </c>
      <c r="L1615" s="2">
        <v>15230</v>
      </c>
      <c r="M1615" s="2">
        <v>1200</v>
      </c>
      <c r="N1615" s="2">
        <v>249.96755972388146</v>
      </c>
      <c r="O1615" s="2">
        <v>2502.9729848579168</v>
      </c>
      <c r="P1615" s="2">
        <v>969.5317151141353</v>
      </c>
      <c r="Q1615" s="2">
        <v>248.56741100344126</v>
      </c>
      <c r="R1615" s="2">
        <v>2506.4541816390447</v>
      </c>
      <c r="S1615" s="2">
        <v>963.09525470251072</v>
      </c>
      <c r="T1615" s="2">
        <v>-1.4001487204401997</v>
      </c>
      <c r="U1615" s="2">
        <v>3.4811967811278919</v>
      </c>
      <c r="V1615" s="2">
        <v>-6.43646041162458</v>
      </c>
    </row>
    <row r="1616" spans="1:22" ht="15">
      <c r="A1616" s="2">
        <v>1615</v>
      </c>
      <c r="B1616" s="2" t="s">
        <v>79</v>
      </c>
      <c r="C1616" s="2" t="s">
        <v>81</v>
      </c>
      <c r="D1616" s="2">
        <v>1089.859232888557</v>
      </c>
      <c r="E1616" s="2">
        <v>1141.8140922789462</v>
      </c>
      <c r="F1616" s="2">
        <v>722.55064323544502</v>
      </c>
      <c r="G1616" s="2">
        <v>301.161667665001</v>
      </c>
      <c r="H1616" s="2">
        <v>24.182062952779233</v>
      </c>
      <c r="I1616" s="2">
        <v>0.84577717808773745</v>
      </c>
      <c r="J1616" s="2">
        <v>7</v>
      </c>
      <c r="K1616" s="2">
        <v>184.0841537944473</v>
      </c>
      <c r="L1616" s="2">
        <v>9875</v>
      </c>
      <c r="M1616" s="2">
        <v>1195</v>
      </c>
      <c r="N1616" s="2">
        <v>249.9863913460222</v>
      </c>
      <c r="O1616" s="2">
        <v>2496.9584374552787</v>
      </c>
      <c r="P1616" s="2">
        <v>1089.859232888557</v>
      </c>
      <c r="Q1616" s="2">
        <v>252.98038029880942</v>
      </c>
      <c r="R1616" s="2">
        <v>2531.7825470782996</v>
      </c>
      <c r="S1616" s="2">
        <v>1076.7330354917765</v>
      </c>
      <c r="T1616" s="2">
        <v>2.9939889527872197</v>
      </c>
      <c r="U1616" s="2">
        <v>34.824109623020831</v>
      </c>
      <c r="V1616" s="2">
        <v>-13.126197396780526</v>
      </c>
    </row>
    <row r="1617" spans="1:22" ht="15">
      <c r="A1617" s="2">
        <v>1616</v>
      </c>
      <c r="B1617" s="2" t="s">
        <v>79</v>
      </c>
      <c r="C1617" s="2" t="s">
        <v>81</v>
      </c>
      <c r="D1617" s="2">
        <v>962.43489830521867</v>
      </c>
      <c r="E1617" s="2">
        <v>749.55065678805113</v>
      </c>
      <c r="F1617" s="2">
        <v>633.34419270977378</v>
      </c>
      <c r="G1617" s="2">
        <v>321.74839083570987</v>
      </c>
      <c r="H1617" s="2">
        <v>12.336006680037826</v>
      </c>
      <c r="I1617" s="2">
        <v>0.82408549888990823</v>
      </c>
      <c r="J1617" s="2">
        <v>6</v>
      </c>
      <c r="K1617" s="2">
        <v>194.64705616138036</v>
      </c>
      <c r="L1617" s="2">
        <v>14635</v>
      </c>
      <c r="M1617" s="2">
        <v>1200</v>
      </c>
      <c r="N1617" s="2">
        <v>249.97378056197152</v>
      </c>
      <c r="O1617" s="2">
        <v>2503.3054879119682</v>
      </c>
      <c r="P1617" s="2">
        <v>962.43489830521867</v>
      </c>
      <c r="Q1617" s="2">
        <v>254.14147461314562</v>
      </c>
      <c r="R1617" s="2">
        <v>2502.4339897447494</v>
      </c>
      <c r="S1617" s="2">
        <v>971.39353727999821</v>
      </c>
      <c r="T1617" s="2">
        <v>4.1676940511740952</v>
      </c>
      <c r="U1617" s="2">
        <v>-0.8714981672187605</v>
      </c>
      <c r="V1617" s="2">
        <v>8.9586389747795465</v>
      </c>
    </row>
    <row r="1618" spans="1:22" ht="15">
      <c r="A1618" s="2">
        <v>1617</v>
      </c>
      <c r="B1618" s="2" t="s">
        <v>79</v>
      </c>
      <c r="C1618" s="2" t="s">
        <v>81</v>
      </c>
      <c r="D1618" s="2">
        <v>978.26269427314401</v>
      </c>
      <c r="E1618" s="2">
        <v>1018.5792041360401</v>
      </c>
      <c r="F1618" s="2">
        <v>382.74383042007685</v>
      </c>
      <c r="G1618" s="2">
        <v>216.72322971979156</v>
      </c>
      <c r="H1618" s="2">
        <v>11.781036974862218</v>
      </c>
      <c r="I1618" s="2">
        <v>0.81470388434128838</v>
      </c>
      <c r="J1618" s="2">
        <v>7</v>
      </c>
      <c r="K1618" s="2">
        <v>171.53694262865258</v>
      </c>
      <c r="L1618" s="2">
        <v>13215</v>
      </c>
      <c r="M1618" s="2">
        <v>1200</v>
      </c>
      <c r="N1618" s="2">
        <v>249.96147321516372</v>
      </c>
      <c r="O1618" s="2">
        <v>2504.2189709136028</v>
      </c>
      <c r="P1618" s="2">
        <v>978.26269427314401</v>
      </c>
      <c r="Q1618" s="2">
        <v>249.26876788652629</v>
      </c>
      <c r="R1618" s="2">
        <v>2542.3386009749997</v>
      </c>
      <c r="S1618" s="2">
        <v>979.38784918467991</v>
      </c>
      <c r="T1618" s="2">
        <v>-0.69270532863743028</v>
      </c>
      <c r="U1618" s="2">
        <v>38.119630061396947</v>
      </c>
      <c r="V1618" s="2">
        <v>1.1251549115359012</v>
      </c>
    </row>
    <row r="1619" spans="1:22" ht="15">
      <c r="A1619" s="2">
        <v>1618</v>
      </c>
      <c r="B1619" s="2" t="s">
        <v>80</v>
      </c>
      <c r="C1619" s="2" t="s">
        <v>81</v>
      </c>
      <c r="D1619" s="2">
        <v>1005.4586488404311</v>
      </c>
      <c r="E1619" s="2">
        <v>1002.442363020964</v>
      </c>
      <c r="F1619" s="2">
        <v>644.00101685896516</v>
      </c>
      <c r="G1619" s="2">
        <v>165.63397382386029</v>
      </c>
      <c r="H1619" s="2">
        <v>25.538061574567109</v>
      </c>
      <c r="I1619" s="2">
        <v>0.85725059638265522</v>
      </c>
      <c r="J1619" s="2">
        <v>6</v>
      </c>
      <c r="K1619" s="2">
        <v>195.48127721407062</v>
      </c>
      <c r="L1619" s="2">
        <v>13770</v>
      </c>
      <c r="M1619" s="2">
        <v>1200</v>
      </c>
      <c r="N1619" s="2">
        <v>250.02274295918704</v>
      </c>
      <c r="O1619" s="2">
        <v>2503.8415411640399</v>
      </c>
      <c r="P1619" s="2">
        <v>1005.4586488404311</v>
      </c>
      <c r="Q1619" s="2">
        <v>248.97636292538996</v>
      </c>
      <c r="R1619" s="2">
        <v>2487.138361712236</v>
      </c>
      <c r="S1619" s="2">
        <v>993.54216574056193</v>
      </c>
      <c r="T1619" s="2">
        <v>-1.0463800337970781</v>
      </c>
      <c r="U1619" s="2">
        <v>-16.703179451803862</v>
      </c>
      <c r="V1619" s="2">
        <v>-11.916483099869197</v>
      </c>
    </row>
    <row r="1620" spans="1:22" ht="15">
      <c r="A1620" s="2">
        <v>1619</v>
      </c>
      <c r="B1620" s="2" t="s">
        <v>80</v>
      </c>
      <c r="C1620" s="2" t="s">
        <v>81</v>
      </c>
      <c r="D1620" s="2">
        <v>1098.6050957581028</v>
      </c>
      <c r="E1620" s="2">
        <v>740.51679220283404</v>
      </c>
      <c r="F1620" s="2">
        <v>637.37575672566891</v>
      </c>
      <c r="G1620" s="2">
        <v>221.18186448467895</v>
      </c>
      <c r="H1620" s="2">
        <v>12.575855103321373</v>
      </c>
      <c r="I1620" s="2">
        <v>0.82312066358281299</v>
      </c>
      <c r="J1620" s="2">
        <v>7</v>
      </c>
      <c r="K1620" s="2">
        <v>190.66898943487712</v>
      </c>
      <c r="L1620" s="2">
        <v>13375</v>
      </c>
      <c r="M1620" s="2">
        <v>1200</v>
      </c>
      <c r="N1620" s="2">
        <v>250.02156146227929</v>
      </c>
      <c r="O1620" s="2">
        <v>2504.1085319753606</v>
      </c>
      <c r="P1620" s="2">
        <v>1098.6050957581028</v>
      </c>
      <c r="Q1620" s="2">
        <v>249.09223976571832</v>
      </c>
      <c r="R1620" s="2">
        <v>2494.6718499779527</v>
      </c>
      <c r="S1620" s="2">
        <v>1103.5861119313847</v>
      </c>
      <c r="T1620" s="2">
        <v>-0.92932169656097585</v>
      </c>
      <c r="U1620" s="2">
        <v>-9.436681997407959</v>
      </c>
      <c r="V1620" s="2">
        <v>4.9810161732818869</v>
      </c>
    </row>
    <row r="1621" spans="1:22" ht="15">
      <c r="A1621" s="2">
        <v>1620</v>
      </c>
      <c r="B1621" s="2" t="s">
        <v>80</v>
      </c>
      <c r="C1621" s="2" t="s">
        <v>81</v>
      </c>
      <c r="D1621" s="2">
        <v>968.37365900864825</v>
      </c>
      <c r="E1621" s="2">
        <v>1034.0767866466194</v>
      </c>
      <c r="F1621" s="2">
        <v>514.14593635126948</v>
      </c>
      <c r="G1621" s="2">
        <v>273.20767873432487</v>
      </c>
      <c r="H1621" s="2">
        <v>14.200677588116378</v>
      </c>
      <c r="I1621" s="2">
        <v>0.85381408350542187</v>
      </c>
      <c r="J1621" s="2">
        <v>6</v>
      </c>
      <c r="K1621" s="2">
        <v>189.02898529402137</v>
      </c>
      <c r="L1621" s="2">
        <v>13700</v>
      </c>
      <c r="M1621" s="2">
        <v>1200</v>
      </c>
      <c r="N1621" s="2">
        <v>250.03539759869071</v>
      </c>
      <c r="O1621" s="2">
        <v>2503.8882091324826</v>
      </c>
      <c r="P1621" s="2">
        <v>968.37365900864825</v>
      </c>
      <c r="Q1621" s="2">
        <v>253.86583784959578</v>
      </c>
      <c r="R1621" s="2">
        <v>2531.8602121534495</v>
      </c>
      <c r="S1621" s="2">
        <v>973.75299918942164</v>
      </c>
      <c r="T1621" s="2">
        <v>3.8304402509050703</v>
      </c>
      <c r="U1621" s="2">
        <v>27.972003020966895</v>
      </c>
      <c r="V1621" s="2">
        <v>5.3793401807733972</v>
      </c>
    </row>
    <row r="1622" spans="1:22" ht="15">
      <c r="A1622" s="2">
        <v>1621</v>
      </c>
      <c r="B1622" s="2" t="s">
        <v>78</v>
      </c>
      <c r="C1622" s="2" t="s">
        <v>81</v>
      </c>
      <c r="D1622" s="2">
        <v>1095.1087967026979</v>
      </c>
      <c r="E1622" s="2">
        <v>839.38093445030972</v>
      </c>
      <c r="F1622" s="2">
        <v>659.76005177944899</v>
      </c>
      <c r="G1622" s="2">
        <v>232.8846102883108</v>
      </c>
      <c r="H1622" s="2">
        <v>13.716228649020195</v>
      </c>
      <c r="I1622" s="2">
        <v>0.81763570009032271</v>
      </c>
      <c r="J1622" s="2">
        <v>7</v>
      </c>
      <c r="K1622" s="2">
        <v>191.33718573857408</v>
      </c>
      <c r="L1622" s="2">
        <v>12345</v>
      </c>
      <c r="M1622" s="2">
        <v>1200</v>
      </c>
      <c r="N1622" s="2">
        <v>249.95422784999764</v>
      </c>
      <c r="O1622" s="2">
        <v>2504.8824674024509</v>
      </c>
      <c r="P1622" s="2">
        <v>1095.1087967026979</v>
      </c>
      <c r="Q1622" s="2">
        <v>252.24218405174469</v>
      </c>
      <c r="R1622" s="2">
        <v>2519.0177560939378</v>
      </c>
      <c r="S1622" s="2">
        <v>1102.5782931411673</v>
      </c>
      <c r="T1622" s="2">
        <v>2.2879562017470505</v>
      </c>
      <c r="U1622" s="2">
        <v>14.135288691486949</v>
      </c>
      <c r="V1622" s="2">
        <v>7.4694964384693776</v>
      </c>
    </row>
    <row r="1623" spans="1:22" ht="15">
      <c r="A1623" s="2">
        <v>1622</v>
      </c>
      <c r="B1623" s="2" t="s">
        <v>78</v>
      </c>
      <c r="C1623" s="2" t="s">
        <v>81</v>
      </c>
      <c r="D1623" s="2">
        <v>1053.7190971081145</v>
      </c>
      <c r="E1623" s="2">
        <v>1100.6043476751074</v>
      </c>
      <c r="F1623" s="2">
        <v>630.15882493928075</v>
      </c>
      <c r="G1623" s="2">
        <v>244.0682783909142</v>
      </c>
      <c r="H1623" s="2">
        <v>13.289295411203057</v>
      </c>
      <c r="I1623" s="2">
        <v>0.82702945326920607</v>
      </c>
      <c r="J1623" s="2">
        <v>7</v>
      </c>
      <c r="K1623" s="2">
        <v>182.01443611449483</v>
      </c>
      <c r="L1623" s="2">
        <v>10830</v>
      </c>
      <c r="M1623" s="2">
        <v>1195</v>
      </c>
      <c r="N1623" s="2">
        <v>250.01935967523033</v>
      </c>
      <c r="O1623" s="2">
        <v>2495.852989305748</v>
      </c>
      <c r="P1623" s="2">
        <v>1053.7190971081145</v>
      </c>
      <c r="Q1623" s="2">
        <v>255.84151065129868</v>
      </c>
      <c r="R1623" s="2">
        <v>2517.9584533758652</v>
      </c>
      <c r="S1623" s="2">
        <v>1056.0736478306471</v>
      </c>
      <c r="T1623" s="2">
        <v>5.8221509760683432</v>
      </c>
      <c r="U1623" s="2">
        <v>22.10546407011725</v>
      </c>
      <c r="V1623" s="2">
        <v>2.3545507225326219</v>
      </c>
    </row>
    <row r="1624" spans="1:22" ht="15">
      <c r="A1624" s="2">
        <v>1623</v>
      </c>
      <c r="B1624" s="2" t="s">
        <v>78</v>
      </c>
      <c r="C1624" s="2" t="s">
        <v>81</v>
      </c>
      <c r="D1624" s="2">
        <v>1067.1882336260751</v>
      </c>
      <c r="E1624" s="2">
        <v>946.60876711132005</v>
      </c>
      <c r="F1624" s="2">
        <v>603.24317067861557</v>
      </c>
      <c r="G1624" s="2">
        <v>131.93813232472166</v>
      </c>
      <c r="H1624" s="2">
        <v>19.327782447449863</v>
      </c>
      <c r="I1624" s="2">
        <v>0.84813766281818981</v>
      </c>
      <c r="J1624" s="2">
        <v>7</v>
      </c>
      <c r="K1624" s="2">
        <v>179.75320355424793</v>
      </c>
      <c r="L1624" s="2">
        <v>12715</v>
      </c>
      <c r="M1624" s="2">
        <v>1200</v>
      </c>
      <c r="N1624" s="2">
        <v>249.97895437657232</v>
      </c>
      <c r="O1624" s="2">
        <v>2504.5900363561514</v>
      </c>
      <c r="P1624" s="2">
        <v>1067.1882336260751</v>
      </c>
      <c r="Q1624" s="2">
        <v>250.70670697885569</v>
      </c>
      <c r="R1624" s="2">
        <v>2519.9510389565053</v>
      </c>
      <c r="S1624" s="2">
        <v>1061.3341175935652</v>
      </c>
      <c r="T1624" s="2">
        <v>0.72775260228337402</v>
      </c>
      <c r="U1624" s="2">
        <v>15.361002600353913</v>
      </c>
      <c r="V1624" s="2">
        <v>-5.8541160325098645</v>
      </c>
    </row>
    <row r="1625" spans="1:22" ht="15">
      <c r="A1625" s="2">
        <v>1624</v>
      </c>
      <c r="B1625" s="2" t="s">
        <v>78</v>
      </c>
      <c r="C1625" s="2" t="s">
        <v>81</v>
      </c>
      <c r="D1625" s="2">
        <v>1060.1180943544023</v>
      </c>
      <c r="E1625" s="2">
        <v>844.46698194369674</v>
      </c>
      <c r="F1625" s="2">
        <v>415.57785486802459</v>
      </c>
      <c r="G1625" s="2">
        <v>125.81336735282093</v>
      </c>
      <c r="H1625" s="2">
        <v>12.779275377746671</v>
      </c>
      <c r="I1625" s="2">
        <v>0.81081430648453534</v>
      </c>
      <c r="J1625" s="2">
        <v>7</v>
      </c>
      <c r="K1625" s="2">
        <v>186.78190658383187</v>
      </c>
      <c r="L1625" s="2">
        <v>15430</v>
      </c>
      <c r="M1625" s="2">
        <v>1200</v>
      </c>
      <c r="N1625" s="2">
        <v>249.97677651896279</v>
      </c>
      <c r="O1625" s="2">
        <v>2502.8673577780824</v>
      </c>
      <c r="P1625" s="2">
        <v>1060.1180943544023</v>
      </c>
      <c r="Q1625" s="2">
        <v>247.98022648756796</v>
      </c>
      <c r="R1625" s="2">
        <v>2460.0890512361461</v>
      </c>
      <c r="S1625" s="2">
        <v>1064.9405485598011</v>
      </c>
      <c r="T1625" s="2">
        <v>-1.9965500313948326</v>
      </c>
      <c r="U1625" s="2">
        <v>-42.778306541936217</v>
      </c>
      <c r="V1625" s="2">
        <v>4.8224542053987989</v>
      </c>
    </row>
    <row r="1626" spans="1:22" ht="15">
      <c r="A1626" s="2">
        <v>1625</v>
      </c>
      <c r="B1626" s="2" t="s">
        <v>78</v>
      </c>
      <c r="C1626" s="2" t="s">
        <v>81</v>
      </c>
      <c r="D1626" s="2">
        <v>1046.1004443466663</v>
      </c>
      <c r="E1626" s="2">
        <v>1152.6574330753647</v>
      </c>
      <c r="F1626" s="2">
        <v>606.75935614854097</v>
      </c>
      <c r="G1626" s="2">
        <v>118.57521206373349</v>
      </c>
      <c r="H1626" s="2">
        <v>26.82120936922729</v>
      </c>
      <c r="I1626" s="2">
        <v>0.80501439054729418</v>
      </c>
      <c r="J1626" s="2">
        <v>7</v>
      </c>
      <c r="K1626" s="2">
        <v>185.64006106692403</v>
      </c>
      <c r="L1626" s="2">
        <v>11390</v>
      </c>
      <c r="M1626" s="2">
        <v>1195</v>
      </c>
      <c r="N1626" s="2">
        <v>250.05364701364039</v>
      </c>
      <c r="O1626" s="2">
        <v>2495.2916163419045</v>
      </c>
      <c r="P1626" s="2">
        <v>1046.1004443466663</v>
      </c>
      <c r="Q1626" s="2">
        <v>249.1705061085984</v>
      </c>
      <c r="R1626" s="2">
        <v>2496.2052094718629</v>
      </c>
      <c r="S1626" s="2">
        <v>1038.5145357925367</v>
      </c>
      <c r="T1626" s="2">
        <v>-0.88314090504198361</v>
      </c>
      <c r="U1626" s="2">
        <v>0.91359312995837172</v>
      </c>
      <c r="V1626" s="2">
        <v>-7.5859085541296736</v>
      </c>
    </row>
    <row r="1627" spans="1:22" ht="15">
      <c r="A1627" s="2">
        <v>1626</v>
      </c>
      <c r="B1627" s="2" t="s">
        <v>78</v>
      </c>
      <c r="C1627" s="2" t="s">
        <v>81</v>
      </c>
      <c r="D1627" s="2">
        <v>1077.9014288098551</v>
      </c>
      <c r="E1627" s="2">
        <v>648.53298685047776</v>
      </c>
      <c r="F1627" s="2">
        <v>702.8501377440989</v>
      </c>
      <c r="G1627" s="2">
        <v>311.22230335138738</v>
      </c>
      <c r="H1627" s="2">
        <v>17.988260593730956</v>
      </c>
      <c r="I1627" s="2">
        <v>0.81118542179930964</v>
      </c>
      <c r="J1627" s="2">
        <v>7</v>
      </c>
      <c r="K1627" s="2">
        <v>189.82826153340878</v>
      </c>
      <c r="L1627" s="2">
        <v>12865</v>
      </c>
      <c r="M1627" s="2">
        <v>1200</v>
      </c>
      <c r="N1627" s="2">
        <v>250.0427231013818</v>
      </c>
      <c r="O1627" s="2">
        <v>2504.4783587171592</v>
      </c>
      <c r="P1627" s="2">
        <v>1077.9014288098551</v>
      </c>
      <c r="Q1627" s="2">
        <v>252.80299899892364</v>
      </c>
      <c r="R1627" s="2">
        <v>2459.8516733172983</v>
      </c>
      <c r="S1627" s="2">
        <v>1080.4276106187428</v>
      </c>
      <c r="T1627" s="2">
        <v>2.7602758975418453</v>
      </c>
      <c r="U1627" s="2">
        <v>-44.626685399860889</v>
      </c>
      <c r="V1627" s="2">
        <v>2.5261818088877135</v>
      </c>
    </row>
    <row r="1628" spans="1:22" ht="15">
      <c r="A1628" s="2">
        <v>1627</v>
      </c>
      <c r="B1628" s="2" t="s">
        <v>78</v>
      </c>
      <c r="C1628" s="2" t="s">
        <v>81</v>
      </c>
      <c r="D1628" s="2">
        <v>975.95273933839053</v>
      </c>
      <c r="E1628" s="2">
        <v>898.38219849625602</v>
      </c>
      <c r="F1628" s="2">
        <v>616.08994640409946</v>
      </c>
      <c r="G1628" s="2">
        <v>244.04092049924657</v>
      </c>
      <c r="H1628" s="2">
        <v>9.9545681411400437</v>
      </c>
      <c r="I1628" s="2">
        <v>0.81140926624415444</v>
      </c>
      <c r="J1628" s="2">
        <v>7</v>
      </c>
      <c r="K1628" s="2">
        <v>171.82675340995192</v>
      </c>
      <c r="L1628" s="2">
        <v>12160</v>
      </c>
      <c r="M1628" s="2">
        <v>1200</v>
      </c>
      <c r="N1628" s="2">
        <v>249.97357977949159</v>
      </c>
      <c r="O1628" s="2">
        <v>2505.036656256304</v>
      </c>
      <c r="P1628" s="2">
        <v>975.95273933839053</v>
      </c>
      <c r="Q1628" s="2">
        <v>253.20694935286696</v>
      </c>
      <c r="R1628" s="2">
        <v>2517.0747591319446</v>
      </c>
      <c r="S1628" s="2">
        <v>976.78398981790735</v>
      </c>
      <c r="T1628" s="2">
        <v>3.23336957337537</v>
      </c>
      <c r="U1628" s="2">
        <v>12.038102875640561</v>
      </c>
      <c r="V1628" s="2">
        <v>0.83125047951682518</v>
      </c>
    </row>
    <row r="1629" spans="1:22" ht="15">
      <c r="A1629" s="2">
        <v>1628</v>
      </c>
      <c r="B1629" s="2" t="s">
        <v>78</v>
      </c>
      <c r="C1629" s="2" t="s">
        <v>81</v>
      </c>
      <c r="D1629" s="2">
        <v>1090.2754903188907</v>
      </c>
      <c r="E1629" s="2">
        <v>1232.3774054180831</v>
      </c>
      <c r="F1629" s="2">
        <v>414.12167204543948</v>
      </c>
      <c r="G1629" s="2">
        <v>217.86789018195122</v>
      </c>
      <c r="H1629" s="2">
        <v>17.585145290475339</v>
      </c>
      <c r="I1629" s="2">
        <v>0.82550312139093884</v>
      </c>
      <c r="J1629" s="2">
        <v>7</v>
      </c>
      <c r="K1629" s="2">
        <v>188.67722899907241</v>
      </c>
      <c r="L1629" s="2">
        <v>11470</v>
      </c>
      <c r="M1629" s="2">
        <v>1195</v>
      </c>
      <c r="N1629" s="2">
        <v>249.98279700446463</v>
      </c>
      <c r="O1629" s="2">
        <v>2495.2126327712572</v>
      </c>
      <c r="P1629" s="2">
        <v>1090.2754903188907</v>
      </c>
      <c r="Q1629" s="2">
        <v>251.20926347592123</v>
      </c>
      <c r="R1629" s="2">
        <v>2567.4993173231487</v>
      </c>
      <c r="S1629" s="2">
        <v>1081.6609628576889</v>
      </c>
      <c r="T1629" s="2">
        <v>1.2264664714566038</v>
      </c>
      <c r="U1629" s="2">
        <v>72.28668455189154</v>
      </c>
      <c r="V1629" s="2">
        <v>-8.6145274612017602</v>
      </c>
    </row>
    <row r="1630" spans="1:22" ht="15">
      <c r="A1630" s="2">
        <v>1629</v>
      </c>
      <c r="B1630" s="2" t="s">
        <v>78</v>
      </c>
      <c r="C1630" s="2" t="s">
        <v>81</v>
      </c>
      <c r="D1630" s="2">
        <v>957.97254960052669</v>
      </c>
      <c r="E1630" s="2">
        <v>788.64738800330088</v>
      </c>
      <c r="F1630" s="2">
        <v>717.36023183912039</v>
      </c>
      <c r="G1630" s="2">
        <v>320.20575062604621</v>
      </c>
      <c r="H1630" s="2">
        <v>11.174847524613142</v>
      </c>
      <c r="I1630" s="2">
        <v>0.8544935521134176</v>
      </c>
      <c r="J1630" s="2">
        <v>6</v>
      </c>
      <c r="K1630" s="2">
        <v>186.84996651548252</v>
      </c>
      <c r="L1630" s="2">
        <v>13660</v>
      </c>
      <c r="M1630" s="2">
        <v>1200</v>
      </c>
      <c r="N1630" s="2">
        <v>249.95995251911856</v>
      </c>
      <c r="O1630" s="2">
        <v>2503.9120742332889</v>
      </c>
      <c r="P1630" s="2">
        <v>957.97254960052669</v>
      </c>
      <c r="Q1630" s="2">
        <v>254.41412033133105</v>
      </c>
      <c r="R1630" s="2">
        <v>2512.0808401713193</v>
      </c>
      <c r="S1630" s="2">
        <v>956.72563844808064</v>
      </c>
      <c r="T1630" s="2">
        <v>4.4541678122124893</v>
      </c>
      <c r="U1630" s="2">
        <v>8.1687659380304467</v>
      </c>
      <c r="V1630" s="2">
        <v>-1.2469111524460459</v>
      </c>
    </row>
    <row r="1631" spans="1:22" ht="15">
      <c r="A1631" s="2">
        <v>1630</v>
      </c>
      <c r="B1631" s="2" t="s">
        <v>78</v>
      </c>
      <c r="C1631" s="2" t="s">
        <v>81</v>
      </c>
      <c r="D1631" s="2">
        <v>1078.4170948085375</v>
      </c>
      <c r="E1631" s="2">
        <v>817.30096626561135</v>
      </c>
      <c r="F1631" s="2">
        <v>438.81073789671063</v>
      </c>
      <c r="G1631" s="2">
        <v>197.45294462889433</v>
      </c>
      <c r="H1631" s="2">
        <v>23.107435511890799</v>
      </c>
      <c r="I1631" s="2">
        <v>0.8068283991096542</v>
      </c>
      <c r="J1631" s="2">
        <v>7</v>
      </c>
      <c r="K1631" s="2">
        <v>190.94467317047219</v>
      </c>
      <c r="L1631" s="2">
        <v>14715</v>
      </c>
      <c r="M1631" s="2">
        <v>1200</v>
      </c>
      <c r="N1631" s="2">
        <v>250.04026079839437</v>
      </c>
      <c r="O1631" s="2">
        <v>2503.2614905335431</v>
      </c>
      <c r="P1631" s="2">
        <v>1078.4170948085375</v>
      </c>
      <c r="Q1631" s="2">
        <v>248.49818152236048</v>
      </c>
      <c r="R1631" s="2">
        <v>2495.8793873030872</v>
      </c>
      <c r="S1631" s="2">
        <v>1081.0065420806345</v>
      </c>
      <c r="T1631" s="2">
        <v>-1.5420792760338884</v>
      </c>
      <c r="U1631" s="2">
        <v>-7.3821032304558685</v>
      </c>
      <c r="V1631" s="2">
        <v>2.5894472720970043</v>
      </c>
    </row>
    <row r="1632" spans="1:22" ht="15">
      <c r="A1632" s="2">
        <v>1631</v>
      </c>
      <c r="B1632" s="2" t="s">
        <v>78</v>
      </c>
      <c r="C1632" s="2" t="s">
        <v>81</v>
      </c>
      <c r="D1632" s="2">
        <v>979.78627721313387</v>
      </c>
      <c r="E1632" s="2">
        <v>983.44967953162268</v>
      </c>
      <c r="F1632" s="2">
        <v>400.01018866896629</v>
      </c>
      <c r="G1632" s="2">
        <v>144.82587516075</v>
      </c>
      <c r="H1632" s="2">
        <v>16.700466773472726</v>
      </c>
      <c r="I1632" s="2">
        <v>0.82706694120308388</v>
      </c>
      <c r="J1632" s="2">
        <v>6</v>
      </c>
      <c r="K1632" s="2">
        <v>197.44195388987063</v>
      </c>
      <c r="L1632" s="2">
        <v>16325</v>
      </c>
      <c r="M1632" s="2">
        <v>1200</v>
      </c>
      <c r="N1632" s="2">
        <v>249.99198881726736</v>
      </c>
      <c r="O1632" s="2">
        <v>2502.4255345450752</v>
      </c>
      <c r="P1632" s="2">
        <v>979.78627721313387</v>
      </c>
      <c r="Q1632" s="2">
        <v>249.42968147934937</v>
      </c>
      <c r="R1632" s="2">
        <v>2504.1116505003356</v>
      </c>
      <c r="S1632" s="2">
        <v>982.37180907855929</v>
      </c>
      <c r="T1632" s="2">
        <v>-0.56230733791798571</v>
      </c>
      <c r="U1632" s="2">
        <v>1.6861159552604477</v>
      </c>
      <c r="V1632" s="2">
        <v>2.5855318654254233</v>
      </c>
    </row>
    <row r="1633" spans="1:22" ht="15">
      <c r="A1633" s="2">
        <v>1632</v>
      </c>
      <c r="B1633" s="2" t="s">
        <v>78</v>
      </c>
      <c r="C1633" s="2" t="s">
        <v>81</v>
      </c>
      <c r="D1633" s="2">
        <v>1013.0085756885819</v>
      </c>
      <c r="E1633" s="2">
        <v>1184.3856751918793</v>
      </c>
      <c r="F1633" s="2">
        <v>577.34950473532081</v>
      </c>
      <c r="G1633" s="2">
        <v>222.9979681270197</v>
      </c>
      <c r="H1633" s="2">
        <v>8.168398620095104</v>
      </c>
      <c r="I1633" s="2">
        <v>0.81197557474486537</v>
      </c>
      <c r="J1633" s="2">
        <v>7</v>
      </c>
      <c r="K1633" s="2">
        <v>178.22643354527787</v>
      </c>
      <c r="L1633" s="2">
        <v>10775</v>
      </c>
      <c r="M1633" s="2">
        <v>1195</v>
      </c>
      <c r="N1633" s="2">
        <v>249.99671721820334</v>
      </c>
      <c r="O1633" s="2">
        <v>2495.9103888989471</v>
      </c>
      <c r="P1633" s="2">
        <v>1013.0085756885819</v>
      </c>
      <c r="Q1633" s="2">
        <v>255.51429618100826</v>
      </c>
      <c r="R1633" s="2">
        <v>2556.4284574011676</v>
      </c>
      <c r="S1633" s="2">
        <v>1011.4482047047268</v>
      </c>
      <c r="T1633" s="2">
        <v>5.5175789628049188</v>
      </c>
      <c r="U1633" s="2">
        <v>60.518068502220558</v>
      </c>
      <c r="V1633" s="2">
        <v>-1.5603709838551367</v>
      </c>
    </row>
    <row r="1634" spans="1:22" ht="15">
      <c r="A1634" s="2">
        <v>1633</v>
      </c>
      <c r="B1634" s="2" t="s">
        <v>78</v>
      </c>
      <c r="C1634" s="2" t="s">
        <v>81</v>
      </c>
      <c r="D1634" s="2">
        <v>1018.592646624893</v>
      </c>
      <c r="E1634" s="2">
        <v>862.31181541224942</v>
      </c>
      <c r="F1634" s="2">
        <v>490.30354265123606</v>
      </c>
      <c r="G1634" s="2">
        <v>110.47421114752069</v>
      </c>
      <c r="H1634" s="2">
        <v>20.788804167881608</v>
      </c>
      <c r="I1634" s="2">
        <v>0.79461694079684098</v>
      </c>
      <c r="J1634" s="2">
        <v>7</v>
      </c>
      <c r="K1634" s="2">
        <v>183.12375153518255</v>
      </c>
      <c r="L1634" s="2">
        <v>14615</v>
      </c>
      <c r="M1634" s="2">
        <v>1200</v>
      </c>
      <c r="N1634" s="2">
        <v>249.96832607985712</v>
      </c>
      <c r="O1634" s="2">
        <v>2503.3169370002911</v>
      </c>
      <c r="P1634" s="2">
        <v>1018.592646624893</v>
      </c>
      <c r="Q1634" s="2">
        <v>246.60698459766689</v>
      </c>
      <c r="R1634" s="2">
        <v>2497.5429627962444</v>
      </c>
      <c r="S1634" s="2">
        <v>1019.3932624566086</v>
      </c>
      <c r="T1634" s="2">
        <v>-3.3613414821902268</v>
      </c>
      <c r="U1634" s="2">
        <v>-5.7739742040466808</v>
      </c>
      <c r="V1634" s="2">
        <v>0.80061583171561779</v>
      </c>
    </row>
    <row r="1635" spans="1:22" ht="15">
      <c r="A1635" s="2">
        <v>1634</v>
      </c>
      <c r="B1635" s="2" t="s">
        <v>78</v>
      </c>
      <c r="C1635" s="2" t="s">
        <v>81</v>
      </c>
      <c r="D1635" s="2">
        <v>1092.2168144606985</v>
      </c>
      <c r="E1635" s="2">
        <v>940.16835719812661</v>
      </c>
      <c r="F1635" s="2">
        <v>742.74424249306321</v>
      </c>
      <c r="G1635" s="2">
        <v>270.41434698738158</v>
      </c>
      <c r="H1635" s="2">
        <v>29.994382478762418</v>
      </c>
      <c r="I1635" s="2">
        <v>0.80491940996143974</v>
      </c>
      <c r="J1635" s="2">
        <v>7</v>
      </c>
      <c r="K1635" s="2">
        <v>193.8467026181668</v>
      </c>
      <c r="L1635" s="2">
        <v>10950</v>
      </c>
      <c r="M1635" s="2">
        <v>1195</v>
      </c>
      <c r="N1635" s="2">
        <v>250.03740934418121</v>
      </c>
      <c r="O1635" s="2">
        <v>2495.7283288769136</v>
      </c>
      <c r="P1635" s="2">
        <v>1092.2168144606985</v>
      </c>
      <c r="Q1635" s="2">
        <v>252.28805628870964</v>
      </c>
      <c r="R1635" s="2">
        <v>2502.6468200839427</v>
      </c>
      <c r="S1635" s="2">
        <v>1072.5384422833597</v>
      </c>
      <c r="T1635" s="2">
        <v>2.2506469445284267</v>
      </c>
      <c r="U1635" s="2">
        <v>6.918491207029092</v>
      </c>
      <c r="V1635" s="2">
        <v>-19.678372177338815</v>
      </c>
    </row>
    <row r="1636" spans="1:22" ht="15">
      <c r="A1636" s="2">
        <v>1635</v>
      </c>
      <c r="B1636" s="2" t="s">
        <v>79</v>
      </c>
      <c r="C1636" s="2" t="s">
        <v>81</v>
      </c>
      <c r="D1636" s="2">
        <v>1075.4266015952453</v>
      </c>
      <c r="E1636" s="2">
        <v>814.19892698759213</v>
      </c>
      <c r="F1636" s="2">
        <v>548.39274100959301</v>
      </c>
      <c r="G1636" s="2">
        <v>187.28511371416971</v>
      </c>
      <c r="H1636" s="2">
        <v>13.53714229632169</v>
      </c>
      <c r="I1636" s="2">
        <v>0.83764543720288209</v>
      </c>
      <c r="J1636" s="2">
        <v>7</v>
      </c>
      <c r="K1636" s="2">
        <v>183.40978752237035</v>
      </c>
      <c r="L1636" s="2">
        <v>13800</v>
      </c>
      <c r="M1636" s="2">
        <v>1200</v>
      </c>
      <c r="N1636" s="2">
        <v>250.02951471306952</v>
      </c>
      <c r="O1636" s="2">
        <v>2503.8221427216981</v>
      </c>
      <c r="P1636" s="2">
        <v>1075.4266015952453</v>
      </c>
      <c r="Q1636" s="2">
        <v>252.02355458229874</v>
      </c>
      <c r="R1636" s="2">
        <v>2494.7616060074761</v>
      </c>
      <c r="S1636" s="2">
        <v>1082.8738830959257</v>
      </c>
      <c r="T1636" s="2">
        <v>1.9940398692292263</v>
      </c>
      <c r="U1636" s="2">
        <v>-9.060536714222053</v>
      </c>
      <c r="V1636" s="2">
        <v>7.4472815006804467</v>
      </c>
    </row>
    <row r="1637" spans="1:22" ht="15">
      <c r="A1637" s="2">
        <v>1636</v>
      </c>
      <c r="B1637" s="2" t="s">
        <v>79</v>
      </c>
      <c r="C1637" s="2" t="s">
        <v>81</v>
      </c>
      <c r="D1637" s="2">
        <v>1066.3444820209406</v>
      </c>
      <c r="E1637" s="2">
        <v>965.49977590329945</v>
      </c>
      <c r="F1637" s="2">
        <v>699.49515191838145</v>
      </c>
      <c r="G1637" s="2">
        <v>275.1088331406936</v>
      </c>
      <c r="H1637" s="2">
        <v>15.876044548582286</v>
      </c>
      <c r="I1637" s="2">
        <v>0.82896366832777857</v>
      </c>
      <c r="J1637" s="2">
        <v>7</v>
      </c>
      <c r="K1637" s="2">
        <v>183.7655036321292</v>
      </c>
      <c r="L1637" s="2">
        <v>11025</v>
      </c>
      <c r="M1637" s="2">
        <v>1195</v>
      </c>
      <c r="N1637" s="2">
        <v>250.04536737570061</v>
      </c>
      <c r="O1637" s="2">
        <v>2495.6516747965916</v>
      </c>
      <c r="P1637" s="2">
        <v>1066.3444820209406</v>
      </c>
      <c r="Q1637" s="2">
        <v>252.60489784207718</v>
      </c>
      <c r="R1637" s="2">
        <v>2529.3917232609942</v>
      </c>
      <c r="S1637" s="2">
        <v>1064.5344772755932</v>
      </c>
      <c r="T1637" s="2">
        <v>2.5595304663765717</v>
      </c>
      <c r="U1637" s="2">
        <v>33.740048464402662</v>
      </c>
      <c r="V1637" s="2">
        <v>-1.8100047453474417</v>
      </c>
    </row>
    <row r="1638" spans="1:22" ht="15">
      <c r="A1638" s="2">
        <v>1637</v>
      </c>
      <c r="B1638" s="2" t="s">
        <v>79</v>
      </c>
      <c r="C1638" s="2" t="s">
        <v>81</v>
      </c>
      <c r="D1638" s="2">
        <v>989.06721458770335</v>
      </c>
      <c r="E1638" s="2">
        <v>993.34443564293906</v>
      </c>
      <c r="F1638" s="2">
        <v>627.03553568571806</v>
      </c>
      <c r="G1638" s="2">
        <v>248.41528686927631</v>
      </c>
      <c r="H1638" s="2">
        <v>9.2665906324982643</v>
      </c>
      <c r="I1638" s="2">
        <v>0.84398290092358375</v>
      </c>
      <c r="J1638" s="2">
        <v>6</v>
      </c>
      <c r="K1638" s="2">
        <v>195.31738804687305</v>
      </c>
      <c r="L1638" s="2">
        <v>13350</v>
      </c>
      <c r="M1638" s="2">
        <v>1200</v>
      </c>
      <c r="N1638" s="2">
        <v>249.98337680147279</v>
      </c>
      <c r="O1638" s="2">
        <v>2504.124540820304</v>
      </c>
      <c r="P1638" s="2">
        <v>989.06721458770335</v>
      </c>
      <c r="Q1638" s="2">
        <v>254.56155298998775</v>
      </c>
      <c r="R1638" s="2">
        <v>2478.7175757664963</v>
      </c>
      <c r="S1638" s="2">
        <v>984.4308588175976</v>
      </c>
      <c r="T1638" s="2">
        <v>4.5781761885149592</v>
      </c>
      <c r="U1638" s="2">
        <v>-25.406965053807653</v>
      </c>
      <c r="V1638" s="2">
        <v>-4.6363557701057516</v>
      </c>
    </row>
    <row r="1639" spans="1:22" ht="15">
      <c r="A1639" s="2">
        <v>1638</v>
      </c>
      <c r="B1639" s="2" t="s">
        <v>80</v>
      </c>
      <c r="C1639" s="2" t="s">
        <v>81</v>
      </c>
      <c r="D1639" s="2">
        <v>1056.7157465149648</v>
      </c>
      <c r="E1639" s="2">
        <v>657.97141043003649</v>
      </c>
      <c r="F1639" s="2">
        <v>697.93245466426015</v>
      </c>
      <c r="G1639" s="2">
        <v>307.20451047644019</v>
      </c>
      <c r="H1639" s="2">
        <v>20.919965504202992</v>
      </c>
      <c r="I1639" s="2">
        <v>0.8433730237325654</v>
      </c>
      <c r="J1639" s="2">
        <v>7</v>
      </c>
      <c r="K1639" s="2">
        <v>178.9948078860418</v>
      </c>
      <c r="L1639" s="2">
        <v>12860</v>
      </c>
      <c r="M1639" s="2">
        <v>1200</v>
      </c>
      <c r="N1639" s="2">
        <v>250.02122178672855</v>
      </c>
      <c r="O1639" s="2">
        <v>2504.4812864758724</v>
      </c>
      <c r="P1639" s="2">
        <v>1056.7157465149648</v>
      </c>
      <c r="Q1639" s="2">
        <v>250.1857684052558</v>
      </c>
      <c r="R1639" s="2">
        <v>2511.8421411323457</v>
      </c>
      <c r="S1639" s="2">
        <v>1050.6807109747017</v>
      </c>
      <c r="T1639" s="2">
        <v>0.16454661852725394</v>
      </c>
      <c r="U1639" s="2">
        <v>7.3608546564732933</v>
      </c>
      <c r="V1639" s="2">
        <v>-6.0350355402631521</v>
      </c>
    </row>
    <row r="1640" spans="1:22" ht="15">
      <c r="A1640" s="2">
        <v>1639</v>
      </c>
      <c r="B1640" s="2" t="s">
        <v>80</v>
      </c>
      <c r="C1640" s="2" t="s">
        <v>81</v>
      </c>
      <c r="D1640" s="2">
        <v>1089.422372286208</v>
      </c>
      <c r="E1640" s="2">
        <v>641.77288376959041</v>
      </c>
      <c r="F1640" s="2">
        <v>573.26200604438782</v>
      </c>
      <c r="G1640" s="2">
        <v>133.14888985594735</v>
      </c>
      <c r="H1640" s="2">
        <v>26.911592829041183</v>
      </c>
      <c r="I1640" s="2">
        <v>0.83533217556541794</v>
      </c>
      <c r="J1640" s="2">
        <v>7</v>
      </c>
      <c r="K1640" s="2">
        <v>186.31123285070942</v>
      </c>
      <c r="L1640" s="2">
        <v>15865</v>
      </c>
      <c r="M1640" s="2">
        <v>1200</v>
      </c>
      <c r="N1640" s="2">
        <v>250.03716377407312</v>
      </c>
      <c r="O1640" s="2">
        <v>2502.6480474182144</v>
      </c>
      <c r="P1640" s="2">
        <v>1089.422372286208</v>
      </c>
      <c r="Q1640" s="2">
        <v>249.06970510108684</v>
      </c>
      <c r="R1640" s="2">
        <v>2459.2038211031586</v>
      </c>
      <c r="S1640" s="2">
        <v>1087.3850159338981</v>
      </c>
      <c r="T1640" s="2">
        <v>-0.96745867298628241</v>
      </c>
      <c r="U1640" s="2">
        <v>-43.444226315055857</v>
      </c>
      <c r="V1640" s="2">
        <v>-2.037356352309871</v>
      </c>
    </row>
    <row r="1641" spans="1:22" ht="15">
      <c r="A1641" s="2">
        <v>1640</v>
      </c>
      <c r="B1641" s="2" t="s">
        <v>80</v>
      </c>
      <c r="C1641" s="2" t="s">
        <v>81</v>
      </c>
      <c r="D1641" s="2">
        <v>990.17706298036501</v>
      </c>
      <c r="E1641" s="2">
        <v>865.0595479644835</v>
      </c>
      <c r="F1641" s="2">
        <v>656.16600876674056</v>
      </c>
      <c r="G1641" s="2">
        <v>248.85602998081595</v>
      </c>
      <c r="H1641" s="2">
        <v>20.524231357034296</v>
      </c>
      <c r="I1641" s="2">
        <v>0.81988701836206024</v>
      </c>
      <c r="J1641" s="2">
        <v>7</v>
      </c>
      <c r="K1641" s="2">
        <v>172.52848620855517</v>
      </c>
      <c r="L1641" s="2">
        <v>12080</v>
      </c>
      <c r="M1641" s="2">
        <v>1200</v>
      </c>
      <c r="N1641" s="2">
        <v>249.96293195710237</v>
      </c>
      <c r="O1641" s="2">
        <v>2505.1039989325682</v>
      </c>
      <c r="P1641" s="2">
        <v>990.17706298036501</v>
      </c>
      <c r="Q1641" s="2">
        <v>250.52070191426805</v>
      </c>
      <c r="R1641" s="2">
        <v>2515.585863653132</v>
      </c>
      <c r="S1641" s="2">
        <v>991.54760982825348</v>
      </c>
      <c r="T1641" s="2">
        <v>0.55776995716567512</v>
      </c>
      <c r="U1641" s="2">
        <v>10.481864720563863</v>
      </c>
      <c r="V1641" s="2">
        <v>1.3705468478884768</v>
      </c>
    </row>
    <row r="1642" spans="1:22" ht="15">
      <c r="A1642" s="2">
        <v>1641</v>
      </c>
      <c r="B1642" s="2" t="s">
        <v>78</v>
      </c>
      <c r="C1642" s="2" t="s">
        <v>81</v>
      </c>
      <c r="D1642" s="2">
        <v>1003.2991727814078</v>
      </c>
      <c r="E1642" s="2">
        <v>777.59806480025873</v>
      </c>
      <c r="F1642" s="2">
        <v>640.61897415667772</v>
      </c>
      <c r="G1642" s="2">
        <v>231.49083320284262</v>
      </c>
      <c r="H1642" s="2">
        <v>15.757548024877906</v>
      </c>
      <c r="I1642" s="2">
        <v>0.79578965322347361</v>
      </c>
      <c r="J1642" s="2">
        <v>7</v>
      </c>
      <c r="K1642" s="2">
        <v>180.10846543921744</v>
      </c>
      <c r="L1642" s="2">
        <v>12965</v>
      </c>
      <c r="M1642" s="2">
        <v>1200</v>
      </c>
      <c r="N1642" s="2">
        <v>250.03148980300898</v>
      </c>
      <c r="O1642" s="2">
        <v>2504.4032794654163</v>
      </c>
      <c r="P1642" s="2">
        <v>1003.2991727814078</v>
      </c>
      <c r="Q1642" s="2">
        <v>253.95925273135697</v>
      </c>
      <c r="R1642" s="2">
        <v>2469.1139174341183</v>
      </c>
      <c r="S1642" s="2">
        <v>1007.9722255028506</v>
      </c>
      <c r="T1642" s="2">
        <v>3.9277629283479882</v>
      </c>
      <c r="U1642" s="2">
        <v>-35.289362031297969</v>
      </c>
      <c r="V1642" s="2">
        <v>4.6730527214427866</v>
      </c>
    </row>
    <row r="1643" spans="1:22" ht="15">
      <c r="A1643" s="2">
        <v>1642</v>
      </c>
      <c r="B1643" s="2" t="s">
        <v>78</v>
      </c>
      <c r="C1643" s="2" t="s">
        <v>81</v>
      </c>
      <c r="D1643" s="2">
        <v>1065.2713943854906</v>
      </c>
      <c r="E1643" s="2">
        <v>1046.9820533180609</v>
      </c>
      <c r="F1643" s="2">
        <v>476.61134013906121</v>
      </c>
      <c r="G1643" s="2">
        <v>227.10760000161827</v>
      </c>
      <c r="H1643" s="2">
        <v>15.648052443284541</v>
      </c>
      <c r="I1643" s="2">
        <v>0.83354844328481703</v>
      </c>
      <c r="J1643" s="2">
        <v>7</v>
      </c>
      <c r="K1643" s="2">
        <v>182.57082596140907</v>
      </c>
      <c r="L1643" s="2">
        <v>12215</v>
      </c>
      <c r="M1643" s="2">
        <v>1200</v>
      </c>
      <c r="N1643" s="2">
        <v>249.9888417320721</v>
      </c>
      <c r="O1643" s="2">
        <v>2504.9911806231221</v>
      </c>
      <c r="P1643" s="2">
        <v>1065.2713943854906</v>
      </c>
      <c r="Q1643" s="2">
        <v>251.90746447717967</v>
      </c>
      <c r="R1643" s="2">
        <v>2479.7912981607451</v>
      </c>
      <c r="S1643" s="2">
        <v>1065.4791192036305</v>
      </c>
      <c r="T1643" s="2">
        <v>1.9186227451075695</v>
      </c>
      <c r="U1643" s="2">
        <v>-25.199882462376991</v>
      </c>
      <c r="V1643" s="2">
        <v>0.20772481813992272</v>
      </c>
    </row>
    <row r="1644" spans="1:22" ht="15">
      <c r="A1644" s="2">
        <v>1643</v>
      </c>
      <c r="B1644" s="2" t="s">
        <v>78</v>
      </c>
      <c r="C1644" s="2" t="s">
        <v>81</v>
      </c>
      <c r="D1644" s="2">
        <v>1017.2170168487355</v>
      </c>
      <c r="E1644" s="2">
        <v>774.98146208235994</v>
      </c>
      <c r="F1644" s="2">
        <v>394.07189078629017</v>
      </c>
      <c r="G1644" s="2">
        <v>116.52389923809096</v>
      </c>
      <c r="H1644" s="2">
        <v>8.2108723381534219</v>
      </c>
      <c r="I1644" s="2">
        <v>0.85195687344996263</v>
      </c>
      <c r="J1644" s="2">
        <v>6</v>
      </c>
      <c r="K1644" s="2">
        <v>198.99618719931189</v>
      </c>
      <c r="L1644" s="2">
        <v>19410</v>
      </c>
      <c r="M1644" s="2">
        <v>1200</v>
      </c>
      <c r="N1644" s="2">
        <v>250.02975289982166</v>
      </c>
      <c r="O1644" s="2">
        <v>2501.2145162571114</v>
      </c>
      <c r="P1644" s="2">
        <v>1017.2170168487355</v>
      </c>
      <c r="Q1644" s="2">
        <v>248.72458074231824</v>
      </c>
      <c r="R1644" s="2">
        <v>2522.6157108440757</v>
      </c>
      <c r="S1644" s="2">
        <v>1035.3843873551234</v>
      </c>
      <c r="T1644" s="2">
        <v>-1.3051721575034207</v>
      </c>
      <c r="U1644" s="2">
        <v>21.401194586964266</v>
      </c>
      <c r="V1644" s="2">
        <v>18.167370506387897</v>
      </c>
    </row>
    <row r="1645" spans="1:22" ht="15">
      <c r="A1645" s="2">
        <v>1644</v>
      </c>
      <c r="B1645" s="2" t="s">
        <v>78</v>
      </c>
      <c r="C1645" s="2" t="s">
        <v>81</v>
      </c>
      <c r="D1645" s="2">
        <v>1001.0563230491243</v>
      </c>
      <c r="E1645" s="2">
        <v>1083.3120049443096</v>
      </c>
      <c r="F1645" s="2">
        <v>484.44560570642352</v>
      </c>
      <c r="G1645" s="2">
        <v>183.91604609321803</v>
      </c>
      <c r="H1645" s="2">
        <v>22.57634701160714</v>
      </c>
      <c r="I1645" s="2">
        <v>0.85746406156569721</v>
      </c>
      <c r="J1645" s="2">
        <v>6</v>
      </c>
      <c r="K1645" s="2">
        <v>194.57692512912885</v>
      </c>
      <c r="L1645" s="2">
        <v>14245</v>
      </c>
      <c r="M1645" s="2">
        <v>1200</v>
      </c>
      <c r="N1645" s="2">
        <v>250.0255156269809</v>
      </c>
      <c r="O1645" s="2">
        <v>2503.5401508776895</v>
      </c>
      <c r="P1645" s="2">
        <v>1001.0563230491243</v>
      </c>
      <c r="Q1645" s="2">
        <v>248.98636786563992</v>
      </c>
      <c r="R1645" s="2">
        <v>2480.0973173128318</v>
      </c>
      <c r="S1645" s="2">
        <v>995.81100643342324</v>
      </c>
      <c r="T1645" s="2">
        <v>-1.0391477613409847</v>
      </c>
      <c r="U1645" s="2">
        <v>-23.442833564857665</v>
      </c>
      <c r="V1645" s="2">
        <v>-5.2453166157010855</v>
      </c>
    </row>
    <row r="1646" spans="1:22" ht="15">
      <c r="A1646" s="2">
        <v>1645</v>
      </c>
      <c r="B1646" s="2" t="s">
        <v>78</v>
      </c>
      <c r="C1646" s="2" t="s">
        <v>81</v>
      </c>
      <c r="D1646" s="2">
        <v>1004.2152976151556</v>
      </c>
      <c r="E1646" s="2">
        <v>832.58327197981998</v>
      </c>
      <c r="F1646" s="2">
        <v>457.22239520400763</v>
      </c>
      <c r="G1646" s="2">
        <v>112.37758745672181</v>
      </c>
      <c r="H1646" s="2">
        <v>17.924498591572046</v>
      </c>
      <c r="I1646" s="2">
        <v>0.7938551922910847</v>
      </c>
      <c r="J1646" s="2">
        <v>7</v>
      </c>
      <c r="K1646" s="2">
        <v>180.71221253426526</v>
      </c>
      <c r="L1646" s="2">
        <v>15250</v>
      </c>
      <c r="M1646" s="2">
        <v>1200</v>
      </c>
      <c r="N1646" s="2">
        <v>249.9710647768612</v>
      </c>
      <c r="O1646" s="2">
        <v>2502.9623891619131</v>
      </c>
      <c r="P1646" s="2">
        <v>1004.2152976151556</v>
      </c>
      <c r="Q1646" s="2">
        <v>249.62437413986632</v>
      </c>
      <c r="R1646" s="2">
        <v>2505.9486416688346</v>
      </c>
      <c r="S1646" s="2">
        <v>1009.5417847722068</v>
      </c>
      <c r="T1646" s="2">
        <v>-0.34669063699487879</v>
      </c>
      <c r="U1646" s="2">
        <v>2.9862525069215735</v>
      </c>
      <c r="V1646" s="2">
        <v>5.3264871570512469</v>
      </c>
    </row>
    <row r="1647" spans="1:22" ht="15">
      <c r="A1647" s="2">
        <v>1646</v>
      </c>
      <c r="B1647" s="2" t="s">
        <v>78</v>
      </c>
      <c r="C1647" s="2" t="s">
        <v>81</v>
      </c>
      <c r="D1647" s="2">
        <v>1079.0579958003946</v>
      </c>
      <c r="E1647" s="2">
        <v>798.76933998893946</v>
      </c>
      <c r="F1647" s="2">
        <v>466.36262880638242</v>
      </c>
      <c r="G1647" s="2">
        <v>204.46320801973343</v>
      </c>
      <c r="H1647" s="2">
        <v>23.870451519731432</v>
      </c>
      <c r="I1647" s="2">
        <v>0.80434801570605485</v>
      </c>
      <c r="J1647" s="2">
        <v>7</v>
      </c>
      <c r="K1647" s="2">
        <v>191.6473208700412</v>
      </c>
      <c r="L1647" s="2">
        <v>14550</v>
      </c>
      <c r="M1647" s="2">
        <v>1200</v>
      </c>
      <c r="N1647" s="2">
        <v>249.96319807105496</v>
      </c>
      <c r="O1647" s="2">
        <v>2503.3548074432756</v>
      </c>
      <c r="P1647" s="2">
        <v>1079.0579958003946</v>
      </c>
      <c r="Q1647" s="2">
        <v>249.20969617659736</v>
      </c>
      <c r="R1647" s="2">
        <v>2505.7956438402302</v>
      </c>
      <c r="S1647" s="2">
        <v>1076.1008471681162</v>
      </c>
      <c r="T1647" s="2">
        <v>-0.75350189445759952</v>
      </c>
      <c r="U1647" s="2">
        <v>2.4408363969546372</v>
      </c>
      <c r="V1647" s="2">
        <v>-2.957148632278404</v>
      </c>
    </row>
    <row r="1648" spans="1:22" ht="15">
      <c r="A1648" s="2">
        <v>1647</v>
      </c>
      <c r="B1648" s="2" t="s">
        <v>78</v>
      </c>
      <c r="C1648" s="2" t="s">
        <v>81</v>
      </c>
      <c r="D1648" s="2">
        <v>1031.3243897864595</v>
      </c>
      <c r="E1648" s="2">
        <v>883.05117721902207</v>
      </c>
      <c r="F1648" s="2">
        <v>697.20287695527077</v>
      </c>
      <c r="G1648" s="2">
        <v>306.99447575723752</v>
      </c>
      <c r="H1648" s="2">
        <v>11.412359192036092</v>
      </c>
      <c r="I1648" s="2">
        <v>0.79756515225162739</v>
      </c>
      <c r="J1648" s="2">
        <v>7</v>
      </c>
      <c r="K1648" s="2">
        <v>184.72729816221644</v>
      </c>
      <c r="L1648" s="2">
        <v>11330</v>
      </c>
      <c r="M1648" s="2">
        <v>1195</v>
      </c>
      <c r="N1648" s="2">
        <v>249.96202749967463</v>
      </c>
      <c r="O1648" s="2">
        <v>2495.3452759293441</v>
      </c>
      <c r="P1648" s="2">
        <v>1031.3243897864595</v>
      </c>
      <c r="Q1648" s="2">
        <v>252.56436570893189</v>
      </c>
      <c r="R1648" s="2">
        <v>2461.9124672347129</v>
      </c>
      <c r="S1648" s="2">
        <v>1025.5236667494385</v>
      </c>
      <c r="T1648" s="2">
        <v>2.6023382092572547</v>
      </c>
      <c r="U1648" s="2">
        <v>-33.432808694631149</v>
      </c>
      <c r="V1648" s="2">
        <v>-5.8007230370210436</v>
      </c>
    </row>
    <row r="1649" spans="1:22" ht="15">
      <c r="A1649" s="2">
        <v>1648</v>
      </c>
      <c r="B1649" s="2" t="s">
        <v>78</v>
      </c>
      <c r="C1649" s="2" t="s">
        <v>81</v>
      </c>
      <c r="D1649" s="2">
        <v>982.35870561329648</v>
      </c>
      <c r="E1649" s="2">
        <v>859.44172907620668</v>
      </c>
      <c r="F1649" s="2">
        <v>594.63677247986197</v>
      </c>
      <c r="G1649" s="2">
        <v>153.83701961953193</v>
      </c>
      <c r="H1649" s="2">
        <v>18.920729124452919</v>
      </c>
      <c r="I1649" s="2">
        <v>0.79585255808196964</v>
      </c>
      <c r="J1649" s="2">
        <v>7</v>
      </c>
      <c r="K1649" s="2">
        <v>176.33537332966958</v>
      </c>
      <c r="L1649" s="2">
        <v>13300</v>
      </c>
      <c r="M1649" s="2">
        <v>1200</v>
      </c>
      <c r="N1649" s="2">
        <v>249.9943057284454</v>
      </c>
      <c r="O1649" s="2">
        <v>2504.1599978318673</v>
      </c>
      <c r="P1649" s="2">
        <v>982.35870561329648</v>
      </c>
      <c r="Q1649" s="2">
        <v>251.79943657816438</v>
      </c>
      <c r="R1649" s="2">
        <v>2499.6928595897225</v>
      </c>
      <c r="S1649" s="2">
        <v>980.85751259069548</v>
      </c>
      <c r="T1649" s="2">
        <v>1.805130849718978</v>
      </c>
      <c r="U1649" s="2">
        <v>-4.4671382421447561</v>
      </c>
      <c r="V1649" s="2">
        <v>-1.5011930226010008</v>
      </c>
    </row>
    <row r="1650" spans="1:22" ht="15">
      <c r="A1650" s="2">
        <v>1649</v>
      </c>
      <c r="B1650" s="2" t="s">
        <v>78</v>
      </c>
      <c r="C1650" s="2" t="s">
        <v>81</v>
      </c>
      <c r="D1650" s="2">
        <v>1003.3823114819825</v>
      </c>
      <c r="E1650" s="2">
        <v>1152.1955521195196</v>
      </c>
      <c r="F1650" s="2">
        <v>691.4374927058816</v>
      </c>
      <c r="G1650" s="2">
        <v>165.60840418795124</v>
      </c>
      <c r="H1650" s="2">
        <v>20.143818961456418</v>
      </c>
      <c r="I1650" s="2">
        <v>0.81370554342167456</v>
      </c>
      <c r="J1650" s="2">
        <v>7</v>
      </c>
      <c r="K1650" s="2">
        <v>176.15749501835535</v>
      </c>
      <c r="L1650" s="2">
        <v>10645</v>
      </c>
      <c r="M1650" s="2">
        <v>1195</v>
      </c>
      <c r="N1650" s="2">
        <v>250.03067069554712</v>
      </c>
      <c r="O1650" s="2">
        <v>2496.0524621716504</v>
      </c>
      <c r="P1650" s="2">
        <v>1003.3823114819825</v>
      </c>
      <c r="Q1650" s="2">
        <v>252.66752875001788</v>
      </c>
      <c r="R1650" s="2">
        <v>2524.4177486606268</v>
      </c>
      <c r="S1650" s="2">
        <v>990.45091851906523</v>
      </c>
      <c r="T1650" s="2">
        <v>2.636858054470764</v>
      </c>
      <c r="U1650" s="2">
        <v>28.36528648897638</v>
      </c>
      <c r="V1650" s="2">
        <v>-12.931392962917243</v>
      </c>
    </row>
    <row r="1651" spans="1:22" ht="15">
      <c r="A1651" s="2">
        <v>1650</v>
      </c>
      <c r="B1651" s="2" t="s">
        <v>78</v>
      </c>
      <c r="C1651" s="2" t="s">
        <v>81</v>
      </c>
      <c r="D1651" s="2">
        <v>997.68114682519808</v>
      </c>
      <c r="E1651" s="2">
        <v>1234.0941046597436</v>
      </c>
      <c r="F1651" s="2">
        <v>468.77104127779603</v>
      </c>
      <c r="G1651" s="2">
        <v>243.69382035918534</v>
      </c>
      <c r="H1651" s="2">
        <v>9.3508322243578732</v>
      </c>
      <c r="I1651" s="2">
        <v>0.82564191492740069</v>
      </c>
      <c r="J1651" s="2">
        <v>7</v>
      </c>
      <c r="K1651" s="2">
        <v>172.62432483265806</v>
      </c>
      <c r="L1651" s="2">
        <v>10985</v>
      </c>
      <c r="M1651" s="2">
        <v>1195</v>
      </c>
      <c r="N1651" s="2">
        <v>249.96694221209188</v>
      </c>
      <c r="O1651" s="2">
        <v>2495.6890952668787</v>
      </c>
      <c r="P1651" s="2">
        <v>997.68114682519808</v>
      </c>
      <c r="Q1651" s="2">
        <v>254.91980280244172</v>
      </c>
      <c r="R1651" s="2">
        <v>2487.1716930356506</v>
      </c>
      <c r="S1651" s="2">
        <v>991.70178209920084</v>
      </c>
      <c r="T1651" s="2">
        <v>4.9528605903498431</v>
      </c>
      <c r="U1651" s="2">
        <v>-8.5174022312280613</v>
      </c>
      <c r="V1651" s="2">
        <v>-5.9793647259972431</v>
      </c>
    </row>
    <row r="1652" spans="1:22" ht="15">
      <c r="A1652" s="2">
        <v>1651</v>
      </c>
      <c r="B1652" s="2" t="s">
        <v>78</v>
      </c>
      <c r="C1652" s="2" t="s">
        <v>81</v>
      </c>
      <c r="D1652" s="2">
        <v>964.06497859861702</v>
      </c>
      <c r="E1652" s="2">
        <v>1223.6189219751395</v>
      </c>
      <c r="F1652" s="2">
        <v>497.41221629083157</v>
      </c>
      <c r="G1652" s="2">
        <v>213.5929284687154</v>
      </c>
      <c r="H1652" s="2">
        <v>14.888321590609848</v>
      </c>
      <c r="I1652" s="2">
        <v>0.80491988037480044</v>
      </c>
      <c r="J1652" s="2">
        <v>6</v>
      </c>
      <c r="K1652" s="2">
        <v>199.61924205212259</v>
      </c>
      <c r="L1652" s="2">
        <v>12895</v>
      </c>
      <c r="M1652" s="2">
        <v>1200</v>
      </c>
      <c r="N1652" s="2">
        <v>249.96911464988796</v>
      </c>
      <c r="O1652" s="2">
        <v>2504.4530002433794</v>
      </c>
      <c r="P1652" s="2">
        <v>964.06497859861702</v>
      </c>
      <c r="Q1652" s="2">
        <v>249.61353987147999</v>
      </c>
      <c r="R1652" s="2">
        <v>2536.7515209130988</v>
      </c>
      <c r="S1652" s="2">
        <v>957.49963084585931</v>
      </c>
      <c r="T1652" s="2">
        <v>-0.35557477840796992</v>
      </c>
      <c r="U1652" s="2">
        <v>32.298520669719437</v>
      </c>
      <c r="V1652" s="2">
        <v>-6.5653477527577024</v>
      </c>
    </row>
    <row r="1653" spans="1:22" ht="15">
      <c r="A1653" s="2">
        <v>1652</v>
      </c>
      <c r="B1653" s="2" t="s">
        <v>78</v>
      </c>
      <c r="C1653" s="2" t="s">
        <v>81</v>
      </c>
      <c r="D1653" s="2">
        <v>985.93199042370543</v>
      </c>
      <c r="E1653" s="2">
        <v>954.33759489096701</v>
      </c>
      <c r="F1653" s="2">
        <v>619.89542720839381</v>
      </c>
      <c r="G1653" s="2">
        <v>192.75077553000301</v>
      </c>
      <c r="H1653" s="2">
        <v>11.841734289657325</v>
      </c>
      <c r="I1653" s="2">
        <v>0.84078814128413804</v>
      </c>
      <c r="J1653" s="2">
        <v>6</v>
      </c>
      <c r="K1653" s="2">
        <v>195.43805429151448</v>
      </c>
      <c r="L1653" s="2">
        <v>14120</v>
      </c>
      <c r="M1653" s="2">
        <v>1200</v>
      </c>
      <c r="N1653" s="2">
        <v>249.99740022976746</v>
      </c>
      <c r="O1653" s="2">
        <v>2503.6165423566513</v>
      </c>
      <c r="P1653" s="2">
        <v>985.93199042370543</v>
      </c>
      <c r="Q1653" s="2">
        <v>254.18664158156352</v>
      </c>
      <c r="R1653" s="2">
        <v>2499.361212645123</v>
      </c>
      <c r="S1653" s="2">
        <v>985.45789534378855</v>
      </c>
      <c r="T1653" s="2">
        <v>4.1892413517960563</v>
      </c>
      <c r="U1653" s="2">
        <v>-4.2553297115282476</v>
      </c>
      <c r="V1653" s="2">
        <v>-0.4740950799168786</v>
      </c>
    </row>
    <row r="1654" spans="1:22" ht="15">
      <c r="A1654" s="2">
        <v>1653</v>
      </c>
      <c r="B1654" s="2" t="s">
        <v>78</v>
      </c>
      <c r="C1654" s="2" t="s">
        <v>81</v>
      </c>
      <c r="D1654" s="2">
        <v>1088.2303935009986</v>
      </c>
      <c r="E1654" s="2">
        <v>1168.3272644761018</v>
      </c>
      <c r="F1654" s="2">
        <v>376.67462509125471</v>
      </c>
      <c r="G1654" s="2">
        <v>251.72325617866591</v>
      </c>
      <c r="H1654" s="2">
        <v>26.656685262918472</v>
      </c>
      <c r="I1654" s="2">
        <v>0.80982512882212176</v>
      </c>
      <c r="J1654" s="2">
        <v>7</v>
      </c>
      <c r="K1654" s="2">
        <v>191.9692032920407</v>
      </c>
      <c r="L1654" s="2">
        <v>11905</v>
      </c>
      <c r="M1654" s="2">
        <v>1195</v>
      </c>
      <c r="N1654" s="2">
        <v>250.0499180703633</v>
      </c>
      <c r="O1654" s="2">
        <v>2494.8205168500062</v>
      </c>
      <c r="P1654" s="2">
        <v>1088.2303935009986</v>
      </c>
      <c r="Q1654" s="2">
        <v>249.99427809827426</v>
      </c>
      <c r="R1654" s="2">
        <v>2562.0647619143742</v>
      </c>
      <c r="S1654" s="2">
        <v>1075.1413344439989</v>
      </c>
      <c r="T1654" s="2">
        <v>-5.5639972089039702E-2</v>
      </c>
      <c r="U1654" s="2">
        <v>67.244245064367988</v>
      </c>
      <c r="V1654" s="2">
        <v>-13.089059056999758</v>
      </c>
    </row>
    <row r="1655" spans="1:22" ht="15">
      <c r="A1655" s="2">
        <v>1654</v>
      </c>
      <c r="B1655" s="2" t="s">
        <v>78</v>
      </c>
      <c r="C1655" s="2" t="s">
        <v>81</v>
      </c>
      <c r="D1655" s="2">
        <v>978.37641026126221</v>
      </c>
      <c r="E1655" s="2">
        <v>945.36806808318943</v>
      </c>
      <c r="F1655" s="2">
        <v>526.59714045003057</v>
      </c>
      <c r="G1655" s="2">
        <v>111.02173516526818</v>
      </c>
      <c r="H1655" s="2">
        <v>9.1213805885054171</v>
      </c>
      <c r="I1655" s="2">
        <v>0.80023774621542543</v>
      </c>
      <c r="J1655" s="2">
        <v>7</v>
      </c>
      <c r="K1655" s="2">
        <v>174.65816786293649</v>
      </c>
      <c r="L1655" s="2">
        <v>13510</v>
      </c>
      <c r="M1655" s="2">
        <v>1200</v>
      </c>
      <c r="N1655" s="2">
        <v>250.00433703508676</v>
      </c>
      <c r="O1655" s="2">
        <v>2504.0148835966575</v>
      </c>
      <c r="P1655" s="2">
        <v>978.37641026126221</v>
      </c>
      <c r="Q1655" s="2">
        <v>253.64242324971067</v>
      </c>
      <c r="R1655" s="2">
        <v>2544.3589374549647</v>
      </c>
      <c r="S1655" s="2">
        <v>985.17575097144925</v>
      </c>
      <c r="T1655" s="2">
        <v>3.638086214623911</v>
      </c>
      <c r="U1655" s="2">
        <v>40.344053858307234</v>
      </c>
      <c r="V1655" s="2">
        <v>6.7993407101870389</v>
      </c>
    </row>
    <row r="1656" spans="1:22" ht="15">
      <c r="A1656" s="2">
        <v>1655</v>
      </c>
      <c r="B1656" s="2" t="s">
        <v>79</v>
      </c>
      <c r="C1656" s="2" t="s">
        <v>81</v>
      </c>
      <c r="D1656" s="2">
        <v>1057.8314067097381</v>
      </c>
      <c r="E1656" s="2">
        <v>849.87613168777898</v>
      </c>
      <c r="F1656" s="2">
        <v>732.48725086450577</v>
      </c>
      <c r="G1656" s="2">
        <v>133.54526912560686</v>
      </c>
      <c r="H1656" s="2">
        <v>29.833529870025814</v>
      </c>
      <c r="I1656" s="2">
        <v>0.7947740003815853</v>
      </c>
      <c r="J1656" s="2">
        <v>7</v>
      </c>
      <c r="K1656" s="2">
        <v>190.14055859219172</v>
      </c>
      <c r="L1656" s="2">
        <v>12465</v>
      </c>
      <c r="M1656" s="2">
        <v>1200</v>
      </c>
      <c r="N1656" s="2">
        <v>250.03580144183874</v>
      </c>
      <c r="O1656" s="2">
        <v>2504.7886474431471</v>
      </c>
      <c r="P1656" s="2">
        <v>1057.8314067097381</v>
      </c>
      <c r="Q1656" s="2">
        <v>251.31054491173251</v>
      </c>
      <c r="R1656" s="2">
        <v>2479.7810598509759</v>
      </c>
      <c r="S1656" s="2">
        <v>1040.0398840139774</v>
      </c>
      <c r="T1656" s="2">
        <v>1.2747434698937639</v>
      </c>
      <c r="U1656" s="2">
        <v>-25.007587592171149</v>
      </c>
      <c r="V1656" s="2">
        <v>-17.791522695760705</v>
      </c>
    </row>
    <row r="1657" spans="1:22" ht="15">
      <c r="A1657" s="2">
        <v>1656</v>
      </c>
      <c r="B1657" s="2" t="s">
        <v>79</v>
      </c>
      <c r="C1657" s="2" t="s">
        <v>81</v>
      </c>
      <c r="D1657" s="2">
        <v>1078.8085504318587</v>
      </c>
      <c r="E1657" s="2">
        <v>763.87707097455859</v>
      </c>
      <c r="F1657" s="2">
        <v>710.00499045476317</v>
      </c>
      <c r="G1657" s="2">
        <v>205.72743988130242</v>
      </c>
      <c r="H1657" s="2">
        <v>10.277916794177145</v>
      </c>
      <c r="I1657" s="2">
        <v>0.85568966445513073</v>
      </c>
      <c r="J1657" s="2">
        <v>7</v>
      </c>
      <c r="K1657" s="2">
        <v>180.10677656447552</v>
      </c>
      <c r="L1657" s="2">
        <v>12735</v>
      </c>
      <c r="M1657" s="2">
        <v>1200</v>
      </c>
      <c r="N1657" s="2">
        <v>250.04731829742622</v>
      </c>
      <c r="O1657" s="2">
        <v>2504.5773428290295</v>
      </c>
      <c r="P1657" s="2">
        <v>1078.8085504318587</v>
      </c>
      <c r="Q1657" s="2">
        <v>249.41265842732102</v>
      </c>
      <c r="R1657" s="2">
        <v>2500.0353091869688</v>
      </c>
      <c r="S1657" s="2">
        <v>1080.6401186313806</v>
      </c>
      <c r="T1657" s="2">
        <v>-0.63465987010519598</v>
      </c>
      <c r="U1657" s="2">
        <v>-4.5420336420606873</v>
      </c>
      <c r="V1657" s="2">
        <v>1.8315681995218256</v>
      </c>
    </row>
    <row r="1658" spans="1:22" ht="15">
      <c r="A1658" s="2">
        <v>1657</v>
      </c>
      <c r="B1658" s="2" t="s">
        <v>79</v>
      </c>
      <c r="C1658" s="2" t="s">
        <v>81</v>
      </c>
      <c r="D1658" s="2">
        <v>1038.6028621345758</v>
      </c>
      <c r="E1658" s="2">
        <v>879.52058672672138</v>
      </c>
      <c r="F1658" s="2">
        <v>631.8864481523633</v>
      </c>
      <c r="G1658" s="2">
        <v>289.08625103766099</v>
      </c>
      <c r="H1658" s="2">
        <v>16.890240116044879</v>
      </c>
      <c r="I1658" s="2">
        <v>0.84766299319686378</v>
      </c>
      <c r="J1658" s="2">
        <v>7</v>
      </c>
      <c r="K1658" s="2">
        <v>175.03635128416917</v>
      </c>
      <c r="L1658" s="2">
        <v>11880</v>
      </c>
      <c r="M1658" s="2">
        <v>1195</v>
      </c>
      <c r="N1658" s="2">
        <v>250.0478901489559</v>
      </c>
      <c r="O1658" s="2">
        <v>2494.8423605513285</v>
      </c>
      <c r="P1658" s="2">
        <v>1038.6028621345758</v>
      </c>
      <c r="Q1658" s="2">
        <v>251.18370056396685</v>
      </c>
      <c r="R1658" s="2">
        <v>2497.2437229746656</v>
      </c>
      <c r="S1658" s="2">
        <v>1039.9255662915994</v>
      </c>
      <c r="T1658" s="2">
        <v>1.1358104150109511</v>
      </c>
      <c r="U1658" s="2">
        <v>2.4013624233371047</v>
      </c>
      <c r="V1658" s="2">
        <v>1.3227041570235087</v>
      </c>
    </row>
    <row r="1659" spans="1:22" ht="15">
      <c r="A1659" s="2">
        <v>1658</v>
      </c>
      <c r="B1659" s="2" t="s">
        <v>80</v>
      </c>
      <c r="C1659" s="2" t="s">
        <v>81</v>
      </c>
      <c r="D1659" s="2">
        <v>1031.1356584192254</v>
      </c>
      <c r="E1659" s="2">
        <v>674.70864711795002</v>
      </c>
      <c r="F1659" s="2">
        <v>635.71580806747079</v>
      </c>
      <c r="G1659" s="2">
        <v>329.90668497048318</v>
      </c>
      <c r="H1659" s="2">
        <v>28.57593883248046</v>
      </c>
      <c r="I1659" s="2">
        <v>0.82111382253933707</v>
      </c>
      <c r="J1659" s="2">
        <v>7</v>
      </c>
      <c r="K1659" s="2">
        <v>179.39668048010773</v>
      </c>
      <c r="L1659" s="2">
        <v>13035</v>
      </c>
      <c r="M1659" s="2">
        <v>1200</v>
      </c>
      <c r="N1659" s="2">
        <v>249.95291861398712</v>
      </c>
      <c r="O1659" s="2">
        <v>2504.3486956330753</v>
      </c>
      <c r="P1659" s="2">
        <v>1031.1356584192254</v>
      </c>
      <c r="Q1659" s="2">
        <v>249.27240168969414</v>
      </c>
      <c r="R1659" s="2">
        <v>2458.7098946548231</v>
      </c>
      <c r="S1659" s="2">
        <v>1023.3217571676038</v>
      </c>
      <c r="T1659" s="2">
        <v>-0.68051692429298782</v>
      </c>
      <c r="U1659" s="2">
        <v>-45.63880097825222</v>
      </c>
      <c r="V1659" s="2">
        <v>-7.8139012516215871</v>
      </c>
    </row>
    <row r="1660" spans="1:22" ht="15">
      <c r="A1660" s="2">
        <v>1659</v>
      </c>
      <c r="B1660" s="2" t="s">
        <v>80</v>
      </c>
      <c r="C1660" s="2" t="s">
        <v>81</v>
      </c>
      <c r="D1660" s="2">
        <v>1013.3519832743332</v>
      </c>
      <c r="E1660" s="2">
        <v>1013.2695898995735</v>
      </c>
      <c r="F1660" s="2">
        <v>422.35185839235783</v>
      </c>
      <c r="G1660" s="2">
        <v>312.1985803428106</v>
      </c>
      <c r="H1660" s="2">
        <v>21.284665682353079</v>
      </c>
      <c r="I1660" s="2">
        <v>0.79425859051523728</v>
      </c>
      <c r="J1660" s="2">
        <v>7</v>
      </c>
      <c r="K1660" s="2">
        <v>182.26377500718169</v>
      </c>
      <c r="L1660" s="2">
        <v>12235</v>
      </c>
      <c r="M1660" s="2">
        <v>1200</v>
      </c>
      <c r="N1660" s="2">
        <v>249.98623619765763</v>
      </c>
      <c r="O1660" s="2">
        <v>2504.9744099506884</v>
      </c>
      <c r="P1660" s="2">
        <v>1013.3519832743332</v>
      </c>
      <c r="Q1660" s="2">
        <v>252.91923532026067</v>
      </c>
      <c r="R1660" s="2">
        <v>2498.2435358512112</v>
      </c>
      <c r="S1660" s="2">
        <v>1014.5482630445064</v>
      </c>
      <c r="T1660" s="2">
        <v>2.9329991226030359</v>
      </c>
      <c r="U1660" s="2">
        <v>-6.7308740994772052</v>
      </c>
      <c r="V1660" s="2">
        <v>1.1962797701731915</v>
      </c>
    </row>
    <row r="1661" spans="1:22" ht="15">
      <c r="A1661" s="2">
        <v>1660</v>
      </c>
      <c r="B1661" s="2" t="s">
        <v>80</v>
      </c>
      <c r="C1661" s="2" t="s">
        <v>81</v>
      </c>
      <c r="D1661" s="2">
        <v>1006.0807180008851</v>
      </c>
      <c r="E1661" s="2">
        <v>1001.0093498509377</v>
      </c>
      <c r="F1661" s="2">
        <v>375.54142428562045</v>
      </c>
      <c r="G1661" s="2">
        <v>101.05388219933957</v>
      </c>
      <c r="H1661" s="2">
        <v>9.9610667037777603</v>
      </c>
      <c r="I1661" s="2">
        <v>0.85920009434223177</v>
      </c>
      <c r="J1661" s="2">
        <v>6</v>
      </c>
      <c r="K1661" s="2">
        <v>195.15840462655348</v>
      </c>
      <c r="L1661" s="2">
        <v>16885</v>
      </c>
      <c r="M1661" s="2">
        <v>1200</v>
      </c>
      <c r="N1661" s="2">
        <v>249.99273856318862</v>
      </c>
      <c r="O1661" s="2">
        <v>2502.1726561932533</v>
      </c>
      <c r="P1661" s="2">
        <v>1006.0807180008851</v>
      </c>
      <c r="Q1661" s="2">
        <v>249.84841638676372</v>
      </c>
      <c r="R1661" s="2">
        <v>2478.9029137514244</v>
      </c>
      <c r="S1661" s="2">
        <v>1015.3018516610205</v>
      </c>
      <c r="T1661" s="2">
        <v>-0.14432217642490741</v>
      </c>
      <c r="U1661" s="2">
        <v>-23.269742441828839</v>
      </c>
      <c r="V1661" s="2">
        <v>9.2211336601353651</v>
      </c>
    </row>
    <row r="1662" spans="1:22" ht="15">
      <c r="A1662" s="2">
        <v>1661</v>
      </c>
      <c r="B1662" s="2" t="s">
        <v>78</v>
      </c>
      <c r="C1662" s="2" t="s">
        <v>81</v>
      </c>
      <c r="D1662" s="2">
        <v>951.8507796805352</v>
      </c>
      <c r="E1662" s="2">
        <v>619.31773469550535</v>
      </c>
      <c r="F1662" s="2">
        <v>445.86967285722494</v>
      </c>
      <c r="G1662" s="2">
        <v>306.0249134269543</v>
      </c>
      <c r="H1662" s="2">
        <v>23.667431499809027</v>
      </c>
      <c r="I1662" s="2">
        <v>0.83648863870883361</v>
      </c>
      <c r="J1662" s="2">
        <v>6</v>
      </c>
      <c r="K1662" s="2">
        <v>189.65206372473259</v>
      </c>
      <c r="L1662" s="2">
        <v>18195</v>
      </c>
      <c r="M1662" s="2">
        <v>1200</v>
      </c>
      <c r="N1662" s="2">
        <v>249.9915185235071</v>
      </c>
      <c r="O1662" s="2">
        <v>2501.6418009967601</v>
      </c>
      <c r="P1662" s="2">
        <v>951.8507796805352</v>
      </c>
      <c r="Q1662" s="2">
        <v>246.24464849163371</v>
      </c>
      <c r="R1662" s="2">
        <v>2450.6994185397689</v>
      </c>
      <c r="S1662" s="2">
        <v>949.83060174597733</v>
      </c>
      <c r="T1662" s="2">
        <v>-3.7468700318733852</v>
      </c>
      <c r="U1662" s="2">
        <v>-50.942382456991254</v>
      </c>
      <c r="V1662" s="2">
        <v>-2.0201779345578643</v>
      </c>
    </row>
    <row r="1663" spans="1:22" ht="15">
      <c r="A1663" s="2">
        <v>1662</v>
      </c>
      <c r="B1663" s="2" t="s">
        <v>78</v>
      </c>
      <c r="C1663" s="2" t="s">
        <v>81</v>
      </c>
      <c r="D1663" s="2">
        <v>1054.6049002674408</v>
      </c>
      <c r="E1663" s="2">
        <v>847.12071742396802</v>
      </c>
      <c r="F1663" s="2">
        <v>698.07034628465772</v>
      </c>
      <c r="G1663" s="2">
        <v>259.73541188985109</v>
      </c>
      <c r="H1663" s="2">
        <v>20.803379388991743</v>
      </c>
      <c r="I1663" s="2">
        <v>0.8481348628131673</v>
      </c>
      <c r="J1663" s="2">
        <v>7</v>
      </c>
      <c r="K1663" s="2">
        <v>177.6343002758237</v>
      </c>
      <c r="L1663" s="2">
        <v>11850</v>
      </c>
      <c r="M1663" s="2">
        <v>1195</v>
      </c>
      <c r="N1663" s="2">
        <v>250.03067095434932</v>
      </c>
      <c r="O1663" s="2">
        <v>2494.8680595080882</v>
      </c>
      <c r="P1663" s="2">
        <v>1054.6049002674408</v>
      </c>
      <c r="Q1663" s="2">
        <v>253.55100485200657</v>
      </c>
      <c r="R1663" s="2">
        <v>2515.8681508140367</v>
      </c>
      <c r="S1663" s="2">
        <v>1054.6166800042074</v>
      </c>
      <c r="T1663" s="2">
        <v>3.5203338976572525</v>
      </c>
      <c r="U1663" s="2">
        <v>21.000091305948445</v>
      </c>
      <c r="V1663" s="2">
        <v>1.1779736766584392E-2</v>
      </c>
    </row>
    <row r="1664" spans="1:22" ht="15">
      <c r="A1664" s="2">
        <v>1663</v>
      </c>
      <c r="B1664" s="2" t="s">
        <v>78</v>
      </c>
      <c r="C1664" s="2" t="s">
        <v>81</v>
      </c>
      <c r="D1664" s="2">
        <v>1003.9210498565808</v>
      </c>
      <c r="E1664" s="2">
        <v>690.66512464778498</v>
      </c>
      <c r="F1664" s="2">
        <v>423.87602254748344</v>
      </c>
      <c r="G1664" s="2">
        <v>193.0362743861042</v>
      </c>
      <c r="H1664" s="2">
        <v>9.2002780502662063</v>
      </c>
      <c r="I1664" s="2">
        <v>0.82822991059860218</v>
      </c>
      <c r="J1664" s="2">
        <v>7</v>
      </c>
      <c r="K1664" s="2">
        <v>173.1612092263122</v>
      </c>
      <c r="L1664" s="2">
        <v>16355</v>
      </c>
      <c r="M1664" s="2">
        <v>1200</v>
      </c>
      <c r="N1664" s="2">
        <v>249.99582960951892</v>
      </c>
      <c r="O1664" s="2">
        <v>2502.4116696865094</v>
      </c>
      <c r="P1664" s="2">
        <v>1003.9210498565808</v>
      </c>
      <c r="Q1664" s="2">
        <v>250.29056992232569</v>
      </c>
      <c r="R1664" s="2">
        <v>2478.8080870796362</v>
      </c>
      <c r="S1664" s="2">
        <v>1021.6816233934039</v>
      </c>
      <c r="T1664" s="2">
        <v>0.29474031280676627</v>
      </c>
      <c r="U1664" s="2">
        <v>-23.60358260687326</v>
      </c>
      <c r="V1664" s="2">
        <v>17.760573536823131</v>
      </c>
    </row>
    <row r="1665" spans="1:22" ht="15">
      <c r="A1665" s="2">
        <v>1664</v>
      </c>
      <c r="B1665" s="2" t="s">
        <v>78</v>
      </c>
      <c r="C1665" s="2" t="s">
        <v>81</v>
      </c>
      <c r="D1665" s="2">
        <v>1078.5320104914717</v>
      </c>
      <c r="E1665" s="2">
        <v>947.41855598986149</v>
      </c>
      <c r="F1665" s="2">
        <v>488.67889633402228</v>
      </c>
      <c r="G1665" s="2">
        <v>195.21723598707467</v>
      </c>
      <c r="H1665" s="2">
        <v>10.529857323970646</v>
      </c>
      <c r="I1665" s="2">
        <v>0.84713170158676809</v>
      </c>
      <c r="J1665" s="2">
        <v>7</v>
      </c>
      <c r="K1665" s="2">
        <v>181.87963124291167</v>
      </c>
      <c r="L1665" s="2">
        <v>13110</v>
      </c>
      <c r="M1665" s="2">
        <v>1200</v>
      </c>
      <c r="N1665" s="2">
        <v>250.00884026376136</v>
      </c>
      <c r="O1665" s="2">
        <v>2504.2962090635956</v>
      </c>
      <c r="P1665" s="2">
        <v>1078.5320104914717</v>
      </c>
      <c r="Q1665" s="2">
        <v>253.97693455386656</v>
      </c>
      <c r="R1665" s="2">
        <v>2480.9601593756661</v>
      </c>
      <c r="S1665" s="2">
        <v>1089.5161418360708</v>
      </c>
      <c r="T1665" s="2">
        <v>3.9680942901051992</v>
      </c>
      <c r="U1665" s="2">
        <v>-23.336049687929517</v>
      </c>
      <c r="V1665" s="2">
        <v>10.984131344599064</v>
      </c>
    </row>
    <row r="1666" spans="1:22" ht="15">
      <c r="A1666" s="2">
        <v>1665</v>
      </c>
      <c r="B1666" s="2" t="s">
        <v>78</v>
      </c>
      <c r="C1666" s="2" t="s">
        <v>81</v>
      </c>
      <c r="D1666" s="2">
        <v>1013.1912286393344</v>
      </c>
      <c r="E1666" s="2">
        <v>1099.4646977051161</v>
      </c>
      <c r="F1666" s="2">
        <v>460.39494816213846</v>
      </c>
      <c r="G1666" s="2">
        <v>108.44798291334882</v>
      </c>
      <c r="H1666" s="2">
        <v>24.524273494258523</v>
      </c>
      <c r="I1666" s="2">
        <v>0.82669121931539857</v>
      </c>
      <c r="J1666" s="2">
        <v>7</v>
      </c>
      <c r="K1666" s="2">
        <v>175.08544993522156</v>
      </c>
      <c r="L1666" s="2">
        <v>12820</v>
      </c>
      <c r="M1666" s="2">
        <v>1200</v>
      </c>
      <c r="N1666" s="2">
        <v>250.02282790759509</v>
      </c>
      <c r="O1666" s="2">
        <v>2504.5115523686572</v>
      </c>
      <c r="P1666" s="2">
        <v>1013.1912286393344</v>
      </c>
      <c r="Q1666" s="2">
        <v>246.8922370935276</v>
      </c>
      <c r="R1666" s="2">
        <v>2511.5880503512767</v>
      </c>
      <c r="S1666" s="2">
        <v>1000.6659553857299</v>
      </c>
      <c r="T1666" s="2">
        <v>-3.1305908140674887</v>
      </c>
      <c r="U1666" s="2">
        <v>7.0764979826194576</v>
      </c>
      <c r="V1666" s="2">
        <v>-12.525273253604496</v>
      </c>
    </row>
    <row r="1667" spans="1:22" ht="15">
      <c r="A1667" s="2">
        <v>1666</v>
      </c>
      <c r="B1667" s="2" t="s">
        <v>78</v>
      </c>
      <c r="C1667" s="2" t="s">
        <v>81</v>
      </c>
      <c r="D1667" s="2">
        <v>1015.0973429554142</v>
      </c>
      <c r="E1667" s="2">
        <v>990.83657928276807</v>
      </c>
      <c r="F1667" s="2">
        <v>571.89220422878861</v>
      </c>
      <c r="G1667" s="2">
        <v>89.794445941224694</v>
      </c>
      <c r="H1667" s="2">
        <v>22.00496330158785</v>
      </c>
      <c r="I1667" s="2">
        <v>0.85596886201296007</v>
      </c>
      <c r="J1667" s="2">
        <v>6</v>
      </c>
      <c r="K1667" s="2">
        <v>197.65075343360732</v>
      </c>
      <c r="L1667" s="2">
        <v>15100</v>
      </c>
      <c r="M1667" s="2">
        <v>1200</v>
      </c>
      <c r="N1667" s="2">
        <v>250.03057667496401</v>
      </c>
      <c r="O1667" s="2">
        <v>2503.0454299056773</v>
      </c>
      <c r="P1667" s="2">
        <v>1015.0973429554142</v>
      </c>
      <c r="Q1667" s="2">
        <v>247.12505537031277</v>
      </c>
      <c r="R1667" s="2">
        <v>2523.3101009090578</v>
      </c>
      <c r="S1667" s="2">
        <v>1007.0075812170973</v>
      </c>
      <c r="T1667" s="2">
        <v>-2.9055213046512449</v>
      </c>
      <c r="U1667" s="2">
        <v>20.264671003380499</v>
      </c>
      <c r="V1667" s="2">
        <v>-8.0897617383169518</v>
      </c>
    </row>
    <row r="1668" spans="1:22" ht="15">
      <c r="A1668" s="2">
        <v>1667</v>
      </c>
      <c r="B1668" s="2" t="s">
        <v>78</v>
      </c>
      <c r="C1668" s="2" t="s">
        <v>81</v>
      </c>
      <c r="D1668" s="2">
        <v>1011.0648739850149</v>
      </c>
      <c r="E1668" s="2">
        <v>1227.3804453783669</v>
      </c>
      <c r="F1668" s="2">
        <v>712.63852827250957</v>
      </c>
      <c r="G1668" s="2">
        <v>199.18749258620664</v>
      </c>
      <c r="H1668" s="2">
        <v>18.570036296732724</v>
      </c>
      <c r="I1668" s="2">
        <v>0.83091918230755257</v>
      </c>
      <c r="J1668" s="2">
        <v>7</v>
      </c>
      <c r="K1668" s="2">
        <v>173.82898627950422</v>
      </c>
      <c r="L1668" s="2">
        <v>9995</v>
      </c>
      <c r="M1668" s="2">
        <v>1195</v>
      </c>
      <c r="N1668" s="2">
        <v>249.94875334659139</v>
      </c>
      <c r="O1668" s="2">
        <v>2496.8058622284207</v>
      </c>
      <c r="P1668" s="2">
        <v>1011.0648739850149</v>
      </c>
      <c r="Q1668" s="2">
        <v>252.77375467259282</v>
      </c>
      <c r="R1668" s="2">
        <v>2534.7159820159286</v>
      </c>
      <c r="S1668" s="2">
        <v>1000.8385643307431</v>
      </c>
      <c r="T1668" s="2">
        <v>2.8250013260014271</v>
      </c>
      <c r="U1668" s="2">
        <v>37.910119787507938</v>
      </c>
      <c r="V1668" s="2">
        <v>-10.226309654271745</v>
      </c>
    </row>
    <row r="1669" spans="1:22" ht="15">
      <c r="A1669" s="2">
        <v>1668</v>
      </c>
      <c r="B1669" s="2" t="s">
        <v>78</v>
      </c>
      <c r="C1669" s="2" t="s">
        <v>81</v>
      </c>
      <c r="D1669" s="2">
        <v>1081.117965222802</v>
      </c>
      <c r="E1669" s="2">
        <v>888.04828193970025</v>
      </c>
      <c r="F1669" s="2">
        <v>546.88606886193156</v>
      </c>
      <c r="G1669" s="2">
        <v>253.87474735733122</v>
      </c>
      <c r="H1669" s="2">
        <v>23.211852035950869</v>
      </c>
      <c r="I1669" s="2">
        <v>0.81928429802879699</v>
      </c>
      <c r="J1669" s="2">
        <v>7</v>
      </c>
      <c r="K1669" s="2">
        <v>188.51261274609323</v>
      </c>
      <c r="L1669" s="2">
        <v>12665</v>
      </c>
      <c r="M1669" s="2">
        <v>1200</v>
      </c>
      <c r="N1669" s="2">
        <v>250.03523545082274</v>
      </c>
      <c r="O1669" s="2">
        <v>2504.6308955222025</v>
      </c>
      <c r="P1669" s="2">
        <v>1081.117965222802</v>
      </c>
      <c r="Q1669" s="2">
        <v>249.32072484689951</v>
      </c>
      <c r="R1669" s="2">
        <v>2488.8009712057428</v>
      </c>
      <c r="S1669" s="2">
        <v>1079.7882257609178</v>
      </c>
      <c r="T1669" s="2">
        <v>-0.71451060392323029</v>
      </c>
      <c r="U1669" s="2">
        <v>-15.82992431645971</v>
      </c>
      <c r="V1669" s="2">
        <v>-1.3297394618841736</v>
      </c>
    </row>
    <row r="1670" spans="1:22" ht="15">
      <c r="A1670" s="2">
        <v>1669</v>
      </c>
      <c r="B1670" s="2" t="s">
        <v>78</v>
      </c>
      <c r="C1670" s="2" t="s">
        <v>81</v>
      </c>
      <c r="D1670" s="2">
        <v>985.54800995625556</v>
      </c>
      <c r="E1670" s="2">
        <v>975.6247395533137</v>
      </c>
      <c r="F1670" s="2">
        <v>733.41486882418394</v>
      </c>
      <c r="G1670" s="2">
        <v>160.59797744499519</v>
      </c>
      <c r="H1670" s="2">
        <v>21.853278897702694</v>
      </c>
      <c r="I1670" s="2">
        <v>0.82261584447929637</v>
      </c>
      <c r="J1670" s="2">
        <v>6</v>
      </c>
      <c r="K1670" s="2">
        <v>199.67765362378691</v>
      </c>
      <c r="L1670" s="2">
        <v>13345</v>
      </c>
      <c r="M1670" s="2">
        <v>1200</v>
      </c>
      <c r="N1670" s="2">
        <v>250.00271183449618</v>
      </c>
      <c r="O1670" s="2">
        <v>2504.1287436982198</v>
      </c>
      <c r="P1670" s="2">
        <v>985.54800995625556</v>
      </c>
      <c r="Q1670" s="2">
        <v>248.11158978206547</v>
      </c>
      <c r="R1670" s="2">
        <v>2482.3310909018314</v>
      </c>
      <c r="S1670" s="2">
        <v>975.93735400879723</v>
      </c>
      <c r="T1670" s="2">
        <v>-1.8911220524307168</v>
      </c>
      <c r="U1670" s="2">
        <v>-21.79765279638832</v>
      </c>
      <c r="V1670" s="2">
        <v>-9.6106559474583264</v>
      </c>
    </row>
    <row r="1671" spans="1:22" ht="15">
      <c r="A1671" s="2">
        <v>1670</v>
      </c>
      <c r="B1671" s="2" t="s">
        <v>78</v>
      </c>
      <c r="C1671" s="2" t="s">
        <v>81</v>
      </c>
      <c r="D1671" s="2">
        <v>1008.565437712241</v>
      </c>
      <c r="E1671" s="2">
        <v>689.34537654276937</v>
      </c>
      <c r="F1671" s="2">
        <v>575.436329562217</v>
      </c>
      <c r="G1671" s="2">
        <v>143.0573364906013</v>
      </c>
      <c r="H1671" s="2">
        <v>14.339432998094708</v>
      </c>
      <c r="I1671" s="2">
        <v>0.80242388316895819</v>
      </c>
      <c r="J1671" s="2">
        <v>7</v>
      </c>
      <c r="K1671" s="2">
        <v>179.55693971498704</v>
      </c>
      <c r="L1671" s="2">
        <v>15190</v>
      </c>
      <c r="M1671" s="2">
        <v>1200</v>
      </c>
      <c r="N1671" s="2">
        <v>249.99180893220569</v>
      </c>
      <c r="O1671" s="2">
        <v>2502.9953126347577</v>
      </c>
      <c r="P1671" s="2">
        <v>1008.565437712241</v>
      </c>
      <c r="Q1671" s="2">
        <v>252.19752952072943</v>
      </c>
      <c r="R1671" s="2">
        <v>2475.4272925430819</v>
      </c>
      <c r="S1671" s="2">
        <v>1020.5394855741368</v>
      </c>
      <c r="T1671" s="2">
        <v>2.2057205885237465</v>
      </c>
      <c r="U1671" s="2">
        <v>-27.568020091675862</v>
      </c>
      <c r="V1671" s="2">
        <v>11.974047861895883</v>
      </c>
    </row>
    <row r="1672" spans="1:22" ht="15">
      <c r="A1672" s="2">
        <v>1671</v>
      </c>
      <c r="B1672" s="2" t="s">
        <v>78</v>
      </c>
      <c r="C1672" s="2" t="s">
        <v>81</v>
      </c>
      <c r="D1672" s="2">
        <v>1024.6118395822123</v>
      </c>
      <c r="E1672" s="2">
        <v>849.99337048502639</v>
      </c>
      <c r="F1672" s="2">
        <v>422.89278209209442</v>
      </c>
      <c r="G1672" s="2">
        <v>300.33689537784085</v>
      </c>
      <c r="H1672" s="2">
        <v>15.02202984970063</v>
      </c>
      <c r="I1672" s="2">
        <v>0.83272885381942618</v>
      </c>
      <c r="J1672" s="2">
        <v>7</v>
      </c>
      <c r="K1672" s="2">
        <v>175.77524697139467</v>
      </c>
      <c r="L1672" s="2">
        <v>13595</v>
      </c>
      <c r="M1672" s="2">
        <v>1200</v>
      </c>
      <c r="N1672" s="2">
        <v>250.0256676857226</v>
      </c>
      <c r="O1672" s="2">
        <v>2503.9580460067555</v>
      </c>
      <c r="P1672" s="2">
        <v>1024.6118395822123</v>
      </c>
      <c r="Q1672" s="2">
        <v>251.36754257590761</v>
      </c>
      <c r="R1672" s="2">
        <v>2539.5177080241237</v>
      </c>
      <c r="S1672" s="2">
        <v>1028.7457264952593</v>
      </c>
      <c r="T1672" s="2">
        <v>1.3418748901850108</v>
      </c>
      <c r="U1672" s="2">
        <v>35.559662017368282</v>
      </c>
      <c r="V1672" s="2">
        <v>4.1338869130470357</v>
      </c>
    </row>
    <row r="1673" spans="1:22" ht="15">
      <c r="A1673" s="2">
        <v>1672</v>
      </c>
      <c r="B1673" s="2" t="s">
        <v>78</v>
      </c>
      <c r="C1673" s="2" t="s">
        <v>81</v>
      </c>
      <c r="D1673" s="2">
        <v>1085.8903338084929</v>
      </c>
      <c r="E1673" s="2">
        <v>1004.2687025852501</v>
      </c>
      <c r="F1673" s="2">
        <v>605.76301282271743</v>
      </c>
      <c r="G1673" s="2">
        <v>94.591201790608466</v>
      </c>
      <c r="H1673" s="2">
        <v>28.167620507534593</v>
      </c>
      <c r="I1673" s="2">
        <v>0.85910527088679378</v>
      </c>
      <c r="J1673" s="2">
        <v>7</v>
      </c>
      <c r="K1673" s="2">
        <v>180.56831426949987</v>
      </c>
      <c r="L1673" s="2">
        <v>12545</v>
      </c>
      <c r="M1673" s="2">
        <v>1200</v>
      </c>
      <c r="N1673" s="2">
        <v>249.98541024876556</v>
      </c>
      <c r="O1673" s="2">
        <v>2504.7229509255963</v>
      </c>
      <c r="P1673" s="2">
        <v>1085.8903338084929</v>
      </c>
      <c r="Q1673" s="2">
        <v>249.26777438979238</v>
      </c>
      <c r="R1673" s="2">
        <v>2551.7886678933696</v>
      </c>
      <c r="S1673" s="2">
        <v>1070.7586101605045</v>
      </c>
      <c r="T1673" s="2">
        <v>-0.71763585897318194</v>
      </c>
      <c r="U1673" s="2">
        <v>47.065716967773369</v>
      </c>
      <c r="V1673" s="2">
        <v>-15.131723647988338</v>
      </c>
    </row>
    <row r="1674" spans="1:22" ht="15">
      <c r="A1674" s="2">
        <v>1673</v>
      </c>
      <c r="B1674" s="2" t="s">
        <v>78</v>
      </c>
      <c r="C1674" s="2" t="s">
        <v>81</v>
      </c>
      <c r="D1674" s="2">
        <v>1080.5935131385922</v>
      </c>
      <c r="E1674" s="2">
        <v>1045.7579151145183</v>
      </c>
      <c r="F1674" s="2">
        <v>563.60010821372271</v>
      </c>
      <c r="G1674" s="2">
        <v>89.094772452954203</v>
      </c>
      <c r="H1674" s="2">
        <v>11.091813718900084</v>
      </c>
      <c r="I1674" s="2">
        <v>0.82953074225457391</v>
      </c>
      <c r="J1674" s="2">
        <v>7</v>
      </c>
      <c r="K1674" s="2">
        <v>186.0937684568261</v>
      </c>
      <c r="L1674" s="2">
        <v>12590</v>
      </c>
      <c r="M1674" s="2">
        <v>1200</v>
      </c>
      <c r="N1674" s="2">
        <v>249.97361969717798</v>
      </c>
      <c r="O1674" s="2">
        <v>2504.6870334148011</v>
      </c>
      <c r="P1674" s="2">
        <v>1080.5935131385922</v>
      </c>
      <c r="Q1674" s="2">
        <v>254.54214696457237</v>
      </c>
      <c r="R1674" s="2">
        <v>2549.9105046881664</v>
      </c>
      <c r="S1674" s="2">
        <v>1083.5751147599544</v>
      </c>
      <c r="T1674" s="2">
        <v>4.5685272673943871</v>
      </c>
      <c r="U1674" s="2">
        <v>45.223471273365249</v>
      </c>
      <c r="V1674" s="2">
        <v>2.9816016213621879</v>
      </c>
    </row>
    <row r="1675" spans="1:22" ht="15">
      <c r="A1675" s="2">
        <v>1674</v>
      </c>
      <c r="B1675" s="2" t="s">
        <v>78</v>
      </c>
      <c r="C1675" s="2" t="s">
        <v>81</v>
      </c>
      <c r="D1675" s="2">
        <v>982.8756601200439</v>
      </c>
      <c r="E1675" s="2">
        <v>1222.1432186895981</v>
      </c>
      <c r="F1675" s="2">
        <v>500.48214504495263</v>
      </c>
      <c r="G1675" s="2">
        <v>196.81758682243526</v>
      </c>
      <c r="H1675" s="2">
        <v>17.039589439053088</v>
      </c>
      <c r="I1675" s="2">
        <v>0.83392352123279134</v>
      </c>
      <c r="J1675" s="2">
        <v>6</v>
      </c>
      <c r="K1675" s="2">
        <v>196.43601103593136</v>
      </c>
      <c r="L1675" s="2">
        <v>13000</v>
      </c>
      <c r="M1675" s="2">
        <v>1200</v>
      </c>
      <c r="N1675" s="2">
        <v>250.0270947666109</v>
      </c>
      <c r="O1675" s="2">
        <v>2504.3772525460986</v>
      </c>
      <c r="P1675" s="2">
        <v>982.8756601200439</v>
      </c>
      <c r="Q1675" s="2">
        <v>252.15615240412527</v>
      </c>
      <c r="R1675" s="2">
        <v>2527.5318110343255</v>
      </c>
      <c r="S1675" s="2">
        <v>984.44949720107661</v>
      </c>
      <c r="T1675" s="2">
        <v>2.1290576375143644</v>
      </c>
      <c r="U1675" s="2">
        <v>23.15455848822694</v>
      </c>
      <c r="V1675" s="2">
        <v>1.5738370810327069</v>
      </c>
    </row>
    <row r="1676" spans="1:22" ht="15">
      <c r="A1676" s="2">
        <v>1675</v>
      </c>
      <c r="B1676" s="2" t="s">
        <v>79</v>
      </c>
      <c r="C1676" s="2" t="s">
        <v>81</v>
      </c>
      <c r="D1676" s="2">
        <v>1087.6356842694804</v>
      </c>
      <c r="E1676" s="2">
        <v>915.33169547328725</v>
      </c>
      <c r="F1676" s="2">
        <v>376.98575742542744</v>
      </c>
      <c r="G1676" s="2">
        <v>181.44109296379611</v>
      </c>
      <c r="H1676" s="2">
        <v>11.896864921785891</v>
      </c>
      <c r="I1676" s="2">
        <v>0.85451909883646304</v>
      </c>
      <c r="J1676" s="2">
        <v>7</v>
      </c>
      <c r="K1676" s="2">
        <v>181.82920257227309</v>
      </c>
      <c r="L1676" s="2">
        <v>14510</v>
      </c>
      <c r="M1676" s="2">
        <v>1200</v>
      </c>
      <c r="N1676" s="2">
        <v>249.98196919859197</v>
      </c>
      <c r="O1676" s="2">
        <v>2503.3790432471746</v>
      </c>
      <c r="P1676" s="2">
        <v>1087.6356842694804</v>
      </c>
      <c r="Q1676" s="2">
        <v>249.3512257368663</v>
      </c>
      <c r="R1676" s="2">
        <v>2498.7475108134804</v>
      </c>
      <c r="S1676" s="2">
        <v>1096.9448604565057</v>
      </c>
      <c r="T1676" s="2">
        <v>-0.63074346172567175</v>
      </c>
      <c r="U1676" s="2">
        <v>-4.6315324336942467</v>
      </c>
      <c r="V1676" s="2">
        <v>9.3091761870252867</v>
      </c>
    </row>
    <row r="1677" spans="1:22" ht="15">
      <c r="A1677" s="2">
        <v>1676</v>
      </c>
      <c r="B1677" s="2" t="s">
        <v>79</v>
      </c>
      <c r="C1677" s="2" t="s">
        <v>81</v>
      </c>
      <c r="D1677" s="2">
        <v>1040.4583858675323</v>
      </c>
      <c r="E1677" s="2">
        <v>1163.9675175305456</v>
      </c>
      <c r="F1677" s="2">
        <v>587.26874692365527</v>
      </c>
      <c r="G1677" s="2">
        <v>239.62517901789397</v>
      </c>
      <c r="H1677" s="2">
        <v>22.090714279096574</v>
      </c>
      <c r="I1677" s="2">
        <v>0.85166016381233933</v>
      </c>
      <c r="J1677" s="2">
        <v>7</v>
      </c>
      <c r="K1677" s="2">
        <v>174.52608279978446</v>
      </c>
      <c r="L1677" s="2">
        <v>10740</v>
      </c>
      <c r="M1677" s="2">
        <v>1195</v>
      </c>
      <c r="N1677" s="2">
        <v>249.95446213012247</v>
      </c>
      <c r="O1677" s="2">
        <v>2495.9459142904279</v>
      </c>
      <c r="P1677" s="2">
        <v>1040.4583858675323</v>
      </c>
      <c r="Q1677" s="2">
        <v>253.31111942299802</v>
      </c>
      <c r="R1677" s="2">
        <v>2498.2863201840751</v>
      </c>
      <c r="S1677" s="2">
        <v>1033.5011761197982</v>
      </c>
      <c r="T1677" s="2">
        <v>3.3566572928755534</v>
      </c>
      <c r="U1677" s="2">
        <v>2.3404058936471301</v>
      </c>
      <c r="V1677" s="2">
        <v>-6.9572097477341686</v>
      </c>
    </row>
    <row r="1678" spans="1:22" ht="15">
      <c r="A1678" s="2">
        <v>1677</v>
      </c>
      <c r="B1678" s="2" t="s">
        <v>79</v>
      </c>
      <c r="C1678" s="2" t="s">
        <v>81</v>
      </c>
      <c r="D1678" s="2">
        <v>960.21050824783742</v>
      </c>
      <c r="E1678" s="2">
        <v>953.8228525663726</v>
      </c>
      <c r="F1678" s="2">
        <v>557.45367612689734</v>
      </c>
      <c r="G1678" s="2">
        <v>282.9264455777593</v>
      </c>
      <c r="H1678" s="2">
        <v>25.674123544245958</v>
      </c>
      <c r="I1678" s="2">
        <v>0.82081903174752369</v>
      </c>
      <c r="J1678" s="2">
        <v>6</v>
      </c>
      <c r="K1678" s="2">
        <v>194.96999767081209</v>
      </c>
      <c r="L1678" s="2">
        <v>13905</v>
      </c>
      <c r="M1678" s="2">
        <v>1200</v>
      </c>
      <c r="N1678" s="2">
        <v>249.98353381032652</v>
      </c>
      <c r="O1678" s="2">
        <v>2503.7523551604227</v>
      </c>
      <c r="P1678" s="2">
        <v>960.21050824783742</v>
      </c>
      <c r="Q1678" s="2">
        <v>251.39400102069908</v>
      </c>
      <c r="R1678" s="2">
        <v>2510.6376943043806</v>
      </c>
      <c r="S1678" s="2">
        <v>954.90651312144689</v>
      </c>
      <c r="T1678" s="2">
        <v>1.4104672103725591</v>
      </c>
      <c r="U1678" s="2">
        <v>6.8853391439579354</v>
      </c>
      <c r="V1678" s="2">
        <v>-5.3039951263905323</v>
      </c>
    </row>
    <row r="1679" spans="1:22" ht="15">
      <c r="A1679" s="2">
        <v>1678</v>
      </c>
      <c r="B1679" s="2" t="s">
        <v>80</v>
      </c>
      <c r="C1679" s="2" t="s">
        <v>81</v>
      </c>
      <c r="D1679" s="2">
        <v>985.22977476241067</v>
      </c>
      <c r="E1679" s="2">
        <v>713.73525604140013</v>
      </c>
      <c r="F1679" s="2">
        <v>491.85015009716153</v>
      </c>
      <c r="G1679" s="2">
        <v>89.698541834950447</v>
      </c>
      <c r="H1679" s="2">
        <v>10.144103641156107</v>
      </c>
      <c r="I1679" s="2">
        <v>0.83233978881966331</v>
      </c>
      <c r="J1679" s="2">
        <v>6</v>
      </c>
      <c r="K1679" s="2">
        <v>197.28116409436578</v>
      </c>
      <c r="L1679" s="2">
        <v>19260</v>
      </c>
      <c r="M1679" s="2">
        <v>1200</v>
      </c>
      <c r="N1679" s="2">
        <v>249.97081500159965</v>
      </c>
      <c r="O1679" s="2">
        <v>2501.262948786808</v>
      </c>
      <c r="P1679" s="2">
        <v>985.22977476241067</v>
      </c>
      <c r="Q1679" s="2">
        <v>247.20384544809335</v>
      </c>
      <c r="R1679" s="2">
        <v>2500.6209202471732</v>
      </c>
      <c r="S1679" s="2">
        <v>1003.2187683962701</v>
      </c>
      <c r="T1679" s="2">
        <v>-2.7669695535062999</v>
      </c>
      <c r="U1679" s="2">
        <v>-0.64202853963479356</v>
      </c>
      <c r="V1679" s="2">
        <v>17.988993633859423</v>
      </c>
    </row>
    <row r="1680" spans="1:22" ht="15">
      <c r="A1680" s="2">
        <v>1679</v>
      </c>
      <c r="B1680" s="2" t="s">
        <v>80</v>
      </c>
      <c r="C1680" s="2" t="s">
        <v>81</v>
      </c>
      <c r="D1680" s="2">
        <v>954.24053354654461</v>
      </c>
      <c r="E1680" s="2">
        <v>1074.550951749552</v>
      </c>
      <c r="F1680" s="2">
        <v>735.48006489872932</v>
      </c>
      <c r="G1680" s="2">
        <v>142.15796660399064</v>
      </c>
      <c r="H1680" s="2">
        <v>12.257308064959943</v>
      </c>
      <c r="I1680" s="2">
        <v>0.79922829998424283</v>
      </c>
      <c r="J1680" s="2">
        <v>6</v>
      </c>
      <c r="K1680" s="2">
        <v>198.99206387906892</v>
      </c>
      <c r="L1680" s="2">
        <v>12780</v>
      </c>
      <c r="M1680" s="2">
        <v>1200</v>
      </c>
      <c r="N1680" s="2">
        <v>249.98906525068594</v>
      </c>
      <c r="O1680" s="2">
        <v>2504.5406421508351</v>
      </c>
      <c r="P1680" s="2">
        <v>954.24053354654461</v>
      </c>
      <c r="Q1680" s="2">
        <v>252.02374715274425</v>
      </c>
      <c r="R1680" s="2">
        <v>2519.156590021526</v>
      </c>
      <c r="S1680" s="2">
        <v>953.96599964669861</v>
      </c>
      <c r="T1680" s="2">
        <v>2.0346819020583098</v>
      </c>
      <c r="U1680" s="2">
        <v>14.615947870690889</v>
      </c>
      <c r="V1680" s="2">
        <v>-0.27453389984600562</v>
      </c>
    </row>
    <row r="1681" spans="1:22" ht="15">
      <c r="A1681" s="2">
        <v>1680</v>
      </c>
      <c r="B1681" s="2" t="s">
        <v>80</v>
      </c>
      <c r="C1681" s="2" t="s">
        <v>81</v>
      </c>
      <c r="D1681" s="2">
        <v>990.58107211021706</v>
      </c>
      <c r="E1681" s="2">
        <v>1009.3459716066718</v>
      </c>
      <c r="F1681" s="2">
        <v>569.58940168842673</v>
      </c>
      <c r="G1681" s="2">
        <v>169.54538602847606</v>
      </c>
      <c r="H1681" s="2">
        <v>16.15725172450766</v>
      </c>
      <c r="I1681" s="2">
        <v>0.84288255481980745</v>
      </c>
      <c r="J1681" s="2">
        <v>6</v>
      </c>
      <c r="K1681" s="2">
        <v>195.87170763902861</v>
      </c>
      <c r="L1681" s="2">
        <v>14270</v>
      </c>
      <c r="M1681" s="2">
        <v>1200</v>
      </c>
      <c r="N1681" s="2">
        <v>250.00761469359875</v>
      </c>
      <c r="O1681" s="2">
        <v>2503.5242195967207</v>
      </c>
      <c r="P1681" s="2">
        <v>990.58107211021706</v>
      </c>
      <c r="Q1681" s="2">
        <v>252.83131041849259</v>
      </c>
      <c r="R1681" s="2">
        <v>2496.4620461772065</v>
      </c>
      <c r="S1681" s="2">
        <v>986.00126245756007</v>
      </c>
      <c r="T1681" s="2">
        <v>2.8236957248938381</v>
      </c>
      <c r="U1681" s="2">
        <v>-7.062173419514238</v>
      </c>
      <c r="V1681" s="2">
        <v>-4.5798096526569907</v>
      </c>
    </row>
    <row r="1682" spans="1:22" ht="15">
      <c r="A1682" s="2">
        <v>1681</v>
      </c>
      <c r="B1682" s="2" t="s">
        <v>78</v>
      </c>
      <c r="C1682" s="2" t="s">
        <v>81</v>
      </c>
      <c r="D1682" s="2">
        <v>1005.0926097668707</v>
      </c>
      <c r="E1682" s="2">
        <v>1083.9570512413047</v>
      </c>
      <c r="F1682" s="2">
        <v>420.25330159813166</v>
      </c>
      <c r="G1682" s="2">
        <v>124.54363702097908</v>
      </c>
      <c r="H1682" s="2">
        <v>12.965781779959798</v>
      </c>
      <c r="I1682" s="2">
        <v>0.81898885495262219</v>
      </c>
      <c r="J1682" s="2">
        <v>7</v>
      </c>
      <c r="K1682" s="2">
        <v>175.31942915930236</v>
      </c>
      <c r="L1682" s="2">
        <v>13130</v>
      </c>
      <c r="M1682" s="2">
        <v>1200</v>
      </c>
      <c r="N1682" s="2">
        <v>249.99725576179463</v>
      </c>
      <c r="O1682" s="2">
        <v>2504.2813027257753</v>
      </c>
      <c r="P1682" s="2">
        <v>1005.0926097668707</v>
      </c>
      <c r="Q1682" s="2">
        <v>249.2836557728709</v>
      </c>
      <c r="R1682" s="2">
        <v>2519.3825025060191</v>
      </c>
      <c r="S1682" s="2">
        <v>1012.356887397216</v>
      </c>
      <c r="T1682" s="2">
        <v>-0.71359998892373255</v>
      </c>
      <c r="U1682" s="2">
        <v>15.10119978024386</v>
      </c>
      <c r="V1682" s="2">
        <v>7.2642776303453047</v>
      </c>
    </row>
    <row r="1683" spans="1:22" ht="15">
      <c r="A1683" s="2">
        <v>1682</v>
      </c>
      <c r="B1683" s="2" t="s">
        <v>78</v>
      </c>
      <c r="C1683" s="2" t="s">
        <v>81</v>
      </c>
      <c r="D1683" s="2">
        <v>1037.0763342478313</v>
      </c>
      <c r="E1683" s="2">
        <v>1122.9209580691531</v>
      </c>
      <c r="F1683" s="2">
        <v>449.18414736166596</v>
      </c>
      <c r="G1683" s="2">
        <v>197.07147886045277</v>
      </c>
      <c r="H1683" s="2">
        <v>26.688312575686723</v>
      </c>
      <c r="I1683" s="2">
        <v>0.80490217382553964</v>
      </c>
      <c r="J1683" s="2">
        <v>7</v>
      </c>
      <c r="K1683" s="2">
        <v>184.06430850007419</v>
      </c>
      <c r="L1683" s="2">
        <v>12090</v>
      </c>
      <c r="M1683" s="2">
        <v>1200</v>
      </c>
      <c r="N1683" s="2">
        <v>250.04210022694195</v>
      </c>
      <c r="O1683" s="2">
        <v>2505.0987307324767</v>
      </c>
      <c r="P1683" s="2">
        <v>1037.0763342478313</v>
      </c>
      <c r="Q1683" s="2">
        <v>252.27326264140112</v>
      </c>
      <c r="R1683" s="2">
        <v>2535.2812842767312</v>
      </c>
      <c r="S1683" s="2">
        <v>1029.245741385454</v>
      </c>
      <c r="T1683" s="2">
        <v>2.2311624144591633</v>
      </c>
      <c r="U1683" s="2">
        <v>30.182553544254461</v>
      </c>
      <c r="V1683" s="2">
        <v>-7.8305928623772161</v>
      </c>
    </row>
    <row r="1684" spans="1:22" ht="15">
      <c r="A1684" s="2">
        <v>1683</v>
      </c>
      <c r="B1684" s="2" t="s">
        <v>78</v>
      </c>
      <c r="C1684" s="2" t="s">
        <v>81</v>
      </c>
      <c r="D1684" s="2">
        <v>965.65648184623569</v>
      </c>
      <c r="E1684" s="2">
        <v>993.70630603516474</v>
      </c>
      <c r="F1684" s="2">
        <v>499.22914765775204</v>
      </c>
      <c r="G1684" s="2">
        <v>168.39513052953407</v>
      </c>
      <c r="H1684" s="2">
        <v>26.802226600237191</v>
      </c>
      <c r="I1684" s="2">
        <v>0.85817126658512288</v>
      </c>
      <c r="J1684" s="2">
        <v>6</v>
      </c>
      <c r="K1684" s="2">
        <v>187.54152375061901</v>
      </c>
      <c r="L1684" s="2">
        <v>15020</v>
      </c>
      <c r="M1684" s="2">
        <v>1200</v>
      </c>
      <c r="N1684" s="2">
        <v>250.0315382919176</v>
      </c>
      <c r="O1684" s="2">
        <v>2503.0893750830364</v>
      </c>
      <c r="P1684" s="2">
        <v>965.65648184623569</v>
      </c>
      <c r="Q1684" s="2">
        <v>251.39746486009633</v>
      </c>
      <c r="R1684" s="2">
        <v>2471.5467669440063</v>
      </c>
      <c r="S1684" s="2">
        <v>952.28520415999844</v>
      </c>
      <c r="T1684" s="2">
        <v>1.365926568178736</v>
      </c>
      <c r="U1684" s="2">
        <v>-31.542608139030108</v>
      </c>
      <c r="V1684" s="2">
        <v>-13.371277686237249</v>
      </c>
    </row>
    <row r="1685" spans="1:22" ht="15">
      <c r="A1685" s="2">
        <v>1684</v>
      </c>
      <c r="B1685" s="2" t="s">
        <v>78</v>
      </c>
      <c r="C1685" s="2" t="s">
        <v>81</v>
      </c>
      <c r="D1685" s="2">
        <v>982.98379679908976</v>
      </c>
      <c r="E1685" s="2">
        <v>1205.7012035045773</v>
      </c>
      <c r="F1685" s="2">
        <v>564.8970085196197</v>
      </c>
      <c r="G1685" s="2">
        <v>290.95831820275635</v>
      </c>
      <c r="H1685" s="2">
        <v>25.918862387072295</v>
      </c>
      <c r="I1685" s="2">
        <v>0.82057198109105234</v>
      </c>
      <c r="J1685" s="2">
        <v>6</v>
      </c>
      <c r="K1685" s="2">
        <v>199.65418826757295</v>
      </c>
      <c r="L1685" s="2">
        <v>12105</v>
      </c>
      <c r="M1685" s="2">
        <v>1200</v>
      </c>
      <c r="N1685" s="2">
        <v>250.05126576754679</v>
      </c>
      <c r="O1685" s="2">
        <v>2505.0863424632203</v>
      </c>
      <c r="P1685" s="2">
        <v>982.98379679908976</v>
      </c>
      <c r="Q1685" s="2">
        <v>249.00587059402517</v>
      </c>
      <c r="R1685" s="2">
        <v>2495.7330918509306</v>
      </c>
      <c r="S1685" s="2">
        <v>964.25954454532916</v>
      </c>
      <c r="T1685" s="2">
        <v>-1.0453951735216265</v>
      </c>
      <c r="U1685" s="2">
        <v>-9.3532506122896848</v>
      </c>
      <c r="V1685" s="2">
        <v>-18.724252253760596</v>
      </c>
    </row>
    <row r="1686" spans="1:22" ht="15">
      <c r="A1686" s="2">
        <v>1685</v>
      </c>
      <c r="B1686" s="2" t="s">
        <v>78</v>
      </c>
      <c r="C1686" s="2" t="s">
        <v>81</v>
      </c>
      <c r="D1686" s="2">
        <v>1024.702162342146</v>
      </c>
      <c r="E1686" s="2">
        <v>1042.7919451030903</v>
      </c>
      <c r="F1686" s="2">
        <v>452.07194071263075</v>
      </c>
      <c r="G1686" s="2">
        <v>199.71367552177981</v>
      </c>
      <c r="H1686" s="2">
        <v>26.899309769272804</v>
      </c>
      <c r="I1686" s="2">
        <v>0.8115956179634668</v>
      </c>
      <c r="J1686" s="2">
        <v>7</v>
      </c>
      <c r="K1686" s="2">
        <v>180.36817837812004</v>
      </c>
      <c r="L1686" s="2">
        <v>12620</v>
      </c>
      <c r="M1686" s="2">
        <v>1200</v>
      </c>
      <c r="N1686" s="2">
        <v>249.99793519122434</v>
      </c>
      <c r="O1686" s="2">
        <v>2504.6644749000579</v>
      </c>
      <c r="P1686" s="2">
        <v>1024.702162342146</v>
      </c>
      <c r="Q1686" s="2">
        <v>251.4059346977815</v>
      </c>
      <c r="R1686" s="2">
        <v>2512.0125295016805</v>
      </c>
      <c r="S1686" s="2">
        <v>1013.2787386512451</v>
      </c>
      <c r="T1686" s="2">
        <v>1.4079995065571609</v>
      </c>
      <c r="U1686" s="2">
        <v>7.3480546016226072</v>
      </c>
      <c r="V1686" s="2">
        <v>-11.423423690900904</v>
      </c>
    </row>
    <row r="1687" spans="1:22" ht="15">
      <c r="A1687" s="2">
        <v>1686</v>
      </c>
      <c r="B1687" s="2" t="s">
        <v>78</v>
      </c>
      <c r="C1687" s="2" t="s">
        <v>81</v>
      </c>
      <c r="D1687" s="2">
        <v>976.35616260813549</v>
      </c>
      <c r="E1687" s="2">
        <v>716.89384484197944</v>
      </c>
      <c r="F1687" s="2">
        <v>707.24909426644444</v>
      </c>
      <c r="G1687" s="2">
        <v>169.41315161064267</v>
      </c>
      <c r="H1687" s="2">
        <v>28.697749441955239</v>
      </c>
      <c r="I1687" s="2">
        <v>0.83640161891933529</v>
      </c>
      <c r="J1687" s="2">
        <v>6</v>
      </c>
      <c r="K1687" s="2">
        <v>194.55489255461333</v>
      </c>
      <c r="L1687" s="2">
        <v>15655</v>
      </c>
      <c r="M1687" s="2">
        <v>1200</v>
      </c>
      <c r="N1687" s="2">
        <v>249.97078619194619</v>
      </c>
      <c r="O1687" s="2">
        <v>2502.7512074702518</v>
      </c>
      <c r="P1687" s="2">
        <v>976.35616260813549</v>
      </c>
      <c r="Q1687" s="2">
        <v>245.54723639797774</v>
      </c>
      <c r="R1687" s="2">
        <v>2494.2995560017453</v>
      </c>
      <c r="S1687" s="2">
        <v>962.32337373427163</v>
      </c>
      <c r="T1687" s="2">
        <v>-4.4235497939684478</v>
      </c>
      <c r="U1687" s="2">
        <v>-8.4516514685064976</v>
      </c>
      <c r="V1687" s="2">
        <v>-14.032788873863865</v>
      </c>
    </row>
    <row r="1688" spans="1:22" ht="15">
      <c r="A1688" s="2">
        <v>1687</v>
      </c>
      <c r="B1688" s="2" t="s">
        <v>78</v>
      </c>
      <c r="C1688" s="2" t="s">
        <v>81</v>
      </c>
      <c r="D1688" s="2">
        <v>987.61447046417743</v>
      </c>
      <c r="E1688" s="2">
        <v>1084.7248504054733</v>
      </c>
      <c r="F1688" s="2">
        <v>494.65560168027878</v>
      </c>
      <c r="G1688" s="2">
        <v>179.88378448178992</v>
      </c>
      <c r="H1688" s="2">
        <v>18.153575922362506</v>
      </c>
      <c r="I1688" s="2">
        <v>0.79685893680667508</v>
      </c>
      <c r="J1688" s="2">
        <v>7</v>
      </c>
      <c r="K1688" s="2">
        <v>177.05490266605571</v>
      </c>
      <c r="L1688" s="2">
        <v>12155</v>
      </c>
      <c r="M1688" s="2">
        <v>1200</v>
      </c>
      <c r="N1688" s="2">
        <v>249.977731323829</v>
      </c>
      <c r="O1688" s="2">
        <v>2505.041028973907</v>
      </c>
      <c r="P1688" s="2">
        <v>987.61447046417743</v>
      </c>
      <c r="Q1688" s="2">
        <v>250.42811686507841</v>
      </c>
      <c r="R1688" s="2">
        <v>2515.3423102561205</v>
      </c>
      <c r="S1688" s="2">
        <v>991.86057307647252</v>
      </c>
      <c r="T1688" s="2">
        <v>0.45038554124940333</v>
      </c>
      <c r="U1688" s="2">
        <v>10.301281282213495</v>
      </c>
      <c r="V1688" s="2">
        <v>4.2461026122950898</v>
      </c>
    </row>
    <row r="1689" spans="1:22" ht="15">
      <c r="A1689" s="2">
        <v>1688</v>
      </c>
      <c r="B1689" s="2" t="s">
        <v>78</v>
      </c>
      <c r="C1689" s="2" t="s">
        <v>81</v>
      </c>
      <c r="D1689" s="2">
        <v>1081.9935495848767</v>
      </c>
      <c r="E1689" s="2">
        <v>1026.9761725328863</v>
      </c>
      <c r="F1689" s="2">
        <v>391.24891376122832</v>
      </c>
      <c r="G1689" s="2">
        <v>294.12849857006222</v>
      </c>
      <c r="H1689" s="2">
        <v>12.232740690466017</v>
      </c>
      <c r="I1689" s="2">
        <v>0.81510866065509624</v>
      </c>
      <c r="J1689" s="2">
        <v>7</v>
      </c>
      <c r="K1689" s="2">
        <v>189.63178106747972</v>
      </c>
      <c r="L1689" s="2">
        <v>12490</v>
      </c>
      <c r="M1689" s="2">
        <v>1200</v>
      </c>
      <c r="N1689" s="2">
        <v>250.01778552593629</v>
      </c>
      <c r="O1689" s="2">
        <v>2504.7679526882112</v>
      </c>
      <c r="P1689" s="2">
        <v>1081.9935495848767</v>
      </c>
      <c r="Q1689" s="2">
        <v>250.66709192200662</v>
      </c>
      <c r="R1689" s="2">
        <v>2555.5362569384451</v>
      </c>
      <c r="S1689" s="2">
        <v>1082.2041379513362</v>
      </c>
      <c r="T1689" s="2">
        <v>0.64930639607032958</v>
      </c>
      <c r="U1689" s="2">
        <v>50.768304250233996</v>
      </c>
      <c r="V1689" s="2">
        <v>0.21058836645943302</v>
      </c>
    </row>
    <row r="1690" spans="1:22" ht="15">
      <c r="A1690" s="2">
        <v>1689</v>
      </c>
      <c r="B1690" s="2" t="s">
        <v>78</v>
      </c>
      <c r="C1690" s="2" t="s">
        <v>81</v>
      </c>
      <c r="D1690" s="2">
        <v>1070.3042984008789</v>
      </c>
      <c r="E1690" s="2">
        <v>1240.058981848415</v>
      </c>
      <c r="F1690" s="2">
        <v>430.12640941888094</v>
      </c>
      <c r="G1690" s="2">
        <v>146.2907199584879</v>
      </c>
      <c r="H1690" s="2">
        <v>18.529718784615397</v>
      </c>
      <c r="I1690" s="2">
        <v>0.80067009155871349</v>
      </c>
      <c r="J1690" s="2">
        <v>7</v>
      </c>
      <c r="K1690" s="2">
        <v>190.96581184843239</v>
      </c>
      <c r="L1690" s="2">
        <v>11775</v>
      </c>
      <c r="M1690" s="2">
        <v>1195</v>
      </c>
      <c r="N1690" s="2">
        <v>250.03795187541931</v>
      </c>
      <c r="O1690" s="2">
        <v>2494.9350121105895</v>
      </c>
      <c r="P1690" s="2">
        <v>1070.3042984008789</v>
      </c>
      <c r="Q1690" s="2">
        <v>251.74350576039814</v>
      </c>
      <c r="R1690" s="2">
        <v>2521.4950976335031</v>
      </c>
      <c r="S1690" s="2">
        <v>1071.7056593194986</v>
      </c>
      <c r="T1690" s="2">
        <v>1.7055538849788263</v>
      </c>
      <c r="U1690" s="2">
        <v>26.560085522913596</v>
      </c>
      <c r="V1690" s="2">
        <v>1.40136091861973</v>
      </c>
    </row>
    <row r="1691" spans="1:22" ht="15">
      <c r="A1691" s="2">
        <v>1690</v>
      </c>
      <c r="B1691" s="2" t="s">
        <v>78</v>
      </c>
      <c r="C1691" s="2" t="s">
        <v>81</v>
      </c>
      <c r="D1691" s="2">
        <v>1094.4255730719306</v>
      </c>
      <c r="E1691" s="2">
        <v>1087.1869215974584</v>
      </c>
      <c r="F1691" s="2">
        <v>450.99457958713174</v>
      </c>
      <c r="G1691" s="2">
        <v>140.63403724692762</v>
      </c>
      <c r="H1691" s="2">
        <v>23.8281583157368</v>
      </c>
      <c r="I1691" s="2">
        <v>0.8104081729101017</v>
      </c>
      <c r="J1691" s="2">
        <v>7</v>
      </c>
      <c r="K1691" s="2">
        <v>192.92316596144533</v>
      </c>
      <c r="L1691" s="2">
        <v>12740</v>
      </c>
      <c r="M1691" s="2">
        <v>1200</v>
      </c>
      <c r="N1691" s="2">
        <v>250.02756319003936</v>
      </c>
      <c r="O1691" s="2">
        <v>2504.5727210123177</v>
      </c>
      <c r="P1691" s="2">
        <v>1094.4255730719306</v>
      </c>
      <c r="Q1691" s="2">
        <v>250.67878271543574</v>
      </c>
      <c r="R1691" s="2">
        <v>2517.4084967004992</v>
      </c>
      <c r="S1691" s="2">
        <v>1087.4903029110651</v>
      </c>
      <c r="T1691" s="2">
        <v>0.65121952539638528</v>
      </c>
      <c r="U1691" s="2">
        <v>12.835775688181457</v>
      </c>
      <c r="V1691" s="2">
        <v>-6.935270160865457</v>
      </c>
    </row>
    <row r="1692" spans="1:22" ht="15">
      <c r="A1692" s="2">
        <v>1691</v>
      </c>
      <c r="B1692" s="2" t="s">
        <v>78</v>
      </c>
      <c r="C1692" s="2" t="s">
        <v>81</v>
      </c>
      <c r="D1692" s="2">
        <v>1039.4692123634741</v>
      </c>
      <c r="E1692" s="2">
        <v>713.1845329538919</v>
      </c>
      <c r="F1692" s="2">
        <v>373.482621088624</v>
      </c>
      <c r="G1692" s="2">
        <v>270.18420687643811</v>
      </c>
      <c r="H1692" s="2">
        <v>23.485183679498732</v>
      </c>
      <c r="I1692" s="2">
        <v>0.84268331418512399</v>
      </c>
      <c r="J1692" s="2">
        <v>7</v>
      </c>
      <c r="K1692" s="2">
        <v>176.21756508826337</v>
      </c>
      <c r="L1692" s="2">
        <v>15760</v>
      </c>
      <c r="M1692" s="2">
        <v>1200</v>
      </c>
      <c r="N1692" s="2">
        <v>249.97914075965102</v>
      </c>
      <c r="O1692" s="2">
        <v>2502.6985031421814</v>
      </c>
      <c r="P1692" s="2">
        <v>1039.4692123634741</v>
      </c>
      <c r="Q1692" s="2">
        <v>244.66872351617866</v>
      </c>
      <c r="R1692" s="2">
        <v>2444.5097096898539</v>
      </c>
      <c r="S1692" s="2">
        <v>1039.9400277546165</v>
      </c>
      <c r="T1692" s="2">
        <v>-5.310417243472358</v>
      </c>
      <c r="U1692" s="2">
        <v>-58.188793452327445</v>
      </c>
      <c r="V1692" s="2">
        <v>0.47081539114242332</v>
      </c>
    </row>
    <row r="1693" spans="1:22" ht="15">
      <c r="A1693" s="2">
        <v>1692</v>
      </c>
      <c r="B1693" s="2" t="s">
        <v>78</v>
      </c>
      <c r="C1693" s="2" t="s">
        <v>81</v>
      </c>
      <c r="D1693" s="2">
        <v>1071.0861467174254</v>
      </c>
      <c r="E1693" s="2">
        <v>616.35841350071132</v>
      </c>
      <c r="F1693" s="2">
        <v>744.87781776115298</v>
      </c>
      <c r="G1693" s="2">
        <v>138.77254519145936</v>
      </c>
      <c r="H1693" s="2">
        <v>23.822559024672955</v>
      </c>
      <c r="I1693" s="2">
        <v>0.83535376094281677</v>
      </c>
      <c r="J1693" s="2">
        <v>7</v>
      </c>
      <c r="K1693" s="2">
        <v>183.17066831808063</v>
      </c>
      <c r="L1693" s="2">
        <v>14255</v>
      </c>
      <c r="M1693" s="2">
        <v>1200</v>
      </c>
      <c r="N1693" s="2">
        <v>249.96338588343221</v>
      </c>
      <c r="O1693" s="2">
        <v>2503.5318510894899</v>
      </c>
      <c r="P1693" s="2">
        <v>1071.0861467174254</v>
      </c>
      <c r="Q1693" s="2">
        <v>245.78635978975919</v>
      </c>
      <c r="R1693" s="2">
        <v>2431.1112526025577</v>
      </c>
      <c r="S1693" s="2">
        <v>1074.3023158014253</v>
      </c>
      <c r="T1693" s="2">
        <v>-4.177026093673021</v>
      </c>
      <c r="U1693" s="2">
        <v>-72.420598486932249</v>
      </c>
      <c r="V1693" s="2">
        <v>3.21616908399983</v>
      </c>
    </row>
    <row r="1694" spans="1:22" ht="15">
      <c r="A1694" s="2">
        <v>1693</v>
      </c>
      <c r="B1694" s="2" t="s">
        <v>78</v>
      </c>
      <c r="C1694" s="2" t="s">
        <v>81</v>
      </c>
      <c r="D1694" s="2">
        <v>950.29591764323413</v>
      </c>
      <c r="E1694" s="2">
        <v>1240.1429676334374</v>
      </c>
      <c r="F1694" s="2">
        <v>458.70414134114981</v>
      </c>
      <c r="G1694" s="2">
        <v>114.55816657515243</v>
      </c>
      <c r="H1694" s="2">
        <v>29.228723894804716</v>
      </c>
      <c r="I1694" s="2">
        <v>0.81174612116301437</v>
      </c>
      <c r="J1694" s="2">
        <v>6</v>
      </c>
      <c r="K1694" s="2">
        <v>195.11353218863451</v>
      </c>
      <c r="L1694" s="2">
        <v>13760</v>
      </c>
      <c r="M1694" s="2">
        <v>1200</v>
      </c>
      <c r="N1694" s="2">
        <v>250.02435408418759</v>
      </c>
      <c r="O1694" s="2">
        <v>2503.8481669628827</v>
      </c>
      <c r="P1694" s="2">
        <v>950.29591764323413</v>
      </c>
      <c r="Q1694" s="2">
        <v>250.85462476927148</v>
      </c>
      <c r="R1694" s="2">
        <v>2498.9383659882037</v>
      </c>
      <c r="S1694" s="2">
        <v>943.04074339248882</v>
      </c>
      <c r="T1694" s="2">
        <v>0.83027068508388879</v>
      </c>
      <c r="U1694" s="2">
        <v>-4.9098009746790012</v>
      </c>
      <c r="V1694" s="2">
        <v>-7.2551742507453127</v>
      </c>
    </row>
    <row r="1695" spans="1:22" ht="15">
      <c r="A1695" s="2">
        <v>1694</v>
      </c>
      <c r="B1695" s="2" t="s">
        <v>78</v>
      </c>
      <c r="C1695" s="2" t="s">
        <v>81</v>
      </c>
      <c r="D1695" s="2">
        <v>982.50107021303847</v>
      </c>
      <c r="E1695" s="2">
        <v>726.99506643693894</v>
      </c>
      <c r="F1695" s="2">
        <v>421.63392500951886</v>
      </c>
      <c r="G1695" s="2">
        <v>175.90853657573462</v>
      </c>
      <c r="H1695" s="2">
        <v>26.995743172708899</v>
      </c>
      <c r="I1695" s="2">
        <v>0.82372106398921463</v>
      </c>
      <c r="J1695" s="2">
        <v>6</v>
      </c>
      <c r="K1695" s="2">
        <v>198.79323903143967</v>
      </c>
      <c r="L1695" s="2">
        <v>18835</v>
      </c>
      <c r="M1695" s="2">
        <v>1200</v>
      </c>
      <c r="N1695" s="2">
        <v>249.97609534970681</v>
      </c>
      <c r="O1695" s="2">
        <v>2501.4089124498191</v>
      </c>
      <c r="P1695" s="2">
        <v>982.50107021303847</v>
      </c>
      <c r="Q1695" s="2">
        <v>244.13546737734217</v>
      </c>
      <c r="R1695" s="2">
        <v>2515.3284645893978</v>
      </c>
      <c r="S1695" s="2">
        <v>976.29904060111028</v>
      </c>
      <c r="T1695" s="2">
        <v>-5.8406279723646435</v>
      </c>
      <c r="U1695" s="2">
        <v>13.919552139578627</v>
      </c>
      <c r="V1695" s="2">
        <v>-6.2020296119281966</v>
      </c>
    </row>
    <row r="1696" spans="1:22" ht="15">
      <c r="A1696" s="2">
        <v>1695</v>
      </c>
      <c r="B1696" s="2" t="s">
        <v>79</v>
      </c>
      <c r="C1696" s="2" t="s">
        <v>81</v>
      </c>
      <c r="D1696" s="2">
        <v>983.03891385439783</v>
      </c>
      <c r="E1696" s="2">
        <v>961.80597908096388</v>
      </c>
      <c r="F1696" s="2">
        <v>658.16856846213341</v>
      </c>
      <c r="G1696" s="2">
        <v>318.02913859253749</v>
      </c>
      <c r="H1696" s="2">
        <v>8.9620808279141784</v>
      </c>
      <c r="I1696" s="2">
        <v>0.82431138852378361</v>
      </c>
      <c r="J1696" s="2">
        <v>6</v>
      </c>
      <c r="K1696" s="2">
        <v>198.75962076557644</v>
      </c>
      <c r="L1696" s="2">
        <v>12875</v>
      </c>
      <c r="M1696" s="2">
        <v>1200</v>
      </c>
      <c r="N1696" s="2">
        <v>250.01725271823241</v>
      </c>
      <c r="O1696" s="2">
        <v>2504.469863192342</v>
      </c>
      <c r="P1696" s="2">
        <v>983.03891385439783</v>
      </c>
      <c r="Q1696" s="2">
        <v>251.9749898130257</v>
      </c>
      <c r="R1696" s="2">
        <v>2472.470358806504</v>
      </c>
      <c r="S1696" s="2">
        <v>976.3704265340865</v>
      </c>
      <c r="T1696" s="2">
        <v>1.9577370947932877</v>
      </c>
      <c r="U1696" s="2">
        <v>-31.999504385838009</v>
      </c>
      <c r="V1696" s="2">
        <v>-6.6684873203113284</v>
      </c>
    </row>
    <row r="1697" spans="1:22" ht="15">
      <c r="A1697" s="2">
        <v>1696</v>
      </c>
      <c r="B1697" s="2" t="s">
        <v>79</v>
      </c>
      <c r="C1697" s="2" t="s">
        <v>81</v>
      </c>
      <c r="D1697" s="2">
        <v>1097.9393316316418</v>
      </c>
      <c r="E1697" s="2">
        <v>822.70886972546577</v>
      </c>
      <c r="F1697" s="2">
        <v>679.12243893370032</v>
      </c>
      <c r="G1697" s="2">
        <v>218.80831666756421</v>
      </c>
      <c r="H1697" s="2">
        <v>27.563990206923336</v>
      </c>
      <c r="I1697" s="2">
        <v>0.8027039642166347</v>
      </c>
      <c r="J1697" s="2">
        <v>7</v>
      </c>
      <c r="K1697" s="2">
        <v>195.40015116338324</v>
      </c>
      <c r="L1697" s="2">
        <v>12430</v>
      </c>
      <c r="M1697" s="2">
        <v>1200</v>
      </c>
      <c r="N1697" s="2">
        <v>250.0211271459286</v>
      </c>
      <c r="O1697" s="2">
        <v>2504.8161873869517</v>
      </c>
      <c r="P1697" s="2">
        <v>1097.9393316316418</v>
      </c>
      <c r="Q1697" s="2">
        <v>251.54261601386708</v>
      </c>
      <c r="R1697" s="2">
        <v>2479.2871477271406</v>
      </c>
      <c r="S1697" s="2">
        <v>1082.4133815293428</v>
      </c>
      <c r="T1697" s="2">
        <v>1.5214888679384728</v>
      </c>
      <c r="U1697" s="2">
        <v>-25.529039659811133</v>
      </c>
      <c r="V1697" s="2">
        <v>-15.525950102299021</v>
      </c>
    </row>
    <row r="1698" spans="1:22" ht="15">
      <c r="A1698" s="2">
        <v>1697</v>
      </c>
      <c r="B1698" s="2" t="s">
        <v>79</v>
      </c>
      <c r="C1698" s="2" t="s">
        <v>81</v>
      </c>
      <c r="D1698" s="2">
        <v>1084.5483384095132</v>
      </c>
      <c r="E1698" s="2">
        <v>1069.738927425351</v>
      </c>
      <c r="F1698" s="2">
        <v>467.91807059198618</v>
      </c>
      <c r="G1698" s="2">
        <v>124.29957183310762</v>
      </c>
      <c r="H1698" s="2">
        <v>12.736379707232118</v>
      </c>
      <c r="I1698" s="2">
        <v>0.84608169618295515</v>
      </c>
      <c r="J1698" s="2">
        <v>7</v>
      </c>
      <c r="K1698" s="2">
        <v>183.1211780311836</v>
      </c>
      <c r="L1698" s="2">
        <v>12870</v>
      </c>
      <c r="M1698" s="2">
        <v>1200</v>
      </c>
      <c r="N1698" s="2">
        <v>250.04215963892963</v>
      </c>
      <c r="O1698" s="2">
        <v>2504.4745815844135</v>
      </c>
      <c r="P1698" s="2">
        <v>1084.5483384095132</v>
      </c>
      <c r="Q1698" s="2">
        <v>253.95749026184919</v>
      </c>
      <c r="R1698" s="2">
        <v>2525.5370526402553</v>
      </c>
      <c r="S1698" s="2">
        <v>1087.1151544326033</v>
      </c>
      <c r="T1698" s="2">
        <v>3.915330622919555</v>
      </c>
      <c r="U1698" s="2">
        <v>21.062471055841797</v>
      </c>
      <c r="V1698" s="2">
        <v>2.5668160230900412</v>
      </c>
    </row>
    <row r="1699" spans="1:22" ht="15">
      <c r="A1699" s="2">
        <v>1698</v>
      </c>
      <c r="B1699" s="2" t="s">
        <v>80</v>
      </c>
      <c r="C1699" s="2" t="s">
        <v>81</v>
      </c>
      <c r="D1699" s="2">
        <v>1089.9692864739336</v>
      </c>
      <c r="E1699" s="2">
        <v>651.90562114585191</v>
      </c>
      <c r="F1699" s="2">
        <v>569.98891169205308</v>
      </c>
      <c r="G1699" s="2">
        <v>291.03837736882269</v>
      </c>
      <c r="H1699" s="2">
        <v>26.841401286888868</v>
      </c>
      <c r="I1699" s="2">
        <v>0.85576994484756141</v>
      </c>
      <c r="J1699" s="2">
        <v>7</v>
      </c>
      <c r="K1699" s="2">
        <v>181.95298748829214</v>
      </c>
      <c r="L1699" s="2">
        <v>14135</v>
      </c>
      <c r="M1699" s="2">
        <v>1200</v>
      </c>
      <c r="N1699" s="2">
        <v>249.99480144463101</v>
      </c>
      <c r="O1699" s="2">
        <v>2503.6070850568954</v>
      </c>
      <c r="P1699" s="2">
        <v>1089.9692864739336</v>
      </c>
      <c r="Q1699" s="2">
        <v>245.40761761661784</v>
      </c>
      <c r="R1699" s="2">
        <v>2486.8806567733604</v>
      </c>
      <c r="S1699" s="2">
        <v>1088.8630545526412</v>
      </c>
      <c r="T1699" s="2">
        <v>-4.5871838280131669</v>
      </c>
      <c r="U1699" s="2">
        <v>-16.726428283534915</v>
      </c>
      <c r="V1699" s="2">
        <v>-1.1062319212924194</v>
      </c>
    </row>
    <row r="1700" spans="1:22" ht="15">
      <c r="A1700" s="2">
        <v>1699</v>
      </c>
      <c r="B1700" s="2" t="s">
        <v>80</v>
      </c>
      <c r="C1700" s="2" t="s">
        <v>81</v>
      </c>
      <c r="D1700" s="2">
        <v>1026.6305431490764</v>
      </c>
      <c r="E1700" s="2">
        <v>991.06345340842381</v>
      </c>
      <c r="F1700" s="2">
        <v>564.29467014968395</v>
      </c>
      <c r="G1700" s="2">
        <v>161.41130738658831</v>
      </c>
      <c r="H1700" s="2">
        <v>26.959129561670125</v>
      </c>
      <c r="I1700" s="2">
        <v>0.81013179116649559</v>
      </c>
      <c r="J1700" s="2">
        <v>7</v>
      </c>
      <c r="K1700" s="2">
        <v>181.03413267238687</v>
      </c>
      <c r="L1700" s="2">
        <v>12455</v>
      </c>
      <c r="M1700" s="2">
        <v>1200</v>
      </c>
      <c r="N1700" s="2">
        <v>249.96047202838673</v>
      </c>
      <c r="O1700" s="2">
        <v>2504.7936582114153</v>
      </c>
      <c r="P1700" s="2">
        <v>1026.6305431490764</v>
      </c>
      <c r="Q1700" s="2">
        <v>250.08582680831668</v>
      </c>
      <c r="R1700" s="2">
        <v>2489.4408450523138</v>
      </c>
      <c r="S1700" s="2">
        <v>1010.5753278530706</v>
      </c>
      <c r="T1700" s="2">
        <v>0.1253547799299497</v>
      </c>
      <c r="U1700" s="2">
        <v>-15.352813159101515</v>
      </c>
      <c r="V1700" s="2">
        <v>-16.055215296005827</v>
      </c>
    </row>
    <row r="1701" spans="1:22" ht="15">
      <c r="A1701" s="2">
        <v>1700</v>
      </c>
      <c r="B1701" s="2" t="s">
        <v>80</v>
      </c>
      <c r="C1701" s="2" t="s">
        <v>81</v>
      </c>
      <c r="D1701" s="2">
        <v>959.08548490842804</v>
      </c>
      <c r="E1701" s="2">
        <v>826.10205416567624</v>
      </c>
      <c r="F1701" s="2">
        <v>396.24880282208323</v>
      </c>
      <c r="G1701" s="2">
        <v>319.34038577135652</v>
      </c>
      <c r="H1701" s="2">
        <v>18.088589317630976</v>
      </c>
      <c r="I1701" s="2">
        <v>0.80376907987520108</v>
      </c>
      <c r="J1701" s="2">
        <v>6</v>
      </c>
      <c r="K1701" s="2">
        <v>198.87251801585901</v>
      </c>
      <c r="L1701" s="2">
        <v>16185</v>
      </c>
      <c r="M1701" s="2">
        <v>1200</v>
      </c>
      <c r="N1701" s="2">
        <v>250.02216193222378</v>
      </c>
      <c r="O1701" s="2">
        <v>2502.4924226248709</v>
      </c>
      <c r="P1701" s="2">
        <v>959.08548490842804</v>
      </c>
      <c r="Q1701" s="2">
        <v>248.11357882735444</v>
      </c>
      <c r="R1701" s="2">
        <v>2519.626397525185</v>
      </c>
      <c r="S1701" s="2">
        <v>957.50800917690594</v>
      </c>
      <c r="T1701" s="2">
        <v>-1.9085831048693365</v>
      </c>
      <c r="U1701" s="2">
        <v>17.133974900314115</v>
      </c>
      <c r="V1701" s="2">
        <v>-1.5774757315220995</v>
      </c>
    </row>
    <row r="1702" spans="1:22" ht="15">
      <c r="A1702" s="2">
        <v>1701</v>
      </c>
      <c r="B1702" s="2" t="s">
        <v>78</v>
      </c>
      <c r="C1702" s="2" t="s">
        <v>81</v>
      </c>
      <c r="D1702" s="2">
        <v>1071.9823709223419</v>
      </c>
      <c r="E1702" s="2">
        <v>779.26873097894713</v>
      </c>
      <c r="F1702" s="2">
        <v>742.53963958472013</v>
      </c>
      <c r="G1702" s="2">
        <v>166.25434088753536</v>
      </c>
      <c r="H1702" s="2">
        <v>13.788887985050678</v>
      </c>
      <c r="I1702" s="2">
        <v>0.84716712871799249</v>
      </c>
      <c r="J1702" s="2">
        <v>7</v>
      </c>
      <c r="K1702" s="2">
        <v>180.7675646420997</v>
      </c>
      <c r="L1702" s="2">
        <v>12670</v>
      </c>
      <c r="M1702" s="2">
        <v>1200</v>
      </c>
      <c r="N1702" s="2">
        <v>250.0231752866593</v>
      </c>
      <c r="O1702" s="2">
        <v>2504.6265506558998</v>
      </c>
      <c r="P1702" s="2">
        <v>1071.9823709223419</v>
      </c>
      <c r="Q1702" s="2">
        <v>250.45805136103976</v>
      </c>
      <c r="R1702" s="2">
        <v>2459.2819451707373</v>
      </c>
      <c r="S1702" s="2">
        <v>1070.7573070538888</v>
      </c>
      <c r="T1702" s="2">
        <v>0.43487607438046894</v>
      </c>
      <c r="U1702" s="2">
        <v>-45.344605485162447</v>
      </c>
      <c r="V1702" s="2">
        <v>-1.2250638684531623</v>
      </c>
    </row>
    <row r="1703" spans="1:22" ht="15">
      <c r="A1703" s="2">
        <v>1702</v>
      </c>
      <c r="B1703" s="2" t="s">
        <v>78</v>
      </c>
      <c r="C1703" s="2" t="s">
        <v>81</v>
      </c>
      <c r="D1703" s="2">
        <v>1034.4059030641802</v>
      </c>
      <c r="E1703" s="2">
        <v>908.56843513902277</v>
      </c>
      <c r="F1703" s="2">
        <v>613.35013182833791</v>
      </c>
      <c r="G1703" s="2">
        <v>187.88047080859542</v>
      </c>
      <c r="H1703" s="2">
        <v>12.372691004071385</v>
      </c>
      <c r="I1703" s="2">
        <v>0.79218605966772893</v>
      </c>
      <c r="J1703" s="2">
        <v>7</v>
      </c>
      <c r="K1703" s="2">
        <v>186.53732928384576</v>
      </c>
      <c r="L1703" s="2">
        <v>12510</v>
      </c>
      <c r="M1703" s="2">
        <v>1200</v>
      </c>
      <c r="N1703" s="2">
        <v>250.04455484345752</v>
      </c>
      <c r="O1703" s="2">
        <v>2504.7530821587015</v>
      </c>
      <c r="P1703" s="2">
        <v>1034.4059030641802</v>
      </c>
      <c r="Q1703" s="2">
        <v>251.31489181348957</v>
      </c>
      <c r="R1703" s="2">
        <v>2524.1702116178685</v>
      </c>
      <c r="S1703" s="2">
        <v>1032.3718636252745</v>
      </c>
      <c r="T1703" s="2">
        <v>1.2703369700320479</v>
      </c>
      <c r="U1703" s="2">
        <v>19.417129459166972</v>
      </c>
      <c r="V1703" s="2">
        <v>-2.0340394389056655</v>
      </c>
    </row>
    <row r="1704" spans="1:22" ht="15">
      <c r="A1704" s="2">
        <v>1703</v>
      </c>
      <c r="B1704" s="2" t="s">
        <v>78</v>
      </c>
      <c r="C1704" s="2" t="s">
        <v>81</v>
      </c>
      <c r="D1704" s="2">
        <v>1087.2193957911804</v>
      </c>
      <c r="E1704" s="2">
        <v>600.82121231826022</v>
      </c>
      <c r="F1704" s="2">
        <v>431.15583658218384</v>
      </c>
      <c r="G1704" s="2">
        <v>88.3213429315947</v>
      </c>
      <c r="H1704" s="2">
        <v>20.527698117308319</v>
      </c>
      <c r="I1704" s="2">
        <v>0.84059793464606636</v>
      </c>
      <c r="J1704" s="2">
        <v>7</v>
      </c>
      <c r="K1704" s="2">
        <v>184.76973370984243</v>
      </c>
      <c r="L1704" s="2">
        <v>19090</v>
      </c>
      <c r="M1704" s="2">
        <v>1200</v>
      </c>
      <c r="N1704" s="2">
        <v>250.00846242093056</v>
      </c>
      <c r="O1704" s="2">
        <v>2501.3214809985325</v>
      </c>
      <c r="P1704" s="2">
        <v>1087.2193957911804</v>
      </c>
      <c r="Q1704" s="2">
        <v>249.79285055262088</v>
      </c>
      <c r="R1704" s="2">
        <v>2508.075666016161</v>
      </c>
      <c r="S1704" s="2">
        <v>1099.9970619863004</v>
      </c>
      <c r="T1704" s="2">
        <v>-0.21561186830967927</v>
      </c>
      <c r="U1704" s="2">
        <v>6.7541850176285152</v>
      </c>
      <c r="V1704" s="2">
        <v>12.777666195119991</v>
      </c>
    </row>
    <row r="1705" spans="1:22" ht="15">
      <c r="A1705" s="2">
        <v>1704</v>
      </c>
      <c r="B1705" s="2" t="s">
        <v>78</v>
      </c>
      <c r="C1705" s="2" t="s">
        <v>81</v>
      </c>
      <c r="D1705" s="2">
        <v>1007.7576936106198</v>
      </c>
      <c r="E1705" s="2">
        <v>1078.2587886787951</v>
      </c>
      <c r="F1705" s="2">
        <v>358.41215616092086</v>
      </c>
      <c r="G1705" s="2">
        <v>291.6630912059918</v>
      </c>
      <c r="H1705" s="2">
        <v>13.799784911330789</v>
      </c>
      <c r="I1705" s="2">
        <v>0.80964145363308493</v>
      </c>
      <c r="J1705" s="2">
        <v>7</v>
      </c>
      <c r="K1705" s="2">
        <v>177.81375219302896</v>
      </c>
      <c r="L1705" s="2">
        <v>12375</v>
      </c>
      <c r="M1705" s="2">
        <v>1200</v>
      </c>
      <c r="N1705" s="2">
        <v>250.02761545571542</v>
      </c>
      <c r="O1705" s="2">
        <v>2504.860978090629</v>
      </c>
      <c r="P1705" s="2">
        <v>1007.7576936106198</v>
      </c>
      <c r="Q1705" s="2">
        <v>254.5894664865923</v>
      </c>
      <c r="R1705" s="2">
        <v>2552.1082246330957</v>
      </c>
      <c r="S1705" s="2">
        <v>1007.8418145690021</v>
      </c>
      <c r="T1705" s="2">
        <v>4.5618510308768805</v>
      </c>
      <c r="U1705" s="2">
        <v>47.247246542466655</v>
      </c>
      <c r="V1705" s="2">
        <v>8.4120958382300159E-2</v>
      </c>
    </row>
    <row r="1706" spans="1:22" ht="15">
      <c r="A1706" s="2">
        <v>1705</v>
      </c>
      <c r="B1706" s="2" t="s">
        <v>78</v>
      </c>
      <c r="C1706" s="2" t="s">
        <v>81</v>
      </c>
      <c r="D1706" s="2">
        <v>1083.0945624038577</v>
      </c>
      <c r="E1706" s="2">
        <v>868.2137344381772</v>
      </c>
      <c r="F1706" s="2">
        <v>362.159931845963</v>
      </c>
      <c r="G1706" s="2">
        <v>208.1144316890277</v>
      </c>
      <c r="H1706" s="2">
        <v>28.541327139362693</v>
      </c>
      <c r="I1706" s="2">
        <v>0.84011409164639195</v>
      </c>
      <c r="J1706" s="2">
        <v>7</v>
      </c>
      <c r="K1706" s="2">
        <v>184.17474027354871</v>
      </c>
      <c r="L1706" s="2">
        <v>14865</v>
      </c>
      <c r="M1706" s="2">
        <v>1200</v>
      </c>
      <c r="N1706" s="2">
        <v>249.96931056912663</v>
      </c>
      <c r="O1706" s="2">
        <v>2503.1737269159216</v>
      </c>
      <c r="P1706" s="2">
        <v>1083.0945624038577</v>
      </c>
      <c r="Q1706" s="2">
        <v>248.45974851431859</v>
      </c>
      <c r="R1706" s="2">
        <v>2491.3602058361689</v>
      </c>
      <c r="S1706" s="2">
        <v>1078.4806737572576</v>
      </c>
      <c r="T1706" s="2">
        <v>-1.5095620548080433</v>
      </c>
      <c r="U1706" s="2">
        <v>-11.813521079752718</v>
      </c>
      <c r="V1706" s="2">
        <v>-4.6138886466001168</v>
      </c>
    </row>
    <row r="1707" spans="1:22" ht="15">
      <c r="A1707" s="2">
        <v>1706</v>
      </c>
      <c r="B1707" s="2" t="s">
        <v>78</v>
      </c>
      <c r="C1707" s="2" t="s">
        <v>81</v>
      </c>
      <c r="D1707" s="2">
        <v>1040.6473052338697</v>
      </c>
      <c r="E1707" s="2">
        <v>778.33661253098398</v>
      </c>
      <c r="F1707" s="2">
        <v>352.10296520963311</v>
      </c>
      <c r="G1707" s="2">
        <v>162.87047105841339</v>
      </c>
      <c r="H1707" s="2">
        <v>10.627283890265971</v>
      </c>
      <c r="I1707" s="2">
        <v>0.79926208299119028</v>
      </c>
      <c r="J1707" s="2">
        <v>7</v>
      </c>
      <c r="K1707" s="2">
        <v>186.00144297015814</v>
      </c>
      <c r="L1707" s="2">
        <v>16535</v>
      </c>
      <c r="M1707" s="2">
        <v>1200</v>
      </c>
      <c r="N1707" s="2">
        <v>249.98945823563253</v>
      </c>
      <c r="O1707" s="2">
        <v>2502.3286164560686</v>
      </c>
      <c r="P1707" s="2">
        <v>1040.6473052338697</v>
      </c>
      <c r="Q1707" s="2">
        <v>250.76911283794533</v>
      </c>
      <c r="R1707" s="2">
        <v>2480.2849035157956</v>
      </c>
      <c r="S1707" s="2">
        <v>1057.392646987139</v>
      </c>
      <c r="T1707" s="2">
        <v>0.77965460231280304</v>
      </c>
      <c r="U1707" s="2">
        <v>-22.043712940273053</v>
      </c>
      <c r="V1707" s="2">
        <v>16.745341753269258</v>
      </c>
    </row>
    <row r="1708" spans="1:22" ht="15">
      <c r="A1708" s="2">
        <v>1707</v>
      </c>
      <c r="B1708" s="2" t="s">
        <v>78</v>
      </c>
      <c r="C1708" s="2" t="s">
        <v>81</v>
      </c>
      <c r="D1708" s="2">
        <v>991.25170696061105</v>
      </c>
      <c r="E1708" s="2">
        <v>959.40149711677805</v>
      </c>
      <c r="F1708" s="2">
        <v>491.80460758507252</v>
      </c>
      <c r="G1708" s="2">
        <v>210.54233248112723</v>
      </c>
      <c r="H1708" s="2">
        <v>11.079132453538477</v>
      </c>
      <c r="I1708" s="2">
        <v>0.79681138670770457</v>
      </c>
      <c r="J1708" s="2">
        <v>7</v>
      </c>
      <c r="K1708" s="2">
        <v>177.71757415987426</v>
      </c>
      <c r="L1708" s="2">
        <v>12870</v>
      </c>
      <c r="M1708" s="2">
        <v>1200</v>
      </c>
      <c r="N1708" s="2">
        <v>250.01080761618292</v>
      </c>
      <c r="O1708" s="2">
        <v>2504.4733700025295</v>
      </c>
      <c r="P1708" s="2">
        <v>991.25170696061105</v>
      </c>
      <c r="Q1708" s="2">
        <v>253.0728656057511</v>
      </c>
      <c r="R1708" s="2">
        <v>2530.0840332920361</v>
      </c>
      <c r="S1708" s="2">
        <v>997.2960613956277</v>
      </c>
      <c r="T1708" s="2">
        <v>3.0620579895681885</v>
      </c>
      <c r="U1708" s="2">
        <v>25.610663289506647</v>
      </c>
      <c r="V1708" s="2">
        <v>6.0443544350166576</v>
      </c>
    </row>
    <row r="1709" spans="1:22" ht="15">
      <c r="A1709" s="2">
        <v>1708</v>
      </c>
      <c r="B1709" s="2" t="s">
        <v>78</v>
      </c>
      <c r="C1709" s="2" t="s">
        <v>81</v>
      </c>
      <c r="D1709" s="2">
        <v>956.02292999392375</v>
      </c>
      <c r="E1709" s="2">
        <v>1046.152771404013</v>
      </c>
      <c r="F1709" s="2">
        <v>624.00950593873858</v>
      </c>
      <c r="G1709" s="2">
        <v>184.56241748761386</v>
      </c>
      <c r="H1709" s="2">
        <v>13.89472960261628</v>
      </c>
      <c r="I1709" s="2">
        <v>0.84722592357546089</v>
      </c>
      <c r="J1709" s="2">
        <v>6</v>
      </c>
      <c r="K1709" s="2">
        <v>188.06926295002046</v>
      </c>
      <c r="L1709" s="2">
        <v>13450</v>
      </c>
      <c r="M1709" s="2">
        <v>1200</v>
      </c>
      <c r="N1709" s="2">
        <v>249.95975181800478</v>
      </c>
      <c r="O1709" s="2">
        <v>2504.0543343373251</v>
      </c>
      <c r="P1709" s="2">
        <v>956.02292999392375</v>
      </c>
      <c r="Q1709" s="2">
        <v>251.69843347063949</v>
      </c>
      <c r="R1709" s="2">
        <v>2481.3027873858123</v>
      </c>
      <c r="S1709" s="2">
        <v>959.14748601128213</v>
      </c>
      <c r="T1709" s="2">
        <v>1.7386816526347104</v>
      </c>
      <c r="U1709" s="2">
        <v>-22.751546951512864</v>
      </c>
      <c r="V1709" s="2">
        <v>3.1245560173583726</v>
      </c>
    </row>
    <row r="1710" spans="1:22" ht="15">
      <c r="A1710" s="2">
        <v>1709</v>
      </c>
      <c r="B1710" s="2" t="s">
        <v>78</v>
      </c>
      <c r="C1710" s="2" t="s">
        <v>81</v>
      </c>
      <c r="D1710" s="2">
        <v>1026.6533640678972</v>
      </c>
      <c r="E1710" s="2">
        <v>1147.0196875627153</v>
      </c>
      <c r="F1710" s="2">
        <v>533.92892982810736</v>
      </c>
      <c r="G1710" s="2">
        <v>327.71832471014932</v>
      </c>
      <c r="H1710" s="2">
        <v>21.504053596407175</v>
      </c>
      <c r="I1710" s="2">
        <v>0.79001926608616491</v>
      </c>
      <c r="J1710" s="2">
        <v>7</v>
      </c>
      <c r="K1710" s="2">
        <v>185.64707544666084</v>
      </c>
      <c r="L1710" s="2">
        <v>10645</v>
      </c>
      <c r="M1710" s="2">
        <v>1195</v>
      </c>
      <c r="N1710" s="2">
        <v>249.95921713284068</v>
      </c>
      <c r="O1710" s="2">
        <v>2496.0491317866777</v>
      </c>
      <c r="P1710" s="2">
        <v>1026.6533640678972</v>
      </c>
      <c r="Q1710" s="2">
        <v>250.49138938677015</v>
      </c>
      <c r="R1710" s="2">
        <v>2518.6400276176892</v>
      </c>
      <c r="S1710" s="2">
        <v>1017.1136174236032</v>
      </c>
      <c r="T1710" s="2">
        <v>0.53217225392947398</v>
      </c>
      <c r="U1710" s="2">
        <v>22.590895831011494</v>
      </c>
      <c r="V1710" s="2">
        <v>-9.5397466442940413</v>
      </c>
    </row>
    <row r="1711" spans="1:22" ht="15">
      <c r="A1711" s="2">
        <v>1710</v>
      </c>
      <c r="B1711" s="2" t="s">
        <v>78</v>
      </c>
      <c r="C1711" s="2" t="s">
        <v>81</v>
      </c>
      <c r="D1711" s="2">
        <v>1073.7587219220586</v>
      </c>
      <c r="E1711" s="2">
        <v>695.40921233128756</v>
      </c>
      <c r="F1711" s="2">
        <v>702.36918078735471</v>
      </c>
      <c r="G1711" s="2">
        <v>208.17328795790672</v>
      </c>
      <c r="H1711" s="2">
        <v>25.701651255134493</v>
      </c>
      <c r="I1711" s="2">
        <v>0.80351938046049332</v>
      </c>
      <c r="J1711" s="2">
        <v>7</v>
      </c>
      <c r="K1711" s="2">
        <v>190.90280441501383</v>
      </c>
      <c r="L1711" s="2">
        <v>13315</v>
      </c>
      <c r="M1711" s="2">
        <v>1200</v>
      </c>
      <c r="N1711" s="2">
        <v>249.9707287818205</v>
      </c>
      <c r="O1711" s="2">
        <v>2504.1485659258824</v>
      </c>
      <c r="P1711" s="2">
        <v>1073.7587219220586</v>
      </c>
      <c r="Q1711" s="2">
        <v>249.34903497502125</v>
      </c>
      <c r="R1711" s="2">
        <v>2460.0338419405693</v>
      </c>
      <c r="S1711" s="2">
        <v>1063.7508589865611</v>
      </c>
      <c r="T1711" s="2">
        <v>-0.62169380679924302</v>
      </c>
      <c r="U1711" s="2">
        <v>-44.114723985313049</v>
      </c>
      <c r="V1711" s="2">
        <v>-10.007862935497542</v>
      </c>
    </row>
    <row r="1712" spans="1:22" ht="15">
      <c r="A1712" s="2">
        <v>1711</v>
      </c>
      <c r="B1712" s="2" t="s">
        <v>78</v>
      </c>
      <c r="C1712" s="2" t="s">
        <v>81</v>
      </c>
      <c r="D1712" s="2">
        <v>982.03906065318733</v>
      </c>
      <c r="E1712" s="2">
        <v>828.99041782366112</v>
      </c>
      <c r="F1712" s="2">
        <v>613.79822269082069</v>
      </c>
      <c r="G1712" s="2">
        <v>99.407267158385366</v>
      </c>
      <c r="H1712" s="2">
        <v>24.753774805925786</v>
      </c>
      <c r="I1712" s="2">
        <v>0.83518922870745882</v>
      </c>
      <c r="J1712" s="2">
        <v>6</v>
      </c>
      <c r="K1712" s="2">
        <v>195.97136930134059</v>
      </c>
      <c r="L1712" s="2">
        <v>16180</v>
      </c>
      <c r="M1712" s="2">
        <v>1200</v>
      </c>
      <c r="N1712" s="2">
        <v>250.0268847341799</v>
      </c>
      <c r="O1712" s="2">
        <v>2502.494940700924</v>
      </c>
      <c r="P1712" s="2">
        <v>982.03906065318733</v>
      </c>
      <c r="Q1712" s="2">
        <v>249.53089740354906</v>
      </c>
      <c r="R1712" s="2">
        <v>2522.0470584833124</v>
      </c>
      <c r="S1712" s="2">
        <v>978.35154232244065</v>
      </c>
      <c r="T1712" s="2">
        <v>-0.49598733063083955</v>
      </c>
      <c r="U1712" s="2">
        <v>19.55211778238845</v>
      </c>
      <c r="V1712" s="2">
        <v>-3.6875183307466841</v>
      </c>
    </row>
    <row r="1713" spans="1:22" ht="15">
      <c r="A1713" s="2">
        <v>1712</v>
      </c>
      <c r="B1713" s="2" t="s">
        <v>78</v>
      </c>
      <c r="C1713" s="2" t="s">
        <v>81</v>
      </c>
      <c r="D1713" s="2">
        <v>979.79608959285542</v>
      </c>
      <c r="E1713" s="2">
        <v>909.57222227007151</v>
      </c>
      <c r="F1713" s="2">
        <v>415.67278346046805</v>
      </c>
      <c r="G1713" s="2">
        <v>132.69795295316726</v>
      </c>
      <c r="H1713" s="2">
        <v>18.485760027077049</v>
      </c>
      <c r="I1713" s="2">
        <v>0.80559907308779666</v>
      </c>
      <c r="J1713" s="2">
        <v>7</v>
      </c>
      <c r="K1713" s="2">
        <v>173.74755584727694</v>
      </c>
      <c r="L1713" s="2">
        <v>14670</v>
      </c>
      <c r="M1713" s="2">
        <v>1200</v>
      </c>
      <c r="N1713" s="2">
        <v>250.02636703490396</v>
      </c>
      <c r="O1713" s="2">
        <v>2503.2869775510894</v>
      </c>
      <c r="P1713" s="2">
        <v>979.79608959285542</v>
      </c>
      <c r="Q1713" s="2">
        <v>249.24132764393636</v>
      </c>
      <c r="R1713" s="2">
        <v>2472.950405996527</v>
      </c>
      <c r="S1713" s="2">
        <v>987.25635783478708</v>
      </c>
      <c r="T1713" s="2">
        <v>-0.78503939096759723</v>
      </c>
      <c r="U1713" s="2">
        <v>-30.336571554562397</v>
      </c>
      <c r="V1713" s="2">
        <v>7.4602682419316579</v>
      </c>
    </row>
    <row r="1714" spans="1:22" ht="15">
      <c r="A1714" s="2">
        <v>1713</v>
      </c>
      <c r="B1714" s="2" t="s">
        <v>78</v>
      </c>
      <c r="C1714" s="2" t="s">
        <v>81</v>
      </c>
      <c r="D1714" s="2">
        <v>1027.2839699871838</v>
      </c>
      <c r="E1714" s="2">
        <v>970.73015657952055</v>
      </c>
      <c r="F1714" s="2">
        <v>699.12289772182703</v>
      </c>
      <c r="G1714" s="2">
        <v>258.59850829700008</v>
      </c>
      <c r="H1714" s="2">
        <v>29.211525039747357</v>
      </c>
      <c r="I1714" s="2">
        <v>0.79289634823100641</v>
      </c>
      <c r="J1714" s="2">
        <v>7</v>
      </c>
      <c r="K1714" s="2">
        <v>185.08705858304151</v>
      </c>
      <c r="L1714" s="2">
        <v>11090</v>
      </c>
      <c r="M1714" s="2">
        <v>1195</v>
      </c>
      <c r="N1714" s="2">
        <v>250.00929583123093</v>
      </c>
      <c r="O1714" s="2">
        <v>2495.5841276435467</v>
      </c>
      <c r="P1714" s="2">
        <v>1027.2839699871838</v>
      </c>
      <c r="Q1714" s="2">
        <v>248.95293451251985</v>
      </c>
      <c r="R1714" s="2">
        <v>2503.8659761939966</v>
      </c>
      <c r="S1714" s="2">
        <v>1012.7170839596608</v>
      </c>
      <c r="T1714" s="2">
        <v>-1.0563613187110832</v>
      </c>
      <c r="U1714" s="2">
        <v>8.2818485504499222</v>
      </c>
      <c r="V1714" s="2">
        <v>-14.566886027522969</v>
      </c>
    </row>
    <row r="1715" spans="1:22" ht="15">
      <c r="A1715" s="2">
        <v>1714</v>
      </c>
      <c r="B1715" s="2" t="s">
        <v>78</v>
      </c>
      <c r="C1715" s="2" t="s">
        <v>81</v>
      </c>
      <c r="D1715" s="2">
        <v>968.24259978020564</v>
      </c>
      <c r="E1715" s="2">
        <v>811.50715176481754</v>
      </c>
      <c r="F1715" s="2">
        <v>500.91416323557496</v>
      </c>
      <c r="G1715" s="2">
        <v>137.49180284328759</v>
      </c>
      <c r="H1715" s="2">
        <v>16.988735050428659</v>
      </c>
      <c r="I1715" s="2">
        <v>0.85810144143644729</v>
      </c>
      <c r="J1715" s="2">
        <v>6</v>
      </c>
      <c r="K1715" s="2">
        <v>188.05907884258687</v>
      </c>
      <c r="L1715" s="2">
        <v>17210</v>
      </c>
      <c r="M1715" s="2">
        <v>1200</v>
      </c>
      <c r="N1715" s="2">
        <v>250.02945111940656</v>
      </c>
      <c r="O1715" s="2">
        <v>2502.0344864927924</v>
      </c>
      <c r="P1715" s="2">
        <v>968.24259978020564</v>
      </c>
      <c r="Q1715" s="2">
        <v>249.97031644073067</v>
      </c>
      <c r="R1715" s="2">
        <v>2485.9350494732671</v>
      </c>
      <c r="S1715" s="2">
        <v>970.73167616285252</v>
      </c>
      <c r="T1715" s="2">
        <v>-5.9134678675889063E-2</v>
      </c>
      <c r="U1715" s="2">
        <v>-16.09943701952534</v>
      </c>
      <c r="V1715" s="2">
        <v>2.4890763826468856</v>
      </c>
    </row>
    <row r="1716" spans="1:22" ht="15">
      <c r="A1716" s="2">
        <v>1715</v>
      </c>
      <c r="B1716" s="2" t="s">
        <v>79</v>
      </c>
      <c r="C1716" s="2" t="s">
        <v>81</v>
      </c>
      <c r="D1716" s="2">
        <v>989.21334573533386</v>
      </c>
      <c r="E1716" s="2">
        <v>728.78797758603469</v>
      </c>
      <c r="F1716" s="2">
        <v>541.89881645143032</v>
      </c>
      <c r="G1716" s="2">
        <v>124.92562887025997</v>
      </c>
      <c r="H1716" s="2">
        <v>20.4442791165784</v>
      </c>
      <c r="I1716" s="2">
        <v>0.80555914838565512</v>
      </c>
      <c r="J1716" s="2">
        <v>7</v>
      </c>
      <c r="K1716" s="2">
        <v>175.42621486094876</v>
      </c>
      <c r="L1716" s="2">
        <v>15325</v>
      </c>
      <c r="M1716" s="2">
        <v>1200</v>
      </c>
      <c r="N1716" s="2">
        <v>250.02331668633047</v>
      </c>
      <c r="O1716" s="2">
        <v>2502.9241390362304</v>
      </c>
      <c r="P1716" s="2">
        <v>989.21334573533386</v>
      </c>
      <c r="Q1716" s="2">
        <v>246.2352482997423</v>
      </c>
      <c r="R1716" s="2">
        <v>2524.8446988577998</v>
      </c>
      <c r="S1716" s="2">
        <v>989.3462102438682</v>
      </c>
      <c r="T1716" s="2">
        <v>-3.7880683865881792</v>
      </c>
      <c r="U1716" s="2">
        <v>21.920559821569441</v>
      </c>
      <c r="V1716" s="2">
        <v>0.13286450853433962</v>
      </c>
    </row>
    <row r="1717" spans="1:22" ht="15">
      <c r="A1717" s="2">
        <v>1716</v>
      </c>
      <c r="B1717" s="2" t="s">
        <v>79</v>
      </c>
      <c r="C1717" s="2" t="s">
        <v>81</v>
      </c>
      <c r="D1717" s="2">
        <v>1022.8286386816762</v>
      </c>
      <c r="E1717" s="2">
        <v>925.91785662807524</v>
      </c>
      <c r="F1717" s="2">
        <v>426.15263340994716</v>
      </c>
      <c r="G1717" s="2">
        <v>115.34617589320987</v>
      </c>
      <c r="H1717" s="2">
        <v>21.415216177236289</v>
      </c>
      <c r="I1717" s="2">
        <v>0.82786653066053995</v>
      </c>
      <c r="J1717" s="2">
        <v>7</v>
      </c>
      <c r="K1717" s="2">
        <v>176.4999206308533</v>
      </c>
      <c r="L1717" s="2">
        <v>14575</v>
      </c>
      <c r="M1717" s="2">
        <v>1200</v>
      </c>
      <c r="N1717" s="2">
        <v>250.02145768984599</v>
      </c>
      <c r="O1717" s="2">
        <v>2503.3421258957187</v>
      </c>
      <c r="P1717" s="2">
        <v>1022.8286386816762</v>
      </c>
      <c r="Q1717" s="2">
        <v>250.27151524783756</v>
      </c>
      <c r="R1717" s="2">
        <v>2536.1472375886788</v>
      </c>
      <c r="S1717" s="2">
        <v>1024.8348653059716</v>
      </c>
      <c r="T1717" s="2">
        <v>0.25005755799156759</v>
      </c>
      <c r="U1717" s="2">
        <v>32.805111692960054</v>
      </c>
      <c r="V1717" s="2">
        <v>2.0062266242953228</v>
      </c>
    </row>
    <row r="1718" spans="1:22" ht="15">
      <c r="A1718" s="2">
        <v>1717</v>
      </c>
      <c r="B1718" s="2" t="s">
        <v>79</v>
      </c>
      <c r="C1718" s="2" t="s">
        <v>81</v>
      </c>
      <c r="D1718" s="2">
        <v>1088.1605778355151</v>
      </c>
      <c r="E1718" s="2">
        <v>692.00471265939996</v>
      </c>
      <c r="F1718" s="2">
        <v>594.7898892685771</v>
      </c>
      <c r="G1718" s="2">
        <v>195.53872964577749</v>
      </c>
      <c r="H1718" s="2">
        <v>22.342295527458191</v>
      </c>
      <c r="I1718" s="2">
        <v>0.83027016556123279</v>
      </c>
      <c r="J1718" s="2">
        <v>7</v>
      </c>
      <c r="K1718" s="2">
        <v>187.23003374965265</v>
      </c>
      <c r="L1718" s="2">
        <v>14425</v>
      </c>
      <c r="M1718" s="2">
        <v>1200</v>
      </c>
      <c r="N1718" s="2">
        <v>249.96373751149758</v>
      </c>
      <c r="O1718" s="2">
        <v>2503.428958789757</v>
      </c>
      <c r="P1718" s="2">
        <v>1088.1605778355151</v>
      </c>
      <c r="Q1718" s="2">
        <v>249.26527532406527</v>
      </c>
      <c r="R1718" s="2">
        <v>2497.8427763768691</v>
      </c>
      <c r="S1718" s="2">
        <v>1081.9578406701683</v>
      </c>
      <c r="T1718" s="2">
        <v>-0.69846218743231248</v>
      </c>
      <c r="U1718" s="2">
        <v>-5.5861824128878652</v>
      </c>
      <c r="V1718" s="2">
        <v>-6.202737165346889</v>
      </c>
    </row>
    <row r="1719" spans="1:22" ht="15">
      <c r="A1719" s="2">
        <v>1718</v>
      </c>
      <c r="B1719" s="2" t="s">
        <v>80</v>
      </c>
      <c r="C1719" s="2" t="s">
        <v>81</v>
      </c>
      <c r="D1719" s="2">
        <v>993.33096157060936</v>
      </c>
      <c r="E1719" s="2">
        <v>1051.6135627171025</v>
      </c>
      <c r="F1719" s="2">
        <v>638.56976451352239</v>
      </c>
      <c r="G1719" s="2">
        <v>131.06503749266267</v>
      </c>
      <c r="H1719" s="2">
        <v>15.968353143427521</v>
      </c>
      <c r="I1719" s="2">
        <v>0.83521223349031071</v>
      </c>
      <c r="J1719" s="2">
        <v>6</v>
      </c>
      <c r="K1719" s="2">
        <v>198.21927125028017</v>
      </c>
      <c r="L1719" s="2">
        <v>13700</v>
      </c>
      <c r="M1719" s="2">
        <v>1200</v>
      </c>
      <c r="N1719" s="2">
        <v>250.01045354104593</v>
      </c>
      <c r="O1719" s="2">
        <v>2503.8873008406231</v>
      </c>
      <c r="P1719" s="2">
        <v>993.33096157060936</v>
      </c>
      <c r="Q1719" s="2">
        <v>253.1067253170564</v>
      </c>
      <c r="R1719" s="2">
        <v>2555.7003382805983</v>
      </c>
      <c r="S1719" s="2">
        <v>988.89936070425597</v>
      </c>
      <c r="T1719" s="2">
        <v>3.0962717760104681</v>
      </c>
      <c r="U1719" s="2">
        <v>51.813037439975233</v>
      </c>
      <c r="V1719" s="2">
        <v>-4.4316008663533921</v>
      </c>
    </row>
    <row r="1720" spans="1:22" ht="15">
      <c r="A1720" s="2">
        <v>1719</v>
      </c>
      <c r="B1720" s="2" t="s">
        <v>80</v>
      </c>
      <c r="C1720" s="2" t="s">
        <v>81</v>
      </c>
      <c r="D1720" s="2">
        <v>1053.2110088737682</v>
      </c>
      <c r="E1720" s="2">
        <v>989.8084877175279</v>
      </c>
      <c r="F1720" s="2">
        <v>673.9767387509346</v>
      </c>
      <c r="G1720" s="2">
        <v>252.18536784639582</v>
      </c>
      <c r="H1720" s="2">
        <v>21.941973338834941</v>
      </c>
      <c r="I1720" s="2">
        <v>0.79752601701533421</v>
      </c>
      <c r="J1720" s="2">
        <v>7</v>
      </c>
      <c r="K1720" s="2">
        <v>188.65681161910302</v>
      </c>
      <c r="L1720" s="2">
        <v>11160</v>
      </c>
      <c r="M1720" s="2">
        <v>1195</v>
      </c>
      <c r="N1720" s="2">
        <v>249.95887644891897</v>
      </c>
      <c r="O1720" s="2">
        <v>2495.5117761568604</v>
      </c>
      <c r="P1720" s="2">
        <v>1053.2110088737682</v>
      </c>
      <c r="Q1720" s="2">
        <v>252.96971079849845</v>
      </c>
      <c r="R1720" s="2">
        <v>2509.1280729533964</v>
      </c>
      <c r="S1720" s="2">
        <v>1038.6388475915871</v>
      </c>
      <c r="T1720" s="2">
        <v>3.0108343495794827</v>
      </c>
      <c r="U1720" s="2">
        <v>13.616296796536062</v>
      </c>
      <c r="V1720" s="2">
        <v>-14.572161282181014</v>
      </c>
    </row>
    <row r="1721" spans="1:22" ht="15">
      <c r="A1721" s="2">
        <v>1720</v>
      </c>
      <c r="B1721" s="2" t="s">
        <v>80</v>
      </c>
      <c r="C1721" s="2" t="s">
        <v>81</v>
      </c>
      <c r="D1721" s="2">
        <v>983.26562111033127</v>
      </c>
      <c r="E1721" s="2">
        <v>788.01843700930476</v>
      </c>
      <c r="F1721" s="2">
        <v>468.34282791242003</v>
      </c>
      <c r="G1721" s="2">
        <v>261.28631880972534</v>
      </c>
      <c r="H1721" s="2">
        <v>22.857370113488287</v>
      </c>
      <c r="I1721" s="2">
        <v>0.80648706656880675</v>
      </c>
      <c r="J1721" s="2">
        <v>7</v>
      </c>
      <c r="K1721" s="2">
        <v>174.17082446106627</v>
      </c>
      <c r="L1721" s="2">
        <v>14090</v>
      </c>
      <c r="M1721" s="2">
        <v>1200</v>
      </c>
      <c r="N1721" s="2">
        <v>249.97540435118788</v>
      </c>
      <c r="O1721" s="2">
        <v>2503.6345301144174</v>
      </c>
      <c r="P1721" s="2">
        <v>983.26562111033127</v>
      </c>
      <c r="Q1721" s="2">
        <v>245.6874704532845</v>
      </c>
      <c r="R1721" s="2">
        <v>2522.4078745203233</v>
      </c>
      <c r="S1721" s="2">
        <v>985.79961250872122</v>
      </c>
      <c r="T1721" s="2">
        <v>-4.2879338979033719</v>
      </c>
      <c r="U1721" s="2">
        <v>18.773344405905846</v>
      </c>
      <c r="V1721" s="2">
        <v>2.5339913983899578</v>
      </c>
    </row>
    <row r="1722" spans="1:22" ht="15">
      <c r="A1722" s="2">
        <v>1721</v>
      </c>
      <c r="B1722" s="2" t="s">
        <v>78</v>
      </c>
      <c r="C1722" s="2" t="s">
        <v>81</v>
      </c>
      <c r="D1722" s="2">
        <v>1000.5248215049505</v>
      </c>
      <c r="E1722" s="2">
        <v>1093.6781360185705</v>
      </c>
      <c r="F1722" s="2">
        <v>351.72338057309389</v>
      </c>
      <c r="G1722" s="2">
        <v>270.29726140433922</v>
      </c>
      <c r="H1722" s="2">
        <v>17.508932484313846</v>
      </c>
      <c r="I1722" s="2">
        <v>0.8060266524297186</v>
      </c>
      <c r="J1722" s="2">
        <v>7</v>
      </c>
      <c r="K1722" s="2">
        <v>177.3292693572723</v>
      </c>
      <c r="L1722" s="2">
        <v>12465</v>
      </c>
      <c r="M1722" s="2">
        <v>1200</v>
      </c>
      <c r="N1722" s="2">
        <v>250.00492466528235</v>
      </c>
      <c r="O1722" s="2">
        <v>2504.7874257264702</v>
      </c>
      <c r="P1722" s="2">
        <v>1000.5248215049505</v>
      </c>
      <c r="Q1722" s="2">
        <v>253.11632035987481</v>
      </c>
      <c r="R1722" s="2">
        <v>2529.8216144476328</v>
      </c>
      <c r="S1722" s="2">
        <v>1000.5670013828393</v>
      </c>
      <c r="T1722" s="2">
        <v>3.1113956945924599</v>
      </c>
      <c r="U1722" s="2">
        <v>25.034188721162536</v>
      </c>
      <c r="V1722" s="2">
        <v>4.2179877888770534E-2</v>
      </c>
    </row>
    <row r="1723" spans="1:22" ht="15">
      <c r="A1723" s="2">
        <v>1722</v>
      </c>
      <c r="B1723" s="2" t="s">
        <v>78</v>
      </c>
      <c r="C1723" s="2" t="s">
        <v>81</v>
      </c>
      <c r="D1723" s="2">
        <v>981.70549893984571</v>
      </c>
      <c r="E1723" s="2">
        <v>1167.809851304628</v>
      </c>
      <c r="F1723" s="2">
        <v>378.42278042808175</v>
      </c>
      <c r="G1723" s="2">
        <v>156.88702619634569</v>
      </c>
      <c r="H1723" s="2">
        <v>24.394088965374976</v>
      </c>
      <c r="I1723" s="2">
        <v>0.84131822877097884</v>
      </c>
      <c r="J1723" s="2">
        <v>6</v>
      </c>
      <c r="K1723" s="2">
        <v>194.47763944881842</v>
      </c>
      <c r="L1723" s="2">
        <v>14650</v>
      </c>
      <c r="M1723" s="2">
        <v>1200</v>
      </c>
      <c r="N1723" s="2">
        <v>250.00662327063145</v>
      </c>
      <c r="O1723" s="2">
        <v>2503.297885845202</v>
      </c>
      <c r="P1723" s="2">
        <v>981.70549893984571</v>
      </c>
      <c r="Q1723" s="2">
        <v>250.75984487255226</v>
      </c>
      <c r="R1723" s="2">
        <v>2527.5711066439321</v>
      </c>
      <c r="S1723" s="2">
        <v>970.21732505583225</v>
      </c>
      <c r="T1723" s="2">
        <v>0.75322160192081355</v>
      </c>
      <c r="U1723" s="2">
        <v>24.273220798730108</v>
      </c>
      <c r="V1723" s="2">
        <v>-11.488173884013463</v>
      </c>
    </row>
    <row r="1724" spans="1:22" ht="15">
      <c r="A1724" s="2">
        <v>1723</v>
      </c>
      <c r="B1724" s="2" t="s">
        <v>78</v>
      </c>
      <c r="C1724" s="2" t="s">
        <v>81</v>
      </c>
      <c r="D1724" s="2">
        <v>985.25535434018821</v>
      </c>
      <c r="E1724" s="2">
        <v>617.73762336233631</v>
      </c>
      <c r="F1724" s="2">
        <v>701.36700011789799</v>
      </c>
      <c r="G1724" s="2">
        <v>111.4365208032541</v>
      </c>
      <c r="H1724" s="2">
        <v>24.175018616952002</v>
      </c>
      <c r="I1724" s="2">
        <v>0.84745370092568928</v>
      </c>
      <c r="J1724" s="2">
        <v>6</v>
      </c>
      <c r="K1724" s="2">
        <v>193.76778406182655</v>
      </c>
      <c r="L1724" s="2">
        <v>17440</v>
      </c>
      <c r="M1724" s="2">
        <v>1200</v>
      </c>
      <c r="N1724" s="2">
        <v>249.98583058961259</v>
      </c>
      <c r="O1724" s="2">
        <v>2501.9378280935166</v>
      </c>
      <c r="P1724" s="2">
        <v>985.25535434018821</v>
      </c>
      <c r="Q1724" s="2">
        <v>249.0394183414661</v>
      </c>
      <c r="R1724" s="2">
        <v>2442.0302542376162</v>
      </c>
      <c r="S1724" s="2">
        <v>984.19300707209482</v>
      </c>
      <c r="T1724" s="2">
        <v>-0.94641224814648695</v>
      </c>
      <c r="U1724" s="2">
        <v>-59.907573855900409</v>
      </c>
      <c r="V1724" s="2">
        <v>-1.0623472680933901</v>
      </c>
    </row>
    <row r="1725" spans="1:22" ht="15">
      <c r="A1725" s="2">
        <v>1724</v>
      </c>
      <c r="B1725" s="2" t="s">
        <v>78</v>
      </c>
      <c r="C1725" s="2" t="s">
        <v>81</v>
      </c>
      <c r="D1725" s="2">
        <v>1053.8647745153867</v>
      </c>
      <c r="E1725" s="2">
        <v>813.24515300802886</v>
      </c>
      <c r="F1725" s="2">
        <v>375.69530559703708</v>
      </c>
      <c r="G1725" s="2">
        <v>188.11006079893559</v>
      </c>
      <c r="H1725" s="2">
        <v>26.301214050035924</v>
      </c>
      <c r="I1725" s="2">
        <v>0.80753223642706873</v>
      </c>
      <c r="J1725" s="2">
        <v>7</v>
      </c>
      <c r="K1725" s="2">
        <v>186.43479957057065</v>
      </c>
      <c r="L1725" s="2">
        <v>15530</v>
      </c>
      <c r="M1725" s="2">
        <v>1200</v>
      </c>
      <c r="N1725" s="2">
        <v>249.99810552820236</v>
      </c>
      <c r="O1725" s="2">
        <v>2502.8160864835545</v>
      </c>
      <c r="P1725" s="2">
        <v>1053.8647745153867</v>
      </c>
      <c r="Q1725" s="2">
        <v>244.6101060175024</v>
      </c>
      <c r="R1725" s="2">
        <v>2477.1459453707671</v>
      </c>
      <c r="S1725" s="2">
        <v>1048.7968570593782</v>
      </c>
      <c r="T1725" s="2">
        <v>-5.3879995106999559</v>
      </c>
      <c r="U1725" s="2">
        <v>-25.670141112787405</v>
      </c>
      <c r="V1725" s="2">
        <v>-5.0679174560084448</v>
      </c>
    </row>
    <row r="1726" spans="1:22" ht="15">
      <c r="A1726" s="2">
        <v>1725</v>
      </c>
      <c r="B1726" s="2" t="s">
        <v>78</v>
      </c>
      <c r="C1726" s="2" t="s">
        <v>81</v>
      </c>
      <c r="D1726" s="2">
        <v>999.2491255979985</v>
      </c>
      <c r="E1726" s="2">
        <v>973.51688564522192</v>
      </c>
      <c r="F1726" s="2">
        <v>410.01402791589499</v>
      </c>
      <c r="G1726" s="2">
        <v>170.15243389876559</v>
      </c>
      <c r="H1726" s="2">
        <v>11.43660556897521</v>
      </c>
      <c r="I1726" s="2">
        <v>0.83161243502283477</v>
      </c>
      <c r="J1726" s="2">
        <v>7</v>
      </c>
      <c r="K1726" s="2">
        <v>171.65432967763243</v>
      </c>
      <c r="L1726" s="2">
        <v>13765</v>
      </c>
      <c r="M1726" s="2">
        <v>1200</v>
      </c>
      <c r="N1726" s="2">
        <v>250.00786320755844</v>
      </c>
      <c r="O1726" s="2">
        <v>2503.8443015022331</v>
      </c>
      <c r="P1726" s="2">
        <v>999.2491255979985</v>
      </c>
      <c r="Q1726" s="2">
        <v>250.31021644927529</v>
      </c>
      <c r="R1726" s="2">
        <v>2474.1724610844794</v>
      </c>
      <c r="S1726" s="2">
        <v>1008.1129324159282</v>
      </c>
      <c r="T1726" s="2">
        <v>0.30235324171684397</v>
      </c>
      <c r="U1726" s="2">
        <v>-29.671840417753629</v>
      </c>
      <c r="V1726" s="2">
        <v>8.8638068179296852</v>
      </c>
    </row>
    <row r="1727" spans="1:22" ht="15">
      <c r="A1727" s="2">
        <v>1726</v>
      </c>
      <c r="B1727" s="2" t="s">
        <v>78</v>
      </c>
      <c r="C1727" s="2" t="s">
        <v>81</v>
      </c>
      <c r="D1727" s="2">
        <v>986.48914956720546</v>
      </c>
      <c r="E1727" s="2">
        <v>760.73871057014912</v>
      </c>
      <c r="F1727" s="2">
        <v>415.01905219629407</v>
      </c>
      <c r="G1727" s="2">
        <v>287.6776409521699</v>
      </c>
      <c r="H1727" s="2">
        <v>24.220415534917265</v>
      </c>
      <c r="I1727" s="2">
        <v>0.82933285224717113</v>
      </c>
      <c r="J1727" s="2">
        <v>6</v>
      </c>
      <c r="K1727" s="2">
        <v>198.24954216597143</v>
      </c>
      <c r="L1727" s="2">
        <v>17050</v>
      </c>
      <c r="M1727" s="2">
        <v>1200</v>
      </c>
      <c r="N1727" s="2">
        <v>250.01526204000001</v>
      </c>
      <c r="O1727" s="2">
        <v>2502.1019572903938</v>
      </c>
      <c r="P1727" s="2">
        <v>986.48914956720546</v>
      </c>
      <c r="Q1727" s="2">
        <v>247.0337118829616</v>
      </c>
      <c r="R1727" s="2">
        <v>2463.045765688968</v>
      </c>
      <c r="S1727" s="2">
        <v>985.34031979160989</v>
      </c>
      <c r="T1727" s="2">
        <v>-2.9815501570384129</v>
      </c>
      <c r="U1727" s="2">
        <v>-39.05619160142578</v>
      </c>
      <c r="V1727" s="2">
        <v>-1.1488297755955728</v>
      </c>
    </row>
    <row r="1728" spans="1:22" ht="15">
      <c r="A1728" s="2">
        <v>1727</v>
      </c>
      <c r="B1728" s="2" t="s">
        <v>78</v>
      </c>
      <c r="C1728" s="2" t="s">
        <v>81</v>
      </c>
      <c r="D1728" s="2">
        <v>980.80564069095999</v>
      </c>
      <c r="E1728" s="2">
        <v>792.75236978428438</v>
      </c>
      <c r="F1728" s="2">
        <v>744.92884203791618</v>
      </c>
      <c r="G1728" s="2">
        <v>220.76271973317489</v>
      </c>
      <c r="H1728" s="2">
        <v>19.007115340791643</v>
      </c>
      <c r="I1728" s="2">
        <v>0.79590585740050301</v>
      </c>
      <c r="J1728" s="2">
        <v>7</v>
      </c>
      <c r="K1728" s="2">
        <v>176.04480507896741</v>
      </c>
      <c r="L1728" s="2">
        <v>12160</v>
      </c>
      <c r="M1728" s="2">
        <v>1200</v>
      </c>
      <c r="N1728" s="2">
        <v>249.96397438205406</v>
      </c>
      <c r="O1728" s="2">
        <v>2505.03625381437</v>
      </c>
      <c r="P1728" s="2">
        <v>980.80564069095999</v>
      </c>
      <c r="Q1728" s="2">
        <v>248.95440453364614</v>
      </c>
      <c r="R1728" s="2">
        <v>2467.4268649423848</v>
      </c>
      <c r="S1728" s="2">
        <v>978.86345581341232</v>
      </c>
      <c r="T1728" s="2">
        <v>-1.0095698484079207</v>
      </c>
      <c r="U1728" s="2">
        <v>-37.609388871985175</v>
      </c>
      <c r="V1728" s="2">
        <v>-1.9421848775476747</v>
      </c>
    </row>
    <row r="1729" spans="1:22" ht="15">
      <c r="A1729" s="2">
        <v>1728</v>
      </c>
      <c r="B1729" s="2" t="s">
        <v>78</v>
      </c>
      <c r="C1729" s="2" t="s">
        <v>81</v>
      </c>
      <c r="D1729" s="2">
        <v>1074.4715059059672</v>
      </c>
      <c r="E1729" s="2">
        <v>1114.7060792893171</v>
      </c>
      <c r="F1729" s="2">
        <v>559.27583565935493</v>
      </c>
      <c r="G1729" s="2">
        <v>176.73629805911332</v>
      </c>
      <c r="H1729" s="2">
        <v>12.007857815828174</v>
      </c>
      <c r="I1729" s="2">
        <v>0.8368503216188401</v>
      </c>
      <c r="J1729" s="2">
        <v>7</v>
      </c>
      <c r="K1729" s="2">
        <v>183.42100785503541</v>
      </c>
      <c r="L1729" s="2">
        <v>11555</v>
      </c>
      <c r="M1729" s="2">
        <v>1195</v>
      </c>
      <c r="N1729" s="2">
        <v>249.99153214231461</v>
      </c>
      <c r="O1729" s="2">
        <v>2495.1335116913042</v>
      </c>
      <c r="P1729" s="2">
        <v>1074.4715059059672</v>
      </c>
      <c r="Q1729" s="2">
        <v>253.78468499967806</v>
      </c>
      <c r="R1729" s="2">
        <v>2513.164455868729</v>
      </c>
      <c r="S1729" s="2">
        <v>1069.9167305058338</v>
      </c>
      <c r="T1729" s="2">
        <v>3.7931528573634523</v>
      </c>
      <c r="U1729" s="2">
        <v>18.030944177424772</v>
      </c>
      <c r="V1729" s="2">
        <v>-4.5547754001333942</v>
      </c>
    </row>
    <row r="1730" spans="1:22" ht="15">
      <c r="A1730" s="2">
        <v>1729</v>
      </c>
      <c r="B1730" s="2" t="s">
        <v>78</v>
      </c>
      <c r="C1730" s="2" t="s">
        <v>81</v>
      </c>
      <c r="D1730" s="2">
        <v>1001.1637317948043</v>
      </c>
      <c r="E1730" s="2">
        <v>1016.329084651079</v>
      </c>
      <c r="F1730" s="2">
        <v>733.42955056577921</v>
      </c>
      <c r="G1730" s="2">
        <v>184.42668298492208</v>
      </c>
      <c r="H1730" s="2">
        <v>19.749097416177392</v>
      </c>
      <c r="I1730" s="2">
        <v>0.83317777569638574</v>
      </c>
      <c r="J1730" s="2">
        <v>7</v>
      </c>
      <c r="K1730" s="2">
        <v>171.66011195732983</v>
      </c>
      <c r="L1730" s="2">
        <v>11055</v>
      </c>
      <c r="M1730" s="2">
        <v>1195</v>
      </c>
      <c r="N1730" s="2">
        <v>249.96100725935239</v>
      </c>
      <c r="O1730" s="2">
        <v>2495.6173659094234</v>
      </c>
      <c r="P1730" s="2">
        <v>1001.1637317948043</v>
      </c>
      <c r="Q1730" s="2">
        <v>251.30614350937378</v>
      </c>
      <c r="R1730" s="2">
        <v>2514.7406152363433</v>
      </c>
      <c r="S1730" s="2">
        <v>994.20900279867067</v>
      </c>
      <c r="T1730" s="2">
        <v>1.3451362500213975</v>
      </c>
      <c r="U1730" s="2">
        <v>19.123249326919904</v>
      </c>
      <c r="V1730" s="2">
        <v>-6.9547289961336674</v>
      </c>
    </row>
    <row r="1731" spans="1:22" ht="15">
      <c r="A1731" s="2">
        <v>1730</v>
      </c>
      <c r="B1731" s="2" t="s">
        <v>78</v>
      </c>
      <c r="C1731" s="2" t="s">
        <v>81</v>
      </c>
      <c r="D1731" s="2">
        <v>1068.8529086881317</v>
      </c>
      <c r="E1731" s="2">
        <v>700.72533630300313</v>
      </c>
      <c r="F1731" s="2">
        <v>530.83319300785661</v>
      </c>
      <c r="G1731" s="2">
        <v>245.63661978580058</v>
      </c>
      <c r="H1731" s="2">
        <v>17.113803856540471</v>
      </c>
      <c r="I1731" s="2">
        <v>0.83950210182461893</v>
      </c>
      <c r="J1731" s="2">
        <v>7</v>
      </c>
      <c r="K1731" s="2">
        <v>181.88551563821144</v>
      </c>
      <c r="L1731" s="2">
        <v>14475</v>
      </c>
      <c r="M1731" s="2">
        <v>1200</v>
      </c>
      <c r="N1731" s="2">
        <v>249.96060604404116</v>
      </c>
      <c r="O1731" s="2">
        <v>2503.3990484019214</v>
      </c>
      <c r="P1731" s="2">
        <v>1068.8529086881317</v>
      </c>
      <c r="Q1731" s="2">
        <v>247.80556493008584</v>
      </c>
      <c r="R1731" s="2">
        <v>2507.251274449462</v>
      </c>
      <c r="S1731" s="2">
        <v>1069.1980689489585</v>
      </c>
      <c r="T1731" s="2">
        <v>-2.1550411139553205</v>
      </c>
      <c r="U1731" s="2">
        <v>3.8522260475406256</v>
      </c>
      <c r="V1731" s="2">
        <v>0.34516026082678763</v>
      </c>
    </row>
    <row r="1732" spans="1:22" ht="15">
      <c r="A1732" s="2">
        <v>1731</v>
      </c>
      <c r="B1732" s="2" t="s">
        <v>78</v>
      </c>
      <c r="C1732" s="2" t="s">
        <v>81</v>
      </c>
      <c r="D1732" s="2">
        <v>1041.9417243218049</v>
      </c>
      <c r="E1732" s="2">
        <v>747.71010928088799</v>
      </c>
      <c r="F1732" s="2">
        <v>518.05843226611614</v>
      </c>
      <c r="G1732" s="2">
        <v>302.74684131843969</v>
      </c>
      <c r="H1732" s="2">
        <v>29.565506075508893</v>
      </c>
      <c r="I1732" s="2">
        <v>0.81288946495158598</v>
      </c>
      <c r="J1732" s="2">
        <v>7</v>
      </c>
      <c r="K1732" s="2">
        <v>183.11077234728705</v>
      </c>
      <c r="L1732" s="2">
        <v>13635</v>
      </c>
      <c r="M1732" s="2">
        <v>1200</v>
      </c>
      <c r="N1732" s="2">
        <v>250.01125433166658</v>
      </c>
      <c r="O1732" s="2">
        <v>2503.930641746736</v>
      </c>
      <c r="P1732" s="2">
        <v>1041.9417243218049</v>
      </c>
      <c r="Q1732" s="2">
        <v>246.50419068059227</v>
      </c>
      <c r="R1732" s="2">
        <v>2453.3456522138904</v>
      </c>
      <c r="S1732" s="2">
        <v>1038.8948219119807</v>
      </c>
      <c r="T1732" s="2">
        <v>-3.5070636510743043</v>
      </c>
      <c r="U1732" s="2">
        <v>-50.584989532845611</v>
      </c>
      <c r="V1732" s="2">
        <v>-3.0469024098242699</v>
      </c>
    </row>
    <row r="1733" spans="1:22" ht="15">
      <c r="A1733" s="2">
        <v>1732</v>
      </c>
      <c r="B1733" s="2" t="s">
        <v>78</v>
      </c>
      <c r="C1733" s="2" t="s">
        <v>81</v>
      </c>
      <c r="D1733" s="2">
        <v>1092.8434766246937</v>
      </c>
      <c r="E1733" s="2">
        <v>917.80196172185242</v>
      </c>
      <c r="F1733" s="2">
        <v>727.71030692383647</v>
      </c>
      <c r="G1733" s="2">
        <v>294.41224252339453</v>
      </c>
      <c r="H1733" s="2">
        <v>16.536285690497607</v>
      </c>
      <c r="I1733" s="2">
        <v>0.82860331660136588</v>
      </c>
      <c r="J1733" s="2">
        <v>7</v>
      </c>
      <c r="K1733" s="2">
        <v>188.41403785471306</v>
      </c>
      <c r="L1733" s="2">
        <v>11025</v>
      </c>
      <c r="M1733" s="2">
        <v>1195</v>
      </c>
      <c r="N1733" s="2">
        <v>250.02228311780428</v>
      </c>
      <c r="O1733" s="2">
        <v>2495.6506356953992</v>
      </c>
      <c r="P1733" s="2">
        <v>1092.8434766246937</v>
      </c>
      <c r="Q1733" s="2">
        <v>253.76403702466567</v>
      </c>
      <c r="R1733" s="2">
        <v>2542.4992051098852</v>
      </c>
      <c r="S1733" s="2">
        <v>1091.1401675959519</v>
      </c>
      <c r="T1733" s="2">
        <v>3.7417539068613905</v>
      </c>
      <c r="U1733" s="2">
        <v>46.848569414486064</v>
      </c>
      <c r="V1733" s="2">
        <v>-1.7033090287418418</v>
      </c>
    </row>
    <row r="1734" spans="1:22" ht="15">
      <c r="A1734" s="2">
        <v>1733</v>
      </c>
      <c r="B1734" s="2" t="s">
        <v>78</v>
      </c>
      <c r="C1734" s="2" t="s">
        <v>81</v>
      </c>
      <c r="D1734" s="2">
        <v>950.36614709533751</v>
      </c>
      <c r="E1734" s="2">
        <v>801.08427124796435</v>
      </c>
      <c r="F1734" s="2">
        <v>503.87273859232664</v>
      </c>
      <c r="G1734" s="2">
        <v>276.64536352502182</v>
      </c>
      <c r="H1734" s="2">
        <v>24.080986253917217</v>
      </c>
      <c r="I1734" s="2">
        <v>0.81175662668654702</v>
      </c>
      <c r="J1734" s="2">
        <v>6</v>
      </c>
      <c r="K1734" s="2">
        <v>195.12542631867612</v>
      </c>
      <c r="L1734" s="2">
        <v>15775</v>
      </c>
      <c r="M1734" s="2">
        <v>1200</v>
      </c>
      <c r="N1734" s="2">
        <v>249.99730105129956</v>
      </c>
      <c r="O1734" s="2">
        <v>2502.6915632021432</v>
      </c>
      <c r="P1734" s="2">
        <v>950.36614709533751</v>
      </c>
      <c r="Q1734" s="2">
        <v>248.79713289817894</v>
      </c>
      <c r="R1734" s="2">
        <v>2472.1157590440293</v>
      </c>
      <c r="S1734" s="2">
        <v>952.01320639103994</v>
      </c>
      <c r="T1734" s="2">
        <v>-1.2001681531206145</v>
      </c>
      <c r="U1734" s="2">
        <v>-30.575804158113897</v>
      </c>
      <c r="V1734" s="2">
        <v>1.6470592957024337</v>
      </c>
    </row>
    <row r="1735" spans="1:22" ht="15">
      <c r="A1735" s="2">
        <v>1734</v>
      </c>
      <c r="B1735" s="2" t="s">
        <v>78</v>
      </c>
      <c r="C1735" s="2" t="s">
        <v>81</v>
      </c>
      <c r="D1735" s="2">
        <v>1006.0816249926575</v>
      </c>
      <c r="E1735" s="2">
        <v>1043.0880959844217</v>
      </c>
      <c r="F1735" s="2">
        <v>606.25393958762288</v>
      </c>
      <c r="G1735" s="2">
        <v>319.51204819604754</v>
      </c>
      <c r="H1735" s="2">
        <v>16.891565694008023</v>
      </c>
      <c r="I1735" s="2">
        <v>0.79821009033825252</v>
      </c>
      <c r="J1735" s="2">
        <v>7</v>
      </c>
      <c r="K1735" s="2">
        <v>180.06029761740626</v>
      </c>
      <c r="L1735" s="2">
        <v>10860</v>
      </c>
      <c r="M1735" s="2">
        <v>1195</v>
      </c>
      <c r="N1735" s="2">
        <v>249.95318387816343</v>
      </c>
      <c r="O1735" s="2">
        <v>2495.8183388366288</v>
      </c>
      <c r="P1735" s="2">
        <v>1006.0816249926575</v>
      </c>
      <c r="Q1735" s="2">
        <v>251.5962872929187</v>
      </c>
      <c r="R1735" s="2">
        <v>2479.7654750346937</v>
      </c>
      <c r="S1735" s="2">
        <v>996.52065631299615</v>
      </c>
      <c r="T1735" s="2">
        <v>1.6431034147552737</v>
      </c>
      <c r="U1735" s="2">
        <v>-16.052863801935018</v>
      </c>
      <c r="V1735" s="2">
        <v>-9.5609686796613005</v>
      </c>
    </row>
    <row r="1736" spans="1:22" ht="15">
      <c r="A1736" s="2">
        <v>1735</v>
      </c>
      <c r="B1736" s="2" t="s">
        <v>79</v>
      </c>
      <c r="C1736" s="2" t="s">
        <v>81</v>
      </c>
      <c r="D1736" s="2">
        <v>1001.6529998974875</v>
      </c>
      <c r="E1736" s="2">
        <v>1228.6130987224169</v>
      </c>
      <c r="F1736" s="2">
        <v>547.90468513965607</v>
      </c>
      <c r="G1736" s="2">
        <v>199.0370469703339</v>
      </c>
      <c r="H1736" s="2">
        <v>25.56702536623925</v>
      </c>
      <c r="I1736" s="2">
        <v>0.81574483796721331</v>
      </c>
      <c r="J1736" s="2">
        <v>7</v>
      </c>
      <c r="K1736" s="2">
        <v>175.41427054104426</v>
      </c>
      <c r="L1736" s="2">
        <v>10825</v>
      </c>
      <c r="M1736" s="2">
        <v>1195</v>
      </c>
      <c r="N1736" s="2">
        <v>249.99580873795799</v>
      </c>
      <c r="O1736" s="2">
        <v>2495.85718269882</v>
      </c>
      <c r="P1736" s="2">
        <v>1001.6529998974875</v>
      </c>
      <c r="Q1736" s="2">
        <v>252.90426308440249</v>
      </c>
      <c r="R1736" s="2">
        <v>2548.9851540746185</v>
      </c>
      <c r="S1736" s="2">
        <v>990.00788839037318</v>
      </c>
      <c r="T1736" s="2">
        <v>2.9084543464445005</v>
      </c>
      <c r="U1736" s="2">
        <v>53.127971375798552</v>
      </c>
      <c r="V1736" s="2">
        <v>-11.645111507114279</v>
      </c>
    </row>
    <row r="1737" spans="1:22" ht="15">
      <c r="A1737" s="2">
        <v>1736</v>
      </c>
      <c r="B1737" s="2" t="s">
        <v>79</v>
      </c>
      <c r="C1737" s="2" t="s">
        <v>81</v>
      </c>
      <c r="D1737" s="2">
        <v>1017.4185466836207</v>
      </c>
      <c r="E1737" s="2">
        <v>997.92458163574338</v>
      </c>
      <c r="F1737" s="2">
        <v>576.27164190635085</v>
      </c>
      <c r="G1737" s="2">
        <v>141.98209861759096</v>
      </c>
      <c r="H1737" s="2">
        <v>13.431222615297884</v>
      </c>
      <c r="I1737" s="2">
        <v>0.84414571308530872</v>
      </c>
      <c r="J1737" s="2">
        <v>7</v>
      </c>
      <c r="K1737" s="2">
        <v>172.18058969684085</v>
      </c>
      <c r="L1737" s="2">
        <v>12460</v>
      </c>
      <c r="M1737" s="2">
        <v>1200</v>
      </c>
      <c r="N1737" s="2">
        <v>249.97439380120181</v>
      </c>
      <c r="O1737" s="2">
        <v>2504.7902172489557</v>
      </c>
      <c r="P1737" s="2">
        <v>1017.4185466836207</v>
      </c>
      <c r="Q1737" s="2">
        <v>250.45701783210166</v>
      </c>
      <c r="R1737" s="2">
        <v>2525.9151648720863</v>
      </c>
      <c r="S1737" s="2">
        <v>1023.5085775537447</v>
      </c>
      <c r="T1737" s="2">
        <v>0.48262403089984218</v>
      </c>
      <c r="U1737" s="2">
        <v>21.124947623130538</v>
      </c>
      <c r="V1737" s="2">
        <v>6.0900308701239965</v>
      </c>
    </row>
    <row r="1738" spans="1:22" ht="15">
      <c r="A1738" s="2">
        <v>1737</v>
      </c>
      <c r="B1738" s="2" t="s">
        <v>79</v>
      </c>
      <c r="C1738" s="2" t="s">
        <v>81</v>
      </c>
      <c r="D1738" s="2">
        <v>1082.2317639365792</v>
      </c>
      <c r="E1738" s="2">
        <v>653.19916534936056</v>
      </c>
      <c r="F1738" s="2">
        <v>377.16758567839861</v>
      </c>
      <c r="G1738" s="2">
        <v>92.486578489188105</v>
      </c>
      <c r="H1738" s="2">
        <v>10.734750395640731</v>
      </c>
      <c r="I1738" s="2">
        <v>0.79507754319580271</v>
      </c>
      <c r="J1738" s="2">
        <v>7</v>
      </c>
      <c r="K1738" s="2">
        <v>194.45215001771388</v>
      </c>
      <c r="L1738" s="2">
        <v>19045</v>
      </c>
      <c r="M1738" s="2">
        <v>1200</v>
      </c>
      <c r="N1738" s="2">
        <v>249.98779810199315</v>
      </c>
      <c r="O1738" s="2">
        <v>2501.3363538017843</v>
      </c>
      <c r="P1738" s="2">
        <v>1082.2317639365792</v>
      </c>
      <c r="Q1738" s="2">
        <v>250.83860861965184</v>
      </c>
      <c r="R1738" s="2">
        <v>2475.4431634305711</v>
      </c>
      <c r="S1738" s="2">
        <v>1103.0481912861296</v>
      </c>
      <c r="T1738" s="2">
        <v>0.85081051765868665</v>
      </c>
      <c r="U1738" s="2">
        <v>-25.893190371213223</v>
      </c>
      <c r="V1738" s="2">
        <v>20.816427349550395</v>
      </c>
    </row>
    <row r="1739" spans="1:22" ht="15">
      <c r="A1739" s="2">
        <v>1738</v>
      </c>
      <c r="B1739" s="2" t="s">
        <v>80</v>
      </c>
      <c r="C1739" s="2" t="s">
        <v>81</v>
      </c>
      <c r="D1739" s="2">
        <v>1047.442530898843</v>
      </c>
      <c r="E1739" s="2">
        <v>1094.6699008578435</v>
      </c>
      <c r="F1739" s="2">
        <v>639.33512875810266</v>
      </c>
      <c r="G1739" s="2">
        <v>111.01454372517765</v>
      </c>
      <c r="H1739" s="2">
        <v>11.73218071879819</v>
      </c>
      <c r="I1739" s="2">
        <v>0.85142325941938912</v>
      </c>
      <c r="J1739" s="2">
        <v>7</v>
      </c>
      <c r="K1739" s="2">
        <v>175.74648756166658</v>
      </c>
      <c r="L1739" s="2">
        <v>11590</v>
      </c>
      <c r="M1739" s="2">
        <v>1195</v>
      </c>
      <c r="N1739" s="2">
        <v>249.97665330768345</v>
      </c>
      <c r="O1739" s="2">
        <v>2495.1004769905817</v>
      </c>
      <c r="P1739" s="2">
        <v>1047.442530898843</v>
      </c>
      <c r="Q1739" s="2">
        <v>252.85197169739996</v>
      </c>
      <c r="R1739" s="2">
        <v>2524.0434057668112</v>
      </c>
      <c r="S1739" s="2">
        <v>1042.0559679275543</v>
      </c>
      <c r="T1739" s="2">
        <v>2.8753183897165115</v>
      </c>
      <c r="U1739" s="2">
        <v>28.942928776229564</v>
      </c>
      <c r="V1739" s="2">
        <v>-5.3865629712886403</v>
      </c>
    </row>
    <row r="1740" spans="1:22" ht="15">
      <c r="A1740" s="2">
        <v>1739</v>
      </c>
      <c r="B1740" s="2" t="s">
        <v>80</v>
      </c>
      <c r="C1740" s="2" t="s">
        <v>81</v>
      </c>
      <c r="D1740" s="2">
        <v>1030.5003876565024</v>
      </c>
      <c r="E1740" s="2">
        <v>1003.7545877159573</v>
      </c>
      <c r="F1740" s="2">
        <v>386.03820689022541</v>
      </c>
      <c r="G1740" s="2">
        <v>199.21946349320933</v>
      </c>
      <c r="H1740" s="2">
        <v>15.610946417786181</v>
      </c>
      <c r="I1740" s="2">
        <v>0.80202587573556228</v>
      </c>
      <c r="J1740" s="2">
        <v>7</v>
      </c>
      <c r="K1740" s="2">
        <v>183.5531066360812</v>
      </c>
      <c r="L1740" s="2">
        <v>13460</v>
      </c>
      <c r="M1740" s="2">
        <v>1200</v>
      </c>
      <c r="N1740" s="2">
        <v>250.02729324960879</v>
      </c>
      <c r="O1740" s="2">
        <v>2504.0499581568479</v>
      </c>
      <c r="P1740" s="2">
        <v>1030.5003876565024</v>
      </c>
      <c r="Q1740" s="2">
        <v>251.79571292091174</v>
      </c>
      <c r="R1740" s="2">
        <v>2473.0910786951504</v>
      </c>
      <c r="S1740" s="2">
        <v>1040.2812603948785</v>
      </c>
      <c r="T1740" s="2">
        <v>1.7684196713029507</v>
      </c>
      <c r="U1740" s="2">
        <v>-30.958879461697506</v>
      </c>
      <c r="V1740" s="2">
        <v>9.780872738376047</v>
      </c>
    </row>
    <row r="1741" spans="1:22" ht="15">
      <c r="A1741" s="2">
        <v>1740</v>
      </c>
      <c r="B1741" s="2" t="s">
        <v>80</v>
      </c>
      <c r="C1741" s="2" t="s">
        <v>81</v>
      </c>
      <c r="D1741" s="2">
        <v>1033.1198284751736</v>
      </c>
      <c r="E1741" s="2">
        <v>677.57894820533693</v>
      </c>
      <c r="F1741" s="2">
        <v>351.35733587667346</v>
      </c>
      <c r="G1741" s="2">
        <v>213.70456814300269</v>
      </c>
      <c r="H1741" s="2">
        <v>21.66685977904126</v>
      </c>
      <c r="I1741" s="2">
        <v>0.85671383108943711</v>
      </c>
      <c r="J1741" s="2">
        <v>7</v>
      </c>
      <c r="K1741" s="2">
        <v>172.27286588491791</v>
      </c>
      <c r="L1741" s="2">
        <v>17210</v>
      </c>
      <c r="M1741" s="2">
        <v>1200</v>
      </c>
      <c r="N1741" s="2">
        <v>250.00095103312015</v>
      </c>
      <c r="O1741" s="2">
        <v>2502.033660928972</v>
      </c>
      <c r="P1741" s="2">
        <v>1033.1198284751736</v>
      </c>
      <c r="Q1741" s="2">
        <v>248.49653243000864</v>
      </c>
      <c r="R1741" s="2">
        <v>2455.1891090258118</v>
      </c>
      <c r="S1741" s="2">
        <v>1038.0581927317287</v>
      </c>
      <c r="T1741" s="2">
        <v>-1.5044186031115032</v>
      </c>
      <c r="U1741" s="2">
        <v>-46.844551903160209</v>
      </c>
      <c r="V1741" s="2">
        <v>4.9383642565551327</v>
      </c>
    </row>
    <row r="1742" spans="1:22" ht="15">
      <c r="A1742" s="2">
        <v>1741</v>
      </c>
      <c r="B1742" s="2" t="s">
        <v>78</v>
      </c>
      <c r="C1742" s="2" t="s">
        <v>81</v>
      </c>
      <c r="D1742" s="2">
        <v>955.34440218470991</v>
      </c>
      <c r="E1742" s="2">
        <v>714.64570079697296</v>
      </c>
      <c r="F1742" s="2">
        <v>681.42354693263769</v>
      </c>
      <c r="G1742" s="2">
        <v>126.17827368201688</v>
      </c>
      <c r="H1742" s="2">
        <v>25.601544607430696</v>
      </c>
      <c r="I1742" s="2">
        <v>0.79709920585388316</v>
      </c>
      <c r="J1742" s="2">
        <v>6</v>
      </c>
      <c r="K1742" s="2">
        <v>199.75439175129785</v>
      </c>
      <c r="L1742" s="2">
        <v>16390</v>
      </c>
      <c r="M1742" s="2">
        <v>1200</v>
      </c>
      <c r="N1742" s="2">
        <v>249.99590494986677</v>
      </c>
      <c r="O1742" s="2">
        <v>2502.3954062328348</v>
      </c>
      <c r="P1742" s="2">
        <v>955.34440218470991</v>
      </c>
      <c r="Q1742" s="2">
        <v>249.69181967267224</v>
      </c>
      <c r="R1742" s="2">
        <v>2463.2605005114065</v>
      </c>
      <c r="S1742" s="2">
        <v>952.80915675264134</v>
      </c>
      <c r="T1742" s="2">
        <v>-0.30408527719453105</v>
      </c>
      <c r="U1742" s="2">
        <v>-39.134905721428368</v>
      </c>
      <c r="V1742" s="2">
        <v>-2.5352454320685638</v>
      </c>
    </row>
    <row r="1743" spans="1:22" ht="15">
      <c r="A1743" s="2">
        <v>1742</v>
      </c>
      <c r="B1743" s="2" t="s">
        <v>78</v>
      </c>
      <c r="C1743" s="2" t="s">
        <v>81</v>
      </c>
      <c r="D1743" s="2">
        <v>982.70025720121339</v>
      </c>
      <c r="E1743" s="2">
        <v>951.12153112422675</v>
      </c>
      <c r="F1743" s="2">
        <v>731.56229900196195</v>
      </c>
      <c r="G1743" s="2">
        <v>130.10839365422726</v>
      </c>
      <c r="H1743" s="2">
        <v>28.50085803354159</v>
      </c>
      <c r="I1743" s="2">
        <v>0.84699201523792</v>
      </c>
      <c r="J1743" s="2">
        <v>6</v>
      </c>
      <c r="K1743" s="2">
        <v>193.37062599603786</v>
      </c>
      <c r="L1743" s="2">
        <v>13765</v>
      </c>
      <c r="M1743" s="2">
        <v>1200</v>
      </c>
      <c r="N1743" s="2">
        <v>250.03063167375711</v>
      </c>
      <c r="O1743" s="2">
        <v>2503.8451080797745</v>
      </c>
      <c r="P1743" s="2">
        <v>982.70025720121339</v>
      </c>
      <c r="Q1743" s="2">
        <v>248.42585722134888</v>
      </c>
      <c r="R1743" s="2">
        <v>2494.138262781963</v>
      </c>
      <c r="S1743" s="2">
        <v>970.81532150878309</v>
      </c>
      <c r="T1743" s="2">
        <v>-1.6047744524082361</v>
      </c>
      <c r="U1743" s="2">
        <v>-9.7068452978114692</v>
      </c>
      <c r="V1743" s="2">
        <v>-11.884935692430304</v>
      </c>
    </row>
    <row r="1744" spans="1:22" ht="15">
      <c r="A1744" s="2">
        <v>1743</v>
      </c>
      <c r="B1744" s="2" t="s">
        <v>78</v>
      </c>
      <c r="C1744" s="2" t="s">
        <v>81</v>
      </c>
      <c r="D1744" s="2">
        <v>1043.6201175907627</v>
      </c>
      <c r="E1744" s="2">
        <v>650.4528273944743</v>
      </c>
      <c r="F1744" s="2">
        <v>439.82336595654488</v>
      </c>
      <c r="G1744" s="2">
        <v>162.90375437354669</v>
      </c>
      <c r="H1744" s="2">
        <v>23.907374649308622</v>
      </c>
      <c r="I1744" s="2">
        <v>0.84721429584315056</v>
      </c>
      <c r="J1744" s="2">
        <v>7</v>
      </c>
      <c r="K1744" s="2">
        <v>175.97506198697738</v>
      </c>
      <c r="L1744" s="2">
        <v>17065</v>
      </c>
      <c r="M1744" s="2">
        <v>1200</v>
      </c>
      <c r="N1744" s="2">
        <v>249.99709758038264</v>
      </c>
      <c r="O1744" s="2">
        <v>2502.095011111694</v>
      </c>
      <c r="P1744" s="2">
        <v>1043.6201175907627</v>
      </c>
      <c r="Q1744" s="2">
        <v>249.47584485892423</v>
      </c>
      <c r="R1744" s="2">
        <v>2474.0158768361871</v>
      </c>
      <c r="S1744" s="2">
        <v>1043.2451161191807</v>
      </c>
      <c r="T1744" s="2">
        <v>-0.52125272145840995</v>
      </c>
      <c r="U1744" s="2">
        <v>-28.079134275506931</v>
      </c>
      <c r="V1744" s="2">
        <v>-0.3750014715819816</v>
      </c>
    </row>
    <row r="1745" spans="1:22" ht="15">
      <c r="A1745" s="2">
        <v>1744</v>
      </c>
      <c r="B1745" s="2" t="s">
        <v>78</v>
      </c>
      <c r="C1745" s="2" t="s">
        <v>81</v>
      </c>
      <c r="D1745" s="2">
        <v>1038.7915998580866</v>
      </c>
      <c r="E1745" s="2">
        <v>1133.7105689570308</v>
      </c>
      <c r="F1745" s="2">
        <v>496.60762092098594</v>
      </c>
      <c r="G1745" s="2">
        <v>170.40043328423053</v>
      </c>
      <c r="H1745" s="2">
        <v>15.940189579036087</v>
      </c>
      <c r="I1745" s="2">
        <v>0.84489444687031212</v>
      </c>
      <c r="J1745" s="2">
        <v>7</v>
      </c>
      <c r="K1745" s="2">
        <v>175.64182192157935</v>
      </c>
      <c r="L1745" s="2">
        <v>11875</v>
      </c>
      <c r="M1745" s="2">
        <v>1195</v>
      </c>
      <c r="N1745" s="2">
        <v>249.97390867128888</v>
      </c>
      <c r="O1745" s="2">
        <v>2494.843666818947</v>
      </c>
      <c r="P1745" s="2">
        <v>1038.7915998580866</v>
      </c>
      <c r="Q1745" s="2">
        <v>250.93677532704248</v>
      </c>
      <c r="R1745" s="2">
        <v>2554.708191500667</v>
      </c>
      <c r="S1745" s="2">
        <v>1042.2975302066077</v>
      </c>
      <c r="T1745" s="2">
        <v>0.96286665575360075</v>
      </c>
      <c r="U1745" s="2">
        <v>59.864524681720013</v>
      </c>
      <c r="V1745" s="2">
        <v>3.5059303485211331</v>
      </c>
    </row>
    <row r="1746" spans="1:22" ht="15">
      <c r="A1746" s="2">
        <v>1745</v>
      </c>
      <c r="B1746" s="2" t="s">
        <v>78</v>
      </c>
      <c r="C1746" s="2" t="s">
        <v>81</v>
      </c>
      <c r="D1746" s="2">
        <v>1088.0655230022967</v>
      </c>
      <c r="E1746" s="2">
        <v>817.03757321229205</v>
      </c>
      <c r="F1746" s="2">
        <v>639.22792170196772</v>
      </c>
      <c r="G1746" s="2">
        <v>80.498848094139248</v>
      </c>
      <c r="H1746" s="2">
        <v>21.564398350194097</v>
      </c>
      <c r="I1746" s="2">
        <v>0.83886430255370215</v>
      </c>
      <c r="J1746" s="2">
        <v>7</v>
      </c>
      <c r="K1746" s="2">
        <v>185.29568058180683</v>
      </c>
      <c r="L1746" s="2">
        <v>13915</v>
      </c>
      <c r="M1746" s="2">
        <v>1200</v>
      </c>
      <c r="N1746" s="2">
        <v>249.9803086364947</v>
      </c>
      <c r="O1746" s="2">
        <v>2503.74581259352</v>
      </c>
      <c r="P1746" s="2">
        <v>1088.0655230022967</v>
      </c>
      <c r="Q1746" s="2">
        <v>251.95928339700313</v>
      </c>
      <c r="R1746" s="2">
        <v>2475.9007213394875</v>
      </c>
      <c r="S1746" s="2">
        <v>1092.2761724545874</v>
      </c>
      <c r="T1746" s="2">
        <v>1.9789747605084358</v>
      </c>
      <c r="U1746" s="2">
        <v>-27.845091254032468</v>
      </c>
      <c r="V1746" s="2">
        <v>4.2106494522906814</v>
      </c>
    </row>
    <row r="1747" spans="1:22" ht="15">
      <c r="A1747" s="2">
        <v>1746</v>
      </c>
      <c r="B1747" s="2" t="s">
        <v>78</v>
      </c>
      <c r="C1747" s="2" t="s">
        <v>81</v>
      </c>
      <c r="D1747" s="2">
        <v>975.62208209419623</v>
      </c>
      <c r="E1747" s="2">
        <v>736.96816426236182</v>
      </c>
      <c r="F1747" s="2">
        <v>495.88491702452302</v>
      </c>
      <c r="G1747" s="2">
        <v>321.21089582331479</v>
      </c>
      <c r="H1747" s="2">
        <v>19.03408207045868</v>
      </c>
      <c r="I1747" s="2">
        <v>0.81752853611949838</v>
      </c>
      <c r="J1747" s="2">
        <v>6</v>
      </c>
      <c r="K1747" s="2">
        <v>198.89664172562274</v>
      </c>
      <c r="L1747" s="2">
        <v>16055</v>
      </c>
      <c r="M1747" s="2">
        <v>1200</v>
      </c>
      <c r="N1747" s="2">
        <v>250.00439394202121</v>
      </c>
      <c r="O1747" s="2">
        <v>2502.5541576201886</v>
      </c>
      <c r="P1747" s="2">
        <v>975.62208209419623</v>
      </c>
      <c r="Q1747" s="2">
        <v>248.69003712268446</v>
      </c>
      <c r="R1747" s="2">
        <v>2446.2146303099435</v>
      </c>
      <c r="S1747" s="2">
        <v>982.60925234146873</v>
      </c>
      <c r="T1747" s="2">
        <v>-1.3143568193367514</v>
      </c>
      <c r="U1747" s="2">
        <v>-56.339527310245103</v>
      </c>
      <c r="V1747" s="2">
        <v>6.9871702472725019</v>
      </c>
    </row>
    <row r="1748" spans="1:22" ht="15">
      <c r="A1748" s="2">
        <v>1747</v>
      </c>
      <c r="B1748" s="2" t="s">
        <v>78</v>
      </c>
      <c r="C1748" s="2" t="s">
        <v>81</v>
      </c>
      <c r="D1748" s="2">
        <v>1063.5380605002865</v>
      </c>
      <c r="E1748" s="2">
        <v>710.77921983087435</v>
      </c>
      <c r="F1748" s="2">
        <v>555.74348829686642</v>
      </c>
      <c r="G1748" s="2">
        <v>126.4278316940181</v>
      </c>
      <c r="H1748" s="2">
        <v>16.409938124008477</v>
      </c>
      <c r="I1748" s="2">
        <v>0.79461160194827252</v>
      </c>
      <c r="J1748" s="2">
        <v>7</v>
      </c>
      <c r="K1748" s="2">
        <v>191.20537413546177</v>
      </c>
      <c r="L1748" s="2">
        <v>15355</v>
      </c>
      <c r="M1748" s="2">
        <v>1200</v>
      </c>
      <c r="N1748" s="2">
        <v>250.03487095284652</v>
      </c>
      <c r="O1748" s="2">
        <v>2502.90864368241</v>
      </c>
      <c r="P1748" s="2">
        <v>1063.5380605002865</v>
      </c>
      <c r="Q1748" s="2">
        <v>247.67217104489282</v>
      </c>
      <c r="R1748" s="2">
        <v>2463.8328441638837</v>
      </c>
      <c r="S1748" s="2">
        <v>1075.4238534851252</v>
      </c>
      <c r="T1748" s="2">
        <v>-2.3626999079536972</v>
      </c>
      <c r="U1748" s="2">
        <v>-39.07579951852631</v>
      </c>
      <c r="V1748" s="2">
        <v>11.885792984838645</v>
      </c>
    </row>
    <row r="1749" spans="1:22" ht="15">
      <c r="A1749" s="2">
        <v>1748</v>
      </c>
      <c r="B1749" s="2" t="s">
        <v>78</v>
      </c>
      <c r="C1749" s="2" t="s">
        <v>81</v>
      </c>
      <c r="D1749" s="2">
        <v>1002.3598266183399</v>
      </c>
      <c r="E1749" s="2">
        <v>928.5190484020859</v>
      </c>
      <c r="F1749" s="2">
        <v>486.91425500437617</v>
      </c>
      <c r="G1749" s="2">
        <v>139.2114677419886</v>
      </c>
      <c r="H1749" s="2">
        <v>10.407699957024306</v>
      </c>
      <c r="I1749" s="2">
        <v>0.81534146772697569</v>
      </c>
      <c r="J1749" s="2">
        <v>7</v>
      </c>
      <c r="K1749" s="2">
        <v>175.62489657821132</v>
      </c>
      <c r="L1749" s="2">
        <v>13755</v>
      </c>
      <c r="M1749" s="2">
        <v>1200</v>
      </c>
      <c r="N1749" s="2">
        <v>249.98080853263431</v>
      </c>
      <c r="O1749" s="2">
        <v>2503.8498981418093</v>
      </c>
      <c r="P1749" s="2">
        <v>1002.3598266183399</v>
      </c>
      <c r="Q1749" s="2">
        <v>249.33711289137821</v>
      </c>
      <c r="R1749" s="2">
        <v>2534.1952495953747</v>
      </c>
      <c r="S1749" s="2">
        <v>1011.6810611638967</v>
      </c>
      <c r="T1749" s="2">
        <v>-0.64369564125610168</v>
      </c>
      <c r="U1749" s="2">
        <v>30.345351453565399</v>
      </c>
      <c r="V1749" s="2">
        <v>9.3212345455568766</v>
      </c>
    </row>
    <row r="1750" spans="1:22" ht="15">
      <c r="A1750" s="2">
        <v>1749</v>
      </c>
      <c r="B1750" s="2" t="s">
        <v>78</v>
      </c>
      <c r="C1750" s="2" t="s">
        <v>81</v>
      </c>
      <c r="D1750" s="2">
        <v>1023.9608645904809</v>
      </c>
      <c r="E1750" s="2">
        <v>1005.3515534731559</v>
      </c>
      <c r="F1750" s="2">
        <v>594.91636138409376</v>
      </c>
      <c r="G1750" s="2">
        <v>268.03752987878397</v>
      </c>
      <c r="H1750" s="2">
        <v>28.102585896849632</v>
      </c>
      <c r="I1750" s="2">
        <v>0.82176551966229461</v>
      </c>
      <c r="J1750" s="2">
        <v>7</v>
      </c>
      <c r="K1750" s="2">
        <v>178.00713222068481</v>
      </c>
      <c r="L1750" s="2">
        <v>11445</v>
      </c>
      <c r="M1750" s="2">
        <v>1195</v>
      </c>
      <c r="N1750" s="2">
        <v>249.96514772556554</v>
      </c>
      <c r="O1750" s="2">
        <v>2495.2354639063351</v>
      </c>
      <c r="P1750" s="2">
        <v>1023.9608645904809</v>
      </c>
      <c r="Q1750" s="2">
        <v>248.40981829200726</v>
      </c>
      <c r="R1750" s="2">
        <v>2479.027515182549</v>
      </c>
      <c r="S1750" s="2">
        <v>1008.7607185001066</v>
      </c>
      <c r="T1750" s="2">
        <v>-1.5553294335582848</v>
      </c>
      <c r="U1750" s="2">
        <v>-16.207948723786103</v>
      </c>
      <c r="V1750" s="2">
        <v>-15.200146090374346</v>
      </c>
    </row>
    <row r="1751" spans="1:22" ht="15">
      <c r="A1751" s="2">
        <v>1750</v>
      </c>
      <c r="B1751" s="2" t="s">
        <v>78</v>
      </c>
      <c r="C1751" s="2" t="s">
        <v>81</v>
      </c>
      <c r="D1751" s="2">
        <v>1052.3171645705588</v>
      </c>
      <c r="E1751" s="2">
        <v>1092.9903564741835</v>
      </c>
      <c r="F1751" s="2">
        <v>643.26422931626439</v>
      </c>
      <c r="G1751" s="2">
        <v>164.83115257695317</v>
      </c>
      <c r="H1751" s="2">
        <v>19.726892864797264</v>
      </c>
      <c r="I1751" s="2">
        <v>0.8330795020377264</v>
      </c>
      <c r="J1751" s="2">
        <v>7</v>
      </c>
      <c r="K1751" s="2">
        <v>180.45219350898401</v>
      </c>
      <c r="L1751" s="2">
        <v>11250</v>
      </c>
      <c r="M1751" s="2">
        <v>1195</v>
      </c>
      <c r="N1751" s="2">
        <v>250.01706108571955</v>
      </c>
      <c r="O1751" s="2">
        <v>2495.4254894656005</v>
      </c>
      <c r="P1751" s="2">
        <v>1052.3171645705588</v>
      </c>
      <c r="Q1751" s="2">
        <v>252.16661221740483</v>
      </c>
      <c r="R1751" s="2">
        <v>2560.5098298037437</v>
      </c>
      <c r="S1751" s="2">
        <v>1042.0800962813014</v>
      </c>
      <c r="T1751" s="2">
        <v>2.1495511316852856</v>
      </c>
      <c r="U1751" s="2">
        <v>65.084340338143193</v>
      </c>
      <c r="V1751" s="2">
        <v>-10.237068289257422</v>
      </c>
    </row>
    <row r="1752" spans="1:22" ht="15">
      <c r="A1752" s="2">
        <v>1751</v>
      </c>
      <c r="B1752" s="2" t="s">
        <v>78</v>
      </c>
      <c r="C1752" s="2" t="s">
        <v>81</v>
      </c>
      <c r="D1752" s="2">
        <v>1031.7633559228852</v>
      </c>
      <c r="E1752" s="2">
        <v>970.18685807706788</v>
      </c>
      <c r="F1752" s="2">
        <v>585.92917770147324</v>
      </c>
      <c r="G1752" s="2">
        <v>148.08795867254958</v>
      </c>
      <c r="H1752" s="2">
        <v>22.821524853818119</v>
      </c>
      <c r="I1752" s="2">
        <v>0.80225253592943779</v>
      </c>
      <c r="J1752" s="2">
        <v>7</v>
      </c>
      <c r="K1752" s="2">
        <v>183.7261442384582</v>
      </c>
      <c r="L1752" s="2">
        <v>12550</v>
      </c>
      <c r="M1752" s="2">
        <v>1200</v>
      </c>
      <c r="N1752" s="2">
        <v>250.02345821056389</v>
      </c>
      <c r="O1752" s="2">
        <v>2504.7205122924984</v>
      </c>
      <c r="P1752" s="2">
        <v>1031.7633559228852</v>
      </c>
      <c r="Q1752" s="2">
        <v>249.13947555900572</v>
      </c>
      <c r="R1752" s="2">
        <v>2540.7184321165587</v>
      </c>
      <c r="S1752" s="2">
        <v>1023.6678380326158</v>
      </c>
      <c r="T1752" s="2">
        <v>-0.88398265155817057</v>
      </c>
      <c r="U1752" s="2">
        <v>35.997919824060318</v>
      </c>
      <c r="V1752" s="2">
        <v>-8.0955178902694342</v>
      </c>
    </row>
    <row r="1753" spans="1:22" ht="15">
      <c r="A1753" s="2">
        <v>1752</v>
      </c>
      <c r="B1753" s="2" t="s">
        <v>78</v>
      </c>
      <c r="C1753" s="2" t="s">
        <v>81</v>
      </c>
      <c r="D1753" s="2">
        <v>1017.3110443050973</v>
      </c>
      <c r="E1753" s="2">
        <v>1039.5392647944391</v>
      </c>
      <c r="F1753" s="2">
        <v>656.56993603333831</v>
      </c>
      <c r="G1753" s="2">
        <v>215.75192599091679</v>
      </c>
      <c r="H1753" s="2">
        <v>10.959178110118955</v>
      </c>
      <c r="I1753" s="2">
        <v>0.81270940368063749</v>
      </c>
      <c r="J1753" s="2">
        <v>7</v>
      </c>
      <c r="K1753" s="2">
        <v>178.82178861012841</v>
      </c>
      <c r="L1753" s="2">
        <v>11185</v>
      </c>
      <c r="M1753" s="2">
        <v>1195</v>
      </c>
      <c r="N1753" s="2">
        <v>249.98120095678581</v>
      </c>
      <c r="O1753" s="2">
        <v>2495.4879537998058</v>
      </c>
      <c r="P1753" s="2">
        <v>1017.3110443050973</v>
      </c>
      <c r="Q1753" s="2">
        <v>253.16613875783889</v>
      </c>
      <c r="R1753" s="2">
        <v>2506.711367133265</v>
      </c>
      <c r="S1753" s="2">
        <v>1019.0201893957911</v>
      </c>
      <c r="T1753" s="2">
        <v>3.1849378010530813</v>
      </c>
      <c r="U1753" s="2">
        <v>11.223413333459121</v>
      </c>
      <c r="V1753" s="2">
        <v>1.7091450906938235</v>
      </c>
    </row>
    <row r="1754" spans="1:22" ht="15">
      <c r="A1754" s="2">
        <v>1753</v>
      </c>
      <c r="B1754" s="2" t="s">
        <v>78</v>
      </c>
      <c r="C1754" s="2" t="s">
        <v>81</v>
      </c>
      <c r="D1754" s="2">
        <v>1037.8032498061657</v>
      </c>
      <c r="E1754" s="2">
        <v>772.43981681531295</v>
      </c>
      <c r="F1754" s="2">
        <v>528.17150224000216</v>
      </c>
      <c r="G1754" s="2">
        <v>213.87076795333996</v>
      </c>
      <c r="H1754" s="2">
        <v>12.315918324515224</v>
      </c>
      <c r="I1754" s="2">
        <v>0.83181739260675391</v>
      </c>
      <c r="J1754" s="2">
        <v>7</v>
      </c>
      <c r="K1754" s="2">
        <v>178.23335798564639</v>
      </c>
      <c r="L1754" s="2">
        <v>14120</v>
      </c>
      <c r="M1754" s="2">
        <v>1200</v>
      </c>
      <c r="N1754" s="2">
        <v>249.98491394345226</v>
      </c>
      <c r="O1754" s="2">
        <v>2503.6161031248948</v>
      </c>
      <c r="P1754" s="2">
        <v>1037.8032498061657</v>
      </c>
      <c r="Q1754" s="2">
        <v>248.01961789578331</v>
      </c>
      <c r="R1754" s="2">
        <v>2510.6865660772637</v>
      </c>
      <c r="S1754" s="2">
        <v>1045.7262546376339</v>
      </c>
      <c r="T1754" s="2">
        <v>-1.9652960476689429</v>
      </c>
      <c r="U1754" s="2">
        <v>7.0704629523688709</v>
      </c>
      <c r="V1754" s="2">
        <v>7.9230048314682335</v>
      </c>
    </row>
    <row r="1755" spans="1:22" ht="15">
      <c r="A1755" s="2">
        <v>1754</v>
      </c>
      <c r="B1755" s="2" t="s">
        <v>78</v>
      </c>
      <c r="C1755" s="2" t="s">
        <v>81</v>
      </c>
      <c r="D1755" s="2">
        <v>971.75351219484583</v>
      </c>
      <c r="E1755" s="2">
        <v>817.95072725508362</v>
      </c>
      <c r="F1755" s="2">
        <v>403.98673871532083</v>
      </c>
      <c r="G1755" s="2">
        <v>311.67956783436239</v>
      </c>
      <c r="H1755" s="2">
        <v>29.266650703269988</v>
      </c>
      <c r="I1755" s="2">
        <v>0.85031249598134317</v>
      </c>
      <c r="J1755" s="2">
        <v>6</v>
      </c>
      <c r="K1755" s="2">
        <v>190.46987956142485</v>
      </c>
      <c r="L1755" s="2">
        <v>16270</v>
      </c>
      <c r="M1755" s="2">
        <v>1200</v>
      </c>
      <c r="N1755" s="2">
        <v>250.01915621828817</v>
      </c>
      <c r="O1755" s="2">
        <v>2502.4521355518718</v>
      </c>
      <c r="P1755" s="2">
        <v>971.75351219484583</v>
      </c>
      <c r="Q1755" s="2">
        <v>249.80017308806597</v>
      </c>
      <c r="R1755" s="2">
        <v>2482.9192615006332</v>
      </c>
      <c r="S1755" s="2">
        <v>969.45880221990456</v>
      </c>
      <c r="T1755" s="2">
        <v>-0.21898313022219895</v>
      </c>
      <c r="U1755" s="2">
        <v>-19.53287405123865</v>
      </c>
      <c r="V1755" s="2">
        <v>-2.29470997494127</v>
      </c>
    </row>
    <row r="1756" spans="1:22" ht="15">
      <c r="A1756" s="2">
        <v>1755</v>
      </c>
      <c r="B1756" s="2" t="s">
        <v>79</v>
      </c>
      <c r="C1756" s="2" t="s">
        <v>81</v>
      </c>
      <c r="D1756" s="2">
        <v>999.63008693885058</v>
      </c>
      <c r="E1756" s="2">
        <v>625.44570682803169</v>
      </c>
      <c r="F1756" s="2">
        <v>669.13976110517979</v>
      </c>
      <c r="G1756" s="2">
        <v>208.30049282638356</v>
      </c>
      <c r="H1756" s="2">
        <v>24.441816979087889</v>
      </c>
      <c r="I1756" s="2">
        <v>0.84918376440880827</v>
      </c>
      <c r="J1756" s="2">
        <v>6</v>
      </c>
      <c r="K1756" s="2">
        <v>196.19430030647945</v>
      </c>
      <c r="L1756" s="2">
        <v>16600</v>
      </c>
      <c r="M1756" s="2">
        <v>1200</v>
      </c>
      <c r="N1756" s="2">
        <v>249.97853989655758</v>
      </c>
      <c r="O1756" s="2">
        <v>2502.2987997898058</v>
      </c>
      <c r="P1756" s="2">
        <v>999.63008693885058</v>
      </c>
      <c r="Q1756" s="2">
        <v>249.70564563465499</v>
      </c>
      <c r="R1756" s="2">
        <v>2469.7008565347987</v>
      </c>
      <c r="S1756" s="2">
        <v>1002.3203790086171</v>
      </c>
      <c r="T1756" s="2">
        <v>-0.27289426190259292</v>
      </c>
      <c r="U1756" s="2">
        <v>-32.597943255007067</v>
      </c>
      <c r="V1756" s="2">
        <v>2.6902920697665422</v>
      </c>
    </row>
    <row r="1757" spans="1:22" ht="15">
      <c r="A1757" s="2">
        <v>1756</v>
      </c>
      <c r="B1757" s="2" t="s">
        <v>79</v>
      </c>
      <c r="C1757" s="2" t="s">
        <v>81</v>
      </c>
      <c r="D1757" s="2">
        <v>1081.5833494416438</v>
      </c>
      <c r="E1757" s="2">
        <v>1077.2713750135154</v>
      </c>
      <c r="F1757" s="2">
        <v>527.80834091827273</v>
      </c>
      <c r="G1757" s="2">
        <v>156.93386066239327</v>
      </c>
      <c r="H1757" s="2">
        <v>20.622373576741666</v>
      </c>
      <c r="I1757" s="2">
        <v>0.85227238602936273</v>
      </c>
      <c r="J1757" s="2">
        <v>7</v>
      </c>
      <c r="K1757" s="2">
        <v>181.29404354275147</v>
      </c>
      <c r="L1757" s="2">
        <v>12135</v>
      </c>
      <c r="M1757" s="2">
        <v>1200</v>
      </c>
      <c r="N1757" s="2">
        <v>249.95649303917591</v>
      </c>
      <c r="O1757" s="2">
        <v>2505.0570334320701</v>
      </c>
      <c r="P1757" s="2">
        <v>1081.5833494416438</v>
      </c>
      <c r="Q1757" s="2">
        <v>252.51643220928707</v>
      </c>
      <c r="R1757" s="2">
        <v>2497.5563029460968</v>
      </c>
      <c r="S1757" s="2">
        <v>1077.5965521997759</v>
      </c>
      <c r="T1757" s="2">
        <v>2.5599391701111642</v>
      </c>
      <c r="U1757" s="2">
        <v>-7.5007304859732358</v>
      </c>
      <c r="V1757" s="2">
        <v>-3.9867972418678619</v>
      </c>
    </row>
    <row r="1758" spans="1:22" ht="15">
      <c r="A1758" s="2">
        <v>1757</v>
      </c>
      <c r="B1758" s="2" t="s">
        <v>79</v>
      </c>
      <c r="C1758" s="2" t="s">
        <v>81</v>
      </c>
      <c r="D1758" s="2">
        <v>1081.3703156542033</v>
      </c>
      <c r="E1758" s="2">
        <v>1076.989537558984</v>
      </c>
      <c r="F1758" s="2">
        <v>635.19972320646048</v>
      </c>
      <c r="G1758" s="2">
        <v>182.3108892259188</v>
      </c>
      <c r="H1758" s="2">
        <v>16.087707381695509</v>
      </c>
      <c r="I1758" s="2">
        <v>0.79102776583516976</v>
      </c>
      <c r="J1758" s="2">
        <v>7</v>
      </c>
      <c r="K1758" s="2">
        <v>195.29210014743811</v>
      </c>
      <c r="L1758" s="2">
        <v>11290</v>
      </c>
      <c r="M1758" s="2">
        <v>1195</v>
      </c>
      <c r="N1758" s="2">
        <v>250.03674418653839</v>
      </c>
      <c r="O1758" s="2">
        <v>2495.387313171992</v>
      </c>
      <c r="P1758" s="2">
        <v>1081.3703156542033</v>
      </c>
      <c r="Q1758" s="2">
        <v>251.65240649802396</v>
      </c>
      <c r="R1758" s="2">
        <v>2511.1449957632999</v>
      </c>
      <c r="S1758" s="2">
        <v>1078.451867461336</v>
      </c>
      <c r="T1758" s="2">
        <v>1.615662311485579</v>
      </c>
      <c r="U1758" s="2">
        <v>15.757682591307912</v>
      </c>
      <c r="V1758" s="2">
        <v>-2.9184481928673449</v>
      </c>
    </row>
    <row r="1759" spans="1:22" ht="15">
      <c r="A1759" s="2">
        <v>1758</v>
      </c>
      <c r="B1759" s="2" t="s">
        <v>80</v>
      </c>
      <c r="C1759" s="2" t="s">
        <v>81</v>
      </c>
      <c r="D1759" s="2">
        <v>1043.2964332518168</v>
      </c>
      <c r="E1759" s="2">
        <v>734.19759708922356</v>
      </c>
      <c r="F1759" s="2">
        <v>539.99330596998334</v>
      </c>
      <c r="G1759" s="2">
        <v>268.77929728478193</v>
      </c>
      <c r="H1759" s="2">
        <v>22.857035147491843</v>
      </c>
      <c r="I1759" s="2">
        <v>0.85243482719641184</v>
      </c>
      <c r="J1759" s="2">
        <v>7</v>
      </c>
      <c r="K1759" s="2">
        <v>174.84309985033158</v>
      </c>
      <c r="L1759" s="2">
        <v>13860</v>
      </c>
      <c r="M1759" s="2">
        <v>1200</v>
      </c>
      <c r="N1759" s="2">
        <v>249.99776975406394</v>
      </c>
      <c r="O1759" s="2">
        <v>2503.7819381302425</v>
      </c>
      <c r="P1759" s="2">
        <v>1043.2964332518168</v>
      </c>
      <c r="Q1759" s="2">
        <v>248.95388474053064</v>
      </c>
      <c r="R1759" s="2">
        <v>2443.9249136820467</v>
      </c>
      <c r="S1759" s="2">
        <v>1037.2764202615374</v>
      </c>
      <c r="T1759" s="2">
        <v>-1.0438850135332984</v>
      </c>
      <c r="U1759" s="2">
        <v>-59.857024448195716</v>
      </c>
      <c r="V1759" s="2">
        <v>-6.0200129902793833</v>
      </c>
    </row>
    <row r="1760" spans="1:22" ht="15">
      <c r="A1760" s="2">
        <v>1759</v>
      </c>
      <c r="B1760" s="2" t="s">
        <v>80</v>
      </c>
      <c r="C1760" s="2" t="s">
        <v>81</v>
      </c>
      <c r="D1760" s="2">
        <v>1016.3557518506423</v>
      </c>
      <c r="E1760" s="2">
        <v>1220.7906737108715</v>
      </c>
      <c r="F1760" s="2">
        <v>657.44785889983177</v>
      </c>
      <c r="G1760" s="2">
        <v>293.60151976114139</v>
      </c>
      <c r="H1760" s="2">
        <v>19.325371823273599</v>
      </c>
      <c r="I1760" s="2">
        <v>0.82095154965063566</v>
      </c>
      <c r="J1760" s="2">
        <v>7</v>
      </c>
      <c r="K1760" s="2">
        <v>176.86022871580508</v>
      </c>
      <c r="L1760" s="2">
        <v>9845</v>
      </c>
      <c r="M1760" s="2">
        <v>1195</v>
      </c>
      <c r="N1760" s="2">
        <v>249.95342192232994</v>
      </c>
      <c r="O1760" s="2">
        <v>2496.9950373323968</v>
      </c>
      <c r="P1760" s="2">
        <v>1016.3557518506423</v>
      </c>
      <c r="Q1760" s="2">
        <v>254.93977565412902</v>
      </c>
      <c r="R1760" s="2">
        <v>2568.2259255063504</v>
      </c>
      <c r="S1760" s="2">
        <v>1008.4962103700052</v>
      </c>
      <c r="T1760" s="2">
        <v>4.9863537317990847</v>
      </c>
      <c r="U1760" s="2">
        <v>71.230888173953645</v>
      </c>
      <c r="V1760" s="2">
        <v>-7.8595414806370627</v>
      </c>
    </row>
    <row r="1761" spans="1:22" ht="15">
      <c r="A1761" s="2">
        <v>1760</v>
      </c>
      <c r="B1761" s="2" t="s">
        <v>80</v>
      </c>
      <c r="C1761" s="2" t="s">
        <v>81</v>
      </c>
      <c r="D1761" s="2">
        <v>957.46325011132285</v>
      </c>
      <c r="E1761" s="2">
        <v>1041.1408975720406</v>
      </c>
      <c r="F1761" s="2">
        <v>445.98478963598609</v>
      </c>
      <c r="G1761" s="2">
        <v>315.247518052347</v>
      </c>
      <c r="H1761" s="2">
        <v>24.192270697560161</v>
      </c>
      <c r="I1761" s="2">
        <v>0.79819748277775948</v>
      </c>
      <c r="J1761" s="2">
        <v>6</v>
      </c>
      <c r="K1761" s="2">
        <v>199.92196391869342</v>
      </c>
      <c r="L1761" s="2">
        <v>13845</v>
      </c>
      <c r="M1761" s="2">
        <v>1200</v>
      </c>
      <c r="N1761" s="2">
        <v>250.03825534555963</v>
      </c>
      <c r="O1761" s="2">
        <v>2503.7931213449669</v>
      </c>
      <c r="P1761" s="2">
        <v>957.46325011132285</v>
      </c>
      <c r="Q1761" s="2">
        <v>250.50223539178856</v>
      </c>
      <c r="R1761" s="2">
        <v>2521.4569884506268</v>
      </c>
      <c r="S1761" s="2">
        <v>948.79418339033668</v>
      </c>
      <c r="T1761" s="2">
        <v>0.46398004622892586</v>
      </c>
      <c r="U1761" s="2">
        <v>17.663867105659847</v>
      </c>
      <c r="V1761" s="2">
        <v>-8.6690667209861658</v>
      </c>
    </row>
    <row r="1762" spans="1:22" ht="15">
      <c r="A1762" s="2">
        <v>1761</v>
      </c>
      <c r="B1762" s="2" t="s">
        <v>78</v>
      </c>
      <c r="C1762" s="2" t="s">
        <v>81</v>
      </c>
      <c r="D1762" s="2">
        <v>955.75591465458274</v>
      </c>
      <c r="E1762" s="2">
        <v>1030.0859994604252</v>
      </c>
      <c r="F1762" s="2">
        <v>658.73602870851755</v>
      </c>
      <c r="G1762" s="2">
        <v>162.88327144691721</v>
      </c>
      <c r="H1762" s="2">
        <v>15.605151230469346</v>
      </c>
      <c r="I1762" s="2">
        <v>0.83946261215256535</v>
      </c>
      <c r="J1762" s="2">
        <v>6</v>
      </c>
      <c r="K1762" s="2">
        <v>189.75550564898813</v>
      </c>
      <c r="L1762" s="2">
        <v>13475</v>
      </c>
      <c r="M1762" s="2">
        <v>1200</v>
      </c>
      <c r="N1762" s="2">
        <v>250.01672661709205</v>
      </c>
      <c r="O1762" s="2">
        <v>2504.0392687629628</v>
      </c>
      <c r="P1762" s="2">
        <v>955.75591465458274</v>
      </c>
      <c r="Q1762" s="2">
        <v>250.04367944117737</v>
      </c>
      <c r="R1762" s="2">
        <v>2529.9965936948761</v>
      </c>
      <c r="S1762" s="2">
        <v>957.26514059587714</v>
      </c>
      <c r="T1762" s="2">
        <v>2.695282408532762E-2</v>
      </c>
      <c r="U1762" s="2">
        <v>25.957324931913263</v>
      </c>
      <c r="V1762" s="2">
        <v>1.5092259412944031</v>
      </c>
    </row>
    <row r="1763" spans="1:22" ht="15">
      <c r="A1763" s="2">
        <v>1762</v>
      </c>
      <c r="B1763" s="2" t="s">
        <v>78</v>
      </c>
      <c r="C1763" s="2" t="s">
        <v>81</v>
      </c>
      <c r="D1763" s="2">
        <v>1043.6122232698835</v>
      </c>
      <c r="E1763" s="2">
        <v>909.17682826984674</v>
      </c>
      <c r="F1763" s="2">
        <v>604.4738763011992</v>
      </c>
      <c r="G1763" s="2">
        <v>219.61090170778334</v>
      </c>
      <c r="H1763" s="2">
        <v>20.776028432417661</v>
      </c>
      <c r="I1763" s="2">
        <v>0.82156352630350737</v>
      </c>
      <c r="J1763" s="2">
        <v>7</v>
      </c>
      <c r="K1763" s="2">
        <v>181.46796406349881</v>
      </c>
      <c r="L1763" s="2">
        <v>12340</v>
      </c>
      <c r="M1763" s="2">
        <v>1200</v>
      </c>
      <c r="N1763" s="2">
        <v>250.03146179195099</v>
      </c>
      <c r="O1763" s="2">
        <v>2504.8896624624704</v>
      </c>
      <c r="P1763" s="2">
        <v>1043.6122232698835</v>
      </c>
      <c r="Q1763" s="2">
        <v>247.71389070935905</v>
      </c>
      <c r="R1763" s="2">
        <v>2487.0205964689626</v>
      </c>
      <c r="S1763" s="2">
        <v>1044.7653599029004</v>
      </c>
      <c r="T1763" s="2">
        <v>-2.3175710825919396</v>
      </c>
      <c r="U1763" s="2">
        <v>-17.869065993507775</v>
      </c>
      <c r="V1763" s="2">
        <v>1.1531366330168566</v>
      </c>
    </row>
    <row r="1764" spans="1:22" ht="15">
      <c r="A1764" s="2">
        <v>1763</v>
      </c>
      <c r="B1764" s="2" t="s">
        <v>78</v>
      </c>
      <c r="C1764" s="2" t="s">
        <v>81</v>
      </c>
      <c r="D1764" s="2">
        <v>969.78528273757547</v>
      </c>
      <c r="E1764" s="2">
        <v>743.6888211988844</v>
      </c>
      <c r="F1764" s="2">
        <v>619.87708024680614</v>
      </c>
      <c r="G1764" s="2">
        <v>105.89062758488581</v>
      </c>
      <c r="H1764" s="2">
        <v>21.718999822624028</v>
      </c>
      <c r="I1764" s="2">
        <v>0.85164215483469896</v>
      </c>
      <c r="J1764" s="2">
        <v>6</v>
      </c>
      <c r="K1764" s="2">
        <v>189.78731799347651</v>
      </c>
      <c r="L1764" s="2">
        <v>16980</v>
      </c>
      <c r="M1764" s="2">
        <v>1200</v>
      </c>
      <c r="N1764" s="2">
        <v>250.01319108404149</v>
      </c>
      <c r="O1764" s="2">
        <v>2502.1320002972507</v>
      </c>
      <c r="P1764" s="2">
        <v>969.78528273757547</v>
      </c>
      <c r="Q1764" s="2">
        <v>249.41952973525278</v>
      </c>
      <c r="R1764" s="2">
        <v>2458.4995481620404</v>
      </c>
      <c r="S1764" s="2">
        <v>976.42998434131937</v>
      </c>
      <c r="T1764" s="2">
        <v>-0.59366134878871435</v>
      </c>
      <c r="U1764" s="2">
        <v>-43.632452135210315</v>
      </c>
      <c r="V1764" s="2">
        <v>6.6447016037438971</v>
      </c>
    </row>
    <row r="1765" spans="1:22" ht="15">
      <c r="A1765" s="2">
        <v>1764</v>
      </c>
      <c r="B1765" s="2" t="s">
        <v>78</v>
      </c>
      <c r="C1765" s="2" t="s">
        <v>81</v>
      </c>
      <c r="D1765" s="2">
        <v>958.58212591847405</v>
      </c>
      <c r="E1765" s="2">
        <v>1027.0701237488538</v>
      </c>
      <c r="F1765" s="2">
        <v>627.64753429219127</v>
      </c>
      <c r="G1765" s="2">
        <v>177.77806175407022</v>
      </c>
      <c r="H1765" s="2">
        <v>15.678720451425761</v>
      </c>
      <c r="I1765" s="2">
        <v>0.85794106094166644</v>
      </c>
      <c r="J1765" s="2">
        <v>6</v>
      </c>
      <c r="K1765" s="2">
        <v>186.21755610778689</v>
      </c>
      <c r="L1765" s="2">
        <v>13615</v>
      </c>
      <c r="M1765" s="2">
        <v>1200</v>
      </c>
      <c r="N1765" s="2">
        <v>249.99368148710502</v>
      </c>
      <c r="O1765" s="2">
        <v>2503.9434206434894</v>
      </c>
      <c r="P1765" s="2">
        <v>958.58212591847405</v>
      </c>
      <c r="Q1765" s="2">
        <v>254.1952752279453</v>
      </c>
      <c r="R1765" s="2">
        <v>2547.1113608281803</v>
      </c>
      <c r="S1765" s="2">
        <v>955.67874554570631</v>
      </c>
      <c r="T1765" s="2">
        <v>4.2015937408402806</v>
      </c>
      <c r="U1765" s="2">
        <v>43.167940184690906</v>
      </c>
      <c r="V1765" s="2">
        <v>-2.9033803727677423</v>
      </c>
    </row>
    <row r="1766" spans="1:22" ht="15">
      <c r="A1766" s="2">
        <v>1765</v>
      </c>
      <c r="B1766" s="2" t="s">
        <v>78</v>
      </c>
      <c r="C1766" s="2" t="s">
        <v>81</v>
      </c>
      <c r="D1766" s="2">
        <v>1084.4139380846173</v>
      </c>
      <c r="E1766" s="2">
        <v>798.03547168849036</v>
      </c>
      <c r="F1766" s="2">
        <v>748.12705647200346</v>
      </c>
      <c r="G1766" s="2">
        <v>163.18828168557957</v>
      </c>
      <c r="H1766" s="2">
        <v>10.955892063677311</v>
      </c>
      <c r="I1766" s="2">
        <v>0.8390979614318349</v>
      </c>
      <c r="J1766" s="2">
        <v>7</v>
      </c>
      <c r="K1766" s="2">
        <v>184.62239689497309</v>
      </c>
      <c r="L1766" s="2">
        <v>12510</v>
      </c>
      <c r="M1766" s="2">
        <v>1200</v>
      </c>
      <c r="N1766" s="2">
        <v>249.97897136564026</v>
      </c>
      <c r="O1766" s="2">
        <v>2504.7504729342759</v>
      </c>
      <c r="P1766" s="2">
        <v>1084.4139380846173</v>
      </c>
      <c r="Q1766" s="2">
        <v>249.94298260980295</v>
      </c>
      <c r="R1766" s="2">
        <v>2513.7456930362368</v>
      </c>
      <c r="S1766" s="2">
        <v>1093.4015129168679</v>
      </c>
      <c r="T1766" s="2">
        <v>-3.5988755837308872E-2</v>
      </c>
      <c r="U1766" s="2">
        <v>8.9952201019609674</v>
      </c>
      <c r="V1766" s="2">
        <v>8.9875748322506297</v>
      </c>
    </row>
    <row r="1767" spans="1:22" ht="15">
      <c r="A1767" s="2">
        <v>1766</v>
      </c>
      <c r="B1767" s="2" t="s">
        <v>78</v>
      </c>
      <c r="C1767" s="2" t="s">
        <v>81</v>
      </c>
      <c r="D1767" s="2">
        <v>1022.7808359195478</v>
      </c>
      <c r="E1767" s="2">
        <v>627.38311884459108</v>
      </c>
      <c r="F1767" s="2">
        <v>404.97783096507192</v>
      </c>
      <c r="G1767" s="2">
        <v>122.82145341858268</v>
      </c>
      <c r="H1767" s="2">
        <v>24.611633239779621</v>
      </c>
      <c r="I1767" s="2">
        <v>0.80276526228990408</v>
      </c>
      <c r="J1767" s="2">
        <v>7</v>
      </c>
      <c r="K1767" s="2">
        <v>182.01030220430903</v>
      </c>
      <c r="L1767" s="2">
        <v>18515</v>
      </c>
      <c r="M1767" s="2">
        <v>1200</v>
      </c>
      <c r="N1767" s="2">
        <v>250.02848007876017</v>
      </c>
      <c r="O1767" s="2">
        <v>2501.5245478056722</v>
      </c>
      <c r="P1767" s="2">
        <v>1022.7808359195478</v>
      </c>
      <c r="Q1767" s="2">
        <v>246.64210073592187</v>
      </c>
      <c r="R1767" s="2">
        <v>2460.0824593092061</v>
      </c>
      <c r="S1767" s="2">
        <v>1027.3939892885007</v>
      </c>
      <c r="T1767" s="2">
        <v>-3.3863793428382962</v>
      </c>
      <c r="U1767" s="2">
        <v>-41.442088496466113</v>
      </c>
      <c r="V1767" s="2">
        <v>4.6131533689529078</v>
      </c>
    </row>
    <row r="1768" spans="1:22" ht="15">
      <c r="A1768" s="2">
        <v>1767</v>
      </c>
      <c r="B1768" s="2" t="s">
        <v>78</v>
      </c>
      <c r="C1768" s="2" t="s">
        <v>81</v>
      </c>
      <c r="D1768" s="2">
        <v>972.78936088550836</v>
      </c>
      <c r="E1768" s="2">
        <v>1234.1319691506214</v>
      </c>
      <c r="F1768" s="2">
        <v>454.24284338951111</v>
      </c>
      <c r="G1768" s="2">
        <v>150.82507194718346</v>
      </c>
      <c r="H1768" s="2">
        <v>22.247189330868423</v>
      </c>
      <c r="I1768" s="2">
        <v>0.84731873370474209</v>
      </c>
      <c r="J1768" s="2">
        <v>6</v>
      </c>
      <c r="K1768" s="2">
        <v>191.34660157777333</v>
      </c>
      <c r="L1768" s="2">
        <v>13565</v>
      </c>
      <c r="M1768" s="2">
        <v>1200</v>
      </c>
      <c r="N1768" s="2">
        <v>249.98700985716317</v>
      </c>
      <c r="O1768" s="2">
        <v>2503.9768717436377</v>
      </c>
      <c r="P1768" s="2">
        <v>972.78936088550836</v>
      </c>
      <c r="Q1768" s="2">
        <v>249.29632758331593</v>
      </c>
      <c r="R1768" s="2">
        <v>2542.2973769303881</v>
      </c>
      <c r="S1768" s="2">
        <v>964.59040202738481</v>
      </c>
      <c r="T1768" s="2">
        <v>-0.69068227384724423</v>
      </c>
      <c r="U1768" s="2">
        <v>38.320505186750324</v>
      </c>
      <c r="V1768" s="2">
        <v>-8.1989588581235466</v>
      </c>
    </row>
    <row r="1769" spans="1:22" ht="15">
      <c r="A1769" s="2">
        <v>1768</v>
      </c>
      <c r="B1769" s="2" t="s">
        <v>78</v>
      </c>
      <c r="C1769" s="2" t="s">
        <v>81</v>
      </c>
      <c r="D1769" s="2">
        <v>1097.6060473243706</v>
      </c>
      <c r="E1769" s="2">
        <v>1212.44210684672</v>
      </c>
      <c r="F1769" s="2">
        <v>627.74967318400741</v>
      </c>
      <c r="G1769" s="2">
        <v>185.73987441603094</v>
      </c>
      <c r="H1769" s="2">
        <v>27.666181666310877</v>
      </c>
      <c r="I1769" s="2">
        <v>0.79073694572784015</v>
      </c>
      <c r="J1769" s="2">
        <v>7</v>
      </c>
      <c r="K1769" s="2">
        <v>198.29712618164427</v>
      </c>
      <c r="L1769" s="2">
        <v>10555</v>
      </c>
      <c r="M1769" s="2">
        <v>1195</v>
      </c>
      <c r="N1769" s="2">
        <v>249.97633534384806</v>
      </c>
      <c r="O1769" s="2">
        <v>2496.1492143745868</v>
      </c>
      <c r="P1769" s="2">
        <v>1097.6060473243706</v>
      </c>
      <c r="Q1769" s="2">
        <v>247.64297885182225</v>
      </c>
      <c r="R1769" s="2">
        <v>2545.0275229569015</v>
      </c>
      <c r="S1769" s="2">
        <v>1083.8548077460255</v>
      </c>
      <c r="T1769" s="2">
        <v>-2.3333564920258141</v>
      </c>
      <c r="U1769" s="2">
        <v>48.87830858231473</v>
      </c>
      <c r="V1769" s="2">
        <v>-13.751239578345121</v>
      </c>
    </row>
    <row r="1770" spans="1:22" ht="15">
      <c r="A1770" s="2">
        <v>1769</v>
      </c>
      <c r="B1770" s="2" t="s">
        <v>78</v>
      </c>
      <c r="C1770" s="2" t="s">
        <v>81</v>
      </c>
      <c r="D1770" s="2">
        <v>1048.6533110961318</v>
      </c>
      <c r="E1770" s="2">
        <v>981.60410042619333</v>
      </c>
      <c r="F1770" s="2">
        <v>730.74221033602953</v>
      </c>
      <c r="G1770" s="2">
        <v>218.80423043156043</v>
      </c>
      <c r="H1770" s="2">
        <v>23.019495597109199</v>
      </c>
      <c r="I1770" s="2">
        <v>0.8380526886996813</v>
      </c>
      <c r="J1770" s="2">
        <v>7</v>
      </c>
      <c r="K1770" s="2">
        <v>178.75679881573649</v>
      </c>
      <c r="L1770" s="2">
        <v>11075</v>
      </c>
      <c r="M1770" s="2">
        <v>1195</v>
      </c>
      <c r="N1770" s="2">
        <v>250.02040416963541</v>
      </c>
      <c r="O1770" s="2">
        <v>2495.5997734740204</v>
      </c>
      <c r="P1770" s="2">
        <v>1048.6533110961318</v>
      </c>
      <c r="Q1770" s="2">
        <v>251.86435167506497</v>
      </c>
      <c r="R1770" s="2">
        <v>2524.6719762396451</v>
      </c>
      <c r="S1770" s="2">
        <v>1039.4408358263877</v>
      </c>
      <c r="T1770" s="2">
        <v>1.8439475054295542</v>
      </c>
      <c r="U1770" s="2">
        <v>29.072202765624752</v>
      </c>
      <c r="V1770" s="2">
        <v>-9.2124752697441181</v>
      </c>
    </row>
    <row r="1771" spans="1:22" ht="15">
      <c r="A1771" s="2">
        <v>1770</v>
      </c>
      <c r="B1771" s="2" t="s">
        <v>78</v>
      </c>
      <c r="C1771" s="2" t="s">
        <v>81</v>
      </c>
      <c r="D1771" s="2">
        <v>1076.9612882868387</v>
      </c>
      <c r="E1771" s="2">
        <v>919.78199968580157</v>
      </c>
      <c r="F1771" s="2">
        <v>526.28996381536126</v>
      </c>
      <c r="G1771" s="2">
        <v>296.52934583835304</v>
      </c>
      <c r="H1771" s="2">
        <v>14.019074846524745</v>
      </c>
      <c r="I1771" s="2">
        <v>0.84648493137676273</v>
      </c>
      <c r="J1771" s="2">
        <v>7</v>
      </c>
      <c r="K1771" s="2">
        <v>181.75351611064602</v>
      </c>
      <c r="L1771" s="2">
        <v>12270</v>
      </c>
      <c r="M1771" s="2">
        <v>1200</v>
      </c>
      <c r="N1771" s="2">
        <v>249.9526249109837</v>
      </c>
      <c r="O1771" s="2">
        <v>2504.9440307419272</v>
      </c>
      <c r="P1771" s="2">
        <v>1076.9612882868387</v>
      </c>
      <c r="Q1771" s="2">
        <v>251.10537004930956</v>
      </c>
      <c r="R1771" s="2">
        <v>2542.9779604535734</v>
      </c>
      <c r="S1771" s="2">
        <v>1082.9802983411817</v>
      </c>
      <c r="T1771" s="2">
        <v>1.1527451383258551</v>
      </c>
      <c r="U1771" s="2">
        <v>38.033929711646124</v>
      </c>
      <c r="V1771" s="2">
        <v>6.0190100543429708</v>
      </c>
    </row>
    <row r="1772" spans="1:22" ht="15">
      <c r="A1772" s="2">
        <v>1771</v>
      </c>
      <c r="B1772" s="2" t="s">
        <v>78</v>
      </c>
      <c r="C1772" s="2" t="s">
        <v>81</v>
      </c>
      <c r="D1772" s="2">
        <v>975.78577909152955</v>
      </c>
      <c r="E1772" s="2">
        <v>1073.8609379739501</v>
      </c>
      <c r="F1772" s="2">
        <v>738.44632096588612</v>
      </c>
      <c r="G1772" s="2">
        <v>271.77058170316741</v>
      </c>
      <c r="H1772" s="2">
        <v>28.814328298904002</v>
      </c>
      <c r="I1772" s="2">
        <v>0.79319845459191129</v>
      </c>
      <c r="J1772" s="2">
        <v>7</v>
      </c>
      <c r="K1772" s="2">
        <v>175.74160367390684</v>
      </c>
      <c r="L1772" s="2">
        <v>10260</v>
      </c>
      <c r="M1772" s="2">
        <v>1195</v>
      </c>
      <c r="N1772" s="2">
        <v>249.96388326780857</v>
      </c>
      <c r="O1772" s="2">
        <v>2496.4862846179262</v>
      </c>
      <c r="P1772" s="2">
        <v>975.78577909152955</v>
      </c>
      <c r="Q1772" s="2">
        <v>248.1021289897958</v>
      </c>
      <c r="R1772" s="2">
        <v>2510.1526103511965</v>
      </c>
      <c r="S1772" s="2">
        <v>962.59990242289166</v>
      </c>
      <c r="T1772" s="2">
        <v>-1.8617542780127678</v>
      </c>
      <c r="U1772" s="2">
        <v>13.666325733270241</v>
      </c>
      <c r="V1772" s="2">
        <v>-13.185876668637889</v>
      </c>
    </row>
    <row r="1773" spans="1:22" ht="15">
      <c r="A1773" s="2">
        <v>1772</v>
      </c>
      <c r="B1773" s="2" t="s">
        <v>78</v>
      </c>
      <c r="C1773" s="2" t="s">
        <v>81</v>
      </c>
      <c r="D1773" s="2">
        <v>1015.7127043581568</v>
      </c>
      <c r="E1773" s="2">
        <v>706.73847957514226</v>
      </c>
      <c r="F1773" s="2">
        <v>732.2516898624599</v>
      </c>
      <c r="G1773" s="2">
        <v>322.80968762468547</v>
      </c>
      <c r="H1773" s="2">
        <v>17.179321605246514</v>
      </c>
      <c r="I1773" s="2">
        <v>0.84564512658864266</v>
      </c>
      <c r="J1773" s="2">
        <v>7</v>
      </c>
      <c r="K1773" s="2">
        <v>171.58712365984192</v>
      </c>
      <c r="L1773" s="2">
        <v>12140</v>
      </c>
      <c r="M1773" s="2">
        <v>1200</v>
      </c>
      <c r="N1773" s="2">
        <v>250.02906759763221</v>
      </c>
      <c r="O1773" s="2">
        <v>2505.0557893279311</v>
      </c>
      <c r="P1773" s="2">
        <v>1015.7127043581568</v>
      </c>
      <c r="Q1773" s="2">
        <v>252.66368553983085</v>
      </c>
      <c r="R1773" s="2">
        <v>2516.0708392558313</v>
      </c>
      <c r="S1773" s="2">
        <v>1012.4902439358466</v>
      </c>
      <c r="T1773" s="2">
        <v>2.6346179421986449</v>
      </c>
      <c r="U1773" s="2">
        <v>11.015049927900236</v>
      </c>
      <c r="V1773" s="2">
        <v>-3.2224604223101778</v>
      </c>
    </row>
    <row r="1774" spans="1:22" ht="15">
      <c r="A1774" s="2">
        <v>1773</v>
      </c>
      <c r="B1774" s="2" t="s">
        <v>78</v>
      </c>
      <c r="C1774" s="2" t="s">
        <v>81</v>
      </c>
      <c r="D1774" s="2">
        <v>1034.8029097076505</v>
      </c>
      <c r="E1774" s="2">
        <v>1244.3290660972707</v>
      </c>
      <c r="F1774" s="2">
        <v>375.96291806548834</v>
      </c>
      <c r="G1774" s="2">
        <v>92.88759132148698</v>
      </c>
      <c r="H1774" s="2">
        <v>10.372602436691523</v>
      </c>
      <c r="I1774" s="2">
        <v>0.85129591159755369</v>
      </c>
      <c r="J1774" s="2">
        <v>7</v>
      </c>
      <c r="K1774" s="2">
        <v>173.65170569617209</v>
      </c>
      <c r="L1774" s="2">
        <v>12485</v>
      </c>
      <c r="M1774" s="2">
        <v>1200</v>
      </c>
      <c r="N1774" s="2">
        <v>250.03820718691921</v>
      </c>
      <c r="O1774" s="2">
        <v>2504.7727609448089</v>
      </c>
      <c r="P1774" s="2">
        <v>1034.8029097076505</v>
      </c>
      <c r="Q1774" s="2">
        <v>251.16663569678923</v>
      </c>
      <c r="R1774" s="2">
        <v>2503.2404074473584</v>
      </c>
      <c r="S1774" s="2">
        <v>1041.3990414861282</v>
      </c>
      <c r="T1774" s="2">
        <v>1.1284285098700195</v>
      </c>
      <c r="U1774" s="2">
        <v>-1.5323534974504582</v>
      </c>
      <c r="V1774" s="2">
        <v>6.5961317784776838</v>
      </c>
    </row>
    <row r="1775" spans="1:22" ht="15">
      <c r="A1775" s="2">
        <v>1774</v>
      </c>
      <c r="B1775" s="2" t="s">
        <v>78</v>
      </c>
      <c r="C1775" s="2" t="s">
        <v>81</v>
      </c>
      <c r="D1775" s="2">
        <v>952.45355052175</v>
      </c>
      <c r="E1775" s="2">
        <v>1170.2337846858427</v>
      </c>
      <c r="F1775" s="2">
        <v>469.32208286598325</v>
      </c>
      <c r="G1775" s="2">
        <v>257.75605618953705</v>
      </c>
      <c r="H1775" s="2">
        <v>26.343237648252398</v>
      </c>
      <c r="I1775" s="2">
        <v>0.84358166776131838</v>
      </c>
      <c r="J1775" s="2">
        <v>6</v>
      </c>
      <c r="K1775" s="2">
        <v>188.17651507477515</v>
      </c>
      <c r="L1775" s="2">
        <v>13150</v>
      </c>
      <c r="M1775" s="2">
        <v>1200</v>
      </c>
      <c r="N1775" s="2">
        <v>249.99620798425676</v>
      </c>
      <c r="O1775" s="2">
        <v>2504.2668275746996</v>
      </c>
      <c r="P1775" s="2">
        <v>952.45355052175</v>
      </c>
      <c r="Q1775" s="2">
        <v>252.41569768682774</v>
      </c>
      <c r="R1775" s="2">
        <v>2541.2806957498756</v>
      </c>
      <c r="S1775" s="2">
        <v>944.17245279230531</v>
      </c>
      <c r="T1775" s="2">
        <v>2.4194897025709849</v>
      </c>
      <c r="U1775" s="2">
        <v>37.013868175175958</v>
      </c>
      <c r="V1775" s="2">
        <v>-8.2810977294446957</v>
      </c>
    </row>
    <row r="1776" spans="1:22" ht="15">
      <c r="A1776" s="2">
        <v>1775</v>
      </c>
      <c r="B1776" s="2" t="s">
        <v>79</v>
      </c>
      <c r="C1776" s="2" t="s">
        <v>81</v>
      </c>
      <c r="D1776" s="2">
        <v>1023.3526008436456</v>
      </c>
      <c r="E1776" s="2">
        <v>1134.4276824151166</v>
      </c>
      <c r="F1776" s="2">
        <v>652.47151032090187</v>
      </c>
      <c r="G1776" s="2">
        <v>258.21505520259961</v>
      </c>
      <c r="H1776" s="2">
        <v>27.692472829483449</v>
      </c>
      <c r="I1776" s="2">
        <v>0.80441360881319268</v>
      </c>
      <c r="J1776" s="2">
        <v>7</v>
      </c>
      <c r="K1776" s="2">
        <v>181.73888045931795</v>
      </c>
      <c r="L1776" s="2">
        <v>10455</v>
      </c>
      <c r="M1776" s="2">
        <v>1195</v>
      </c>
      <c r="N1776" s="2">
        <v>249.95250590099386</v>
      </c>
      <c r="O1776" s="2">
        <v>2496.2604148140163</v>
      </c>
      <c r="P1776" s="2">
        <v>1023.3526008436456</v>
      </c>
      <c r="Q1776" s="2">
        <v>250.05844112474151</v>
      </c>
      <c r="R1776" s="2">
        <v>2543.2483507000316</v>
      </c>
      <c r="S1776" s="2">
        <v>1002.6369373668446</v>
      </c>
      <c r="T1776" s="2">
        <v>0.1059352237476503</v>
      </c>
      <c r="U1776" s="2">
        <v>46.987935886015293</v>
      </c>
      <c r="V1776" s="2">
        <v>-20.715663476801069</v>
      </c>
    </row>
    <row r="1777" spans="1:22" ht="15">
      <c r="A1777" s="2">
        <v>1776</v>
      </c>
      <c r="B1777" s="2" t="s">
        <v>79</v>
      </c>
      <c r="C1777" s="2" t="s">
        <v>81</v>
      </c>
      <c r="D1777" s="2">
        <v>1052.4491947027855</v>
      </c>
      <c r="E1777" s="2">
        <v>1168.6323495581746</v>
      </c>
      <c r="F1777" s="2">
        <v>482.36461719498038</v>
      </c>
      <c r="G1777" s="2">
        <v>273.03978991229087</v>
      </c>
      <c r="H1777" s="2">
        <v>18.148225927259773</v>
      </c>
      <c r="I1777" s="2">
        <v>0.812129760151729</v>
      </c>
      <c r="J1777" s="2">
        <v>7</v>
      </c>
      <c r="K1777" s="2">
        <v>185.13037242897136</v>
      </c>
      <c r="L1777" s="2">
        <v>11115</v>
      </c>
      <c r="M1777" s="2">
        <v>1195</v>
      </c>
      <c r="N1777" s="2">
        <v>249.99895226795928</v>
      </c>
      <c r="O1777" s="2">
        <v>2495.5585352563676</v>
      </c>
      <c r="P1777" s="2">
        <v>1052.4491947027855</v>
      </c>
      <c r="Q1777" s="2">
        <v>250.14931869116728</v>
      </c>
      <c r="R1777" s="2">
        <v>2482.0967705837825</v>
      </c>
      <c r="S1777" s="2">
        <v>1053.6854617420811</v>
      </c>
      <c r="T1777" s="2">
        <v>0.15036642320799842</v>
      </c>
      <c r="U1777" s="2">
        <v>-13.461764672585105</v>
      </c>
      <c r="V1777" s="2">
        <v>1.2362670392956261</v>
      </c>
    </row>
    <row r="1778" spans="1:22" ht="15">
      <c r="A1778" s="2">
        <v>1777</v>
      </c>
      <c r="B1778" s="2" t="s">
        <v>79</v>
      </c>
      <c r="C1778" s="2" t="s">
        <v>81</v>
      </c>
      <c r="D1778" s="2">
        <v>1029.7651496715844</v>
      </c>
      <c r="E1778" s="2">
        <v>1125.0582562177442</v>
      </c>
      <c r="F1778" s="2">
        <v>533.00001416355371</v>
      </c>
      <c r="G1778" s="2">
        <v>200.62673649052158</v>
      </c>
      <c r="H1778" s="2">
        <v>10.426501320675015</v>
      </c>
      <c r="I1778" s="2">
        <v>0.85142274721758449</v>
      </c>
      <c r="J1778" s="2">
        <v>7</v>
      </c>
      <c r="K1778" s="2">
        <v>172.78056943708393</v>
      </c>
      <c r="L1778" s="2">
        <v>11505</v>
      </c>
      <c r="M1778" s="2">
        <v>1195</v>
      </c>
      <c r="N1778" s="2">
        <v>249.98122929647934</v>
      </c>
      <c r="O1778" s="2">
        <v>2495.1796947571602</v>
      </c>
      <c r="P1778" s="2">
        <v>1029.7651496715844</v>
      </c>
      <c r="Q1778" s="2">
        <v>251.93294014242747</v>
      </c>
      <c r="R1778" s="2">
        <v>2477.6883340186996</v>
      </c>
      <c r="S1778" s="2">
        <v>1032.5432992625254</v>
      </c>
      <c r="T1778" s="2">
        <v>1.9517108459481278</v>
      </c>
      <c r="U1778" s="2">
        <v>-17.491360738460571</v>
      </c>
      <c r="V1778" s="2">
        <v>2.7781495909409841</v>
      </c>
    </row>
    <row r="1779" spans="1:22" ht="15">
      <c r="A1779" s="2">
        <v>1778</v>
      </c>
      <c r="B1779" s="2" t="s">
        <v>80</v>
      </c>
      <c r="C1779" s="2" t="s">
        <v>81</v>
      </c>
      <c r="D1779" s="2">
        <v>983.50066986167803</v>
      </c>
      <c r="E1779" s="2">
        <v>980.950724077411</v>
      </c>
      <c r="F1779" s="2">
        <v>662.27023685351014</v>
      </c>
      <c r="G1779" s="2">
        <v>149.01611131615937</v>
      </c>
      <c r="H1779" s="2">
        <v>16.950086057651788</v>
      </c>
      <c r="I1779" s="2">
        <v>0.844691026234068</v>
      </c>
      <c r="J1779" s="2">
        <v>6</v>
      </c>
      <c r="K1779" s="2">
        <v>194.05530924257448</v>
      </c>
      <c r="L1779" s="2">
        <v>13920</v>
      </c>
      <c r="M1779" s="2">
        <v>1200</v>
      </c>
      <c r="N1779" s="2">
        <v>249.97878290802637</v>
      </c>
      <c r="O1779" s="2">
        <v>2503.7425460956838</v>
      </c>
      <c r="P1779" s="2">
        <v>983.50066986167803</v>
      </c>
      <c r="Q1779" s="2">
        <v>249.9181797812698</v>
      </c>
      <c r="R1779" s="2">
        <v>2539.1237383115222</v>
      </c>
      <c r="S1779" s="2">
        <v>980.58593437999775</v>
      </c>
      <c r="T1779" s="2">
        <v>-6.0603126756575421E-2</v>
      </c>
      <c r="U1779" s="2">
        <v>35.381192215838382</v>
      </c>
      <c r="V1779" s="2">
        <v>-2.9147354816802817</v>
      </c>
    </row>
    <row r="1780" spans="1:22" ht="15">
      <c r="A1780" s="2">
        <v>1779</v>
      </c>
      <c r="B1780" s="2" t="s">
        <v>80</v>
      </c>
      <c r="C1780" s="2" t="s">
        <v>81</v>
      </c>
      <c r="D1780" s="2">
        <v>1060.4018663754687</v>
      </c>
      <c r="E1780" s="2">
        <v>825.50156597280875</v>
      </c>
      <c r="F1780" s="2">
        <v>502.33542881906033</v>
      </c>
      <c r="G1780" s="2">
        <v>220.05139720393345</v>
      </c>
      <c r="H1780" s="2">
        <v>17.763412606902421</v>
      </c>
      <c r="I1780" s="2">
        <v>0.80770045344484975</v>
      </c>
      <c r="J1780" s="2">
        <v>7</v>
      </c>
      <c r="K1780" s="2">
        <v>187.55218009930806</v>
      </c>
      <c r="L1780" s="2">
        <v>13815</v>
      </c>
      <c r="M1780" s="2">
        <v>1200</v>
      </c>
      <c r="N1780" s="2">
        <v>249.98025684856572</v>
      </c>
      <c r="O1780" s="2">
        <v>2503.8105679074856</v>
      </c>
      <c r="P1780" s="2">
        <v>1060.4018663754687</v>
      </c>
      <c r="Q1780" s="2">
        <v>247.29323164737917</v>
      </c>
      <c r="R1780" s="2">
        <v>2484.5878675157687</v>
      </c>
      <c r="S1780" s="2">
        <v>1065.4811227755995</v>
      </c>
      <c r="T1780" s="2">
        <v>-2.6870252011865432</v>
      </c>
      <c r="U1780" s="2">
        <v>-19.222700391716899</v>
      </c>
      <c r="V1780" s="2">
        <v>5.0792564001308165</v>
      </c>
    </row>
    <row r="1781" spans="1:22" ht="15">
      <c r="A1781" s="2">
        <v>1780</v>
      </c>
      <c r="B1781" s="2" t="s">
        <v>80</v>
      </c>
      <c r="C1781" s="2" t="s">
        <v>81</v>
      </c>
      <c r="D1781" s="2">
        <v>952.06442115595564</v>
      </c>
      <c r="E1781" s="2">
        <v>1102.8175229672343</v>
      </c>
      <c r="F1781" s="2">
        <v>436.68382642790675</v>
      </c>
      <c r="G1781" s="2">
        <v>261.63256288971752</v>
      </c>
      <c r="H1781" s="2">
        <v>8.0669680233113468</v>
      </c>
      <c r="I1781" s="2">
        <v>0.79363522002473474</v>
      </c>
      <c r="J1781" s="2">
        <v>6</v>
      </c>
      <c r="K1781" s="2">
        <v>199.93745176914803</v>
      </c>
      <c r="L1781" s="2">
        <v>13850</v>
      </c>
      <c r="M1781" s="2">
        <v>1200</v>
      </c>
      <c r="N1781" s="2">
        <v>249.95616359002852</v>
      </c>
      <c r="O1781" s="2">
        <v>2503.7869377687366</v>
      </c>
      <c r="P1781" s="2">
        <v>952.06442115595564</v>
      </c>
      <c r="Q1781" s="2">
        <v>254.72096476744673</v>
      </c>
      <c r="R1781" s="2">
        <v>2482.7074880464761</v>
      </c>
      <c r="S1781" s="2">
        <v>951.47799787456199</v>
      </c>
      <c r="T1781" s="2">
        <v>4.7648011774182066</v>
      </c>
      <c r="U1781" s="2">
        <v>-21.079449722260506</v>
      </c>
      <c r="V1781" s="2">
        <v>-0.58642328139364963</v>
      </c>
    </row>
    <row r="1782" spans="1:22" ht="15">
      <c r="A1782" s="2">
        <v>1781</v>
      </c>
      <c r="B1782" s="2" t="s">
        <v>78</v>
      </c>
      <c r="C1782" s="2" t="s">
        <v>81</v>
      </c>
      <c r="D1782" s="2">
        <v>1039.1769972164184</v>
      </c>
      <c r="E1782" s="2">
        <v>932.37470387248322</v>
      </c>
      <c r="F1782" s="2">
        <v>723.78924768418074</v>
      </c>
      <c r="G1782" s="2">
        <v>106.20543754892424</v>
      </c>
      <c r="H1782" s="2">
        <v>22.515874236822128</v>
      </c>
      <c r="I1782" s="2">
        <v>0.83059217831352727</v>
      </c>
      <c r="J1782" s="2">
        <v>7</v>
      </c>
      <c r="K1782" s="2">
        <v>178.73254844107751</v>
      </c>
      <c r="L1782" s="2">
        <v>12135</v>
      </c>
      <c r="M1782" s="2">
        <v>1200</v>
      </c>
      <c r="N1782" s="2">
        <v>250.00701447595006</v>
      </c>
      <c r="O1782" s="2">
        <v>2505.0591046878612</v>
      </c>
      <c r="P1782" s="2">
        <v>1039.1769972164184</v>
      </c>
      <c r="Q1782" s="2">
        <v>251.48084189312627</v>
      </c>
      <c r="R1782" s="2">
        <v>2489.8540749374024</v>
      </c>
      <c r="S1782" s="2">
        <v>1027.611926732566</v>
      </c>
      <c r="T1782" s="2">
        <v>1.47382741717621</v>
      </c>
      <c r="U1782" s="2">
        <v>-15.205029750458834</v>
      </c>
      <c r="V1782" s="2">
        <v>-11.565070483852423</v>
      </c>
    </row>
    <row r="1783" spans="1:22" ht="15">
      <c r="A1783" s="2">
        <v>1782</v>
      </c>
      <c r="B1783" s="2" t="s">
        <v>78</v>
      </c>
      <c r="C1783" s="2" t="s">
        <v>81</v>
      </c>
      <c r="D1783" s="2">
        <v>953.67487902985886</v>
      </c>
      <c r="E1783" s="2">
        <v>1091.5186108788475</v>
      </c>
      <c r="F1783" s="2">
        <v>700.28756679967046</v>
      </c>
      <c r="G1783" s="2">
        <v>146.59650662913918</v>
      </c>
      <c r="H1783" s="2">
        <v>17.610819777939469</v>
      </c>
      <c r="I1783" s="2">
        <v>0.79313208667095758</v>
      </c>
      <c r="J1783" s="2">
        <v>7</v>
      </c>
      <c r="K1783" s="2">
        <v>171.77374452807609</v>
      </c>
      <c r="L1783" s="2">
        <v>11035</v>
      </c>
      <c r="M1783" s="2">
        <v>1195</v>
      </c>
      <c r="N1783" s="2">
        <v>250.05277455484182</v>
      </c>
      <c r="O1783" s="2">
        <v>2495.6418137487835</v>
      </c>
      <c r="P1783" s="2">
        <v>953.67487902985886</v>
      </c>
      <c r="Q1783" s="2">
        <v>254.47419596505372</v>
      </c>
      <c r="R1783" s="2">
        <v>2496.3715326101956</v>
      </c>
      <c r="S1783" s="2">
        <v>944.24293699408872</v>
      </c>
      <c r="T1783" s="2">
        <v>4.4214214102119058</v>
      </c>
      <c r="U1783" s="2">
        <v>0.72971886141203868</v>
      </c>
      <c r="V1783" s="2">
        <v>-9.4319420357701347</v>
      </c>
    </row>
    <row r="1784" spans="1:22" ht="15">
      <c r="A1784" s="2">
        <v>1783</v>
      </c>
      <c r="B1784" s="2" t="s">
        <v>78</v>
      </c>
      <c r="C1784" s="2" t="s">
        <v>81</v>
      </c>
      <c r="D1784" s="2">
        <v>1030.8825955959037</v>
      </c>
      <c r="E1784" s="2">
        <v>1197.3260259372182</v>
      </c>
      <c r="F1784" s="2">
        <v>477.24143415689468</v>
      </c>
      <c r="G1784" s="2">
        <v>231.63574641337618</v>
      </c>
      <c r="H1784" s="2">
        <v>12.383783201687038</v>
      </c>
      <c r="I1784" s="2">
        <v>0.80885953847086056</v>
      </c>
      <c r="J1784" s="2">
        <v>7</v>
      </c>
      <c r="K1784" s="2">
        <v>182.06985913326366</v>
      </c>
      <c r="L1784" s="2">
        <v>11220</v>
      </c>
      <c r="M1784" s="2">
        <v>1195</v>
      </c>
      <c r="N1784" s="2">
        <v>250.02137287733953</v>
      </c>
      <c r="O1784" s="2">
        <v>2495.4551551469472</v>
      </c>
      <c r="P1784" s="2">
        <v>1030.8825955959037</v>
      </c>
      <c r="Q1784" s="2">
        <v>255.0319247060078</v>
      </c>
      <c r="R1784" s="2">
        <v>2554.3916768591794</v>
      </c>
      <c r="S1784" s="2">
        <v>1028.7713512221512</v>
      </c>
      <c r="T1784" s="2">
        <v>5.0105518286682695</v>
      </c>
      <c r="U1784" s="2">
        <v>58.936521712232206</v>
      </c>
      <c r="V1784" s="2">
        <v>-2.11124437375247</v>
      </c>
    </row>
    <row r="1785" spans="1:22" ht="15">
      <c r="A1785" s="2">
        <v>1784</v>
      </c>
      <c r="B1785" s="2" t="s">
        <v>78</v>
      </c>
      <c r="C1785" s="2" t="s">
        <v>81</v>
      </c>
      <c r="D1785" s="2">
        <v>989.90984846604988</v>
      </c>
      <c r="E1785" s="2">
        <v>712.35530627891421</v>
      </c>
      <c r="F1785" s="2">
        <v>577.46344124898314</v>
      </c>
      <c r="G1785" s="2">
        <v>254.35759550426155</v>
      </c>
      <c r="H1785" s="2">
        <v>19.939287727233022</v>
      </c>
      <c r="I1785" s="2">
        <v>0.82212894347496335</v>
      </c>
      <c r="J1785" s="2">
        <v>7</v>
      </c>
      <c r="K1785" s="2">
        <v>172.01157283220465</v>
      </c>
      <c r="L1785" s="2">
        <v>13850</v>
      </c>
      <c r="M1785" s="2">
        <v>1200</v>
      </c>
      <c r="N1785" s="2">
        <v>250.0126164098757</v>
      </c>
      <c r="O1785" s="2">
        <v>2503.7889593280588</v>
      </c>
      <c r="P1785" s="2">
        <v>989.90984846604988</v>
      </c>
      <c r="Q1785" s="2">
        <v>246.96748439516037</v>
      </c>
      <c r="R1785" s="2">
        <v>2440.354763988274</v>
      </c>
      <c r="S1785" s="2">
        <v>986.2485525216963</v>
      </c>
      <c r="T1785" s="2">
        <v>-3.0451320147153353</v>
      </c>
      <c r="U1785" s="2">
        <v>-63.434195339784765</v>
      </c>
      <c r="V1785" s="2">
        <v>-3.6612959443535829</v>
      </c>
    </row>
    <row r="1786" spans="1:22" ht="15">
      <c r="A1786" s="2">
        <v>1785</v>
      </c>
      <c r="B1786" s="2" t="s">
        <v>78</v>
      </c>
      <c r="C1786" s="2" t="s">
        <v>81</v>
      </c>
      <c r="D1786" s="2">
        <v>989.89715166389942</v>
      </c>
      <c r="E1786" s="2">
        <v>781.06204181676731</v>
      </c>
      <c r="F1786" s="2">
        <v>472.21491504460573</v>
      </c>
      <c r="G1786" s="2">
        <v>252.43238218361512</v>
      </c>
      <c r="H1786" s="2">
        <v>14.157463414594531</v>
      </c>
      <c r="I1786" s="2">
        <v>0.81222077888669453</v>
      </c>
      <c r="J1786" s="2">
        <v>7</v>
      </c>
      <c r="K1786" s="2">
        <v>174.10768412372252</v>
      </c>
      <c r="L1786" s="2">
        <v>14205</v>
      </c>
      <c r="M1786" s="2">
        <v>1200</v>
      </c>
      <c r="N1786" s="2">
        <v>250.03304478980141</v>
      </c>
      <c r="O1786" s="2">
        <v>2503.5650352044486</v>
      </c>
      <c r="P1786" s="2">
        <v>989.89715166389942</v>
      </c>
      <c r="Q1786" s="2">
        <v>250.88141800447841</v>
      </c>
      <c r="R1786" s="2">
        <v>2529.6282067697375</v>
      </c>
      <c r="S1786" s="2">
        <v>997.94971423262211</v>
      </c>
      <c r="T1786" s="2">
        <v>0.84837321467699667</v>
      </c>
      <c r="U1786" s="2">
        <v>26.06317156528894</v>
      </c>
      <c r="V1786" s="2">
        <v>8.052562568722692</v>
      </c>
    </row>
    <row r="1787" spans="1:22" ht="15">
      <c r="A1787" s="2">
        <v>1786</v>
      </c>
      <c r="B1787" s="2" t="s">
        <v>78</v>
      </c>
      <c r="C1787" s="2" t="s">
        <v>81</v>
      </c>
      <c r="D1787" s="2">
        <v>1008.1914390088059</v>
      </c>
      <c r="E1787" s="2">
        <v>1208.5140904644504</v>
      </c>
      <c r="F1787" s="2">
        <v>669.92278257384896</v>
      </c>
      <c r="G1787" s="2">
        <v>307.55682817660272</v>
      </c>
      <c r="H1787" s="2">
        <v>15.782513451296836</v>
      </c>
      <c r="I1787" s="2">
        <v>0.85807823040056974</v>
      </c>
      <c r="J1787" s="2">
        <v>6</v>
      </c>
      <c r="K1787" s="2">
        <v>195.82352814501152</v>
      </c>
      <c r="L1787" s="2">
        <v>11415</v>
      </c>
      <c r="M1787" s="2">
        <v>1195</v>
      </c>
      <c r="N1787" s="2">
        <v>250.03072438888702</v>
      </c>
      <c r="O1787" s="2">
        <v>2495.2667873625333</v>
      </c>
      <c r="P1787" s="2">
        <v>1008.1914390088059</v>
      </c>
      <c r="Q1787" s="2">
        <v>254.04901491108535</v>
      </c>
      <c r="R1787" s="2">
        <v>2523.6284121416966</v>
      </c>
      <c r="S1787" s="2">
        <v>1002.1712562781188</v>
      </c>
      <c r="T1787" s="2">
        <v>4.0182905221983276</v>
      </c>
      <c r="U1787" s="2">
        <v>28.361624779163321</v>
      </c>
      <c r="V1787" s="2">
        <v>-6.020182730687111</v>
      </c>
    </row>
    <row r="1788" spans="1:22" ht="15">
      <c r="A1788" s="2">
        <v>1787</v>
      </c>
      <c r="B1788" s="2" t="s">
        <v>78</v>
      </c>
      <c r="C1788" s="2" t="s">
        <v>81</v>
      </c>
      <c r="D1788" s="2">
        <v>999.4818378938362</v>
      </c>
      <c r="E1788" s="2">
        <v>1213.731879054103</v>
      </c>
      <c r="F1788" s="2">
        <v>571.1856696754694</v>
      </c>
      <c r="G1788" s="2">
        <v>312.0273436489515</v>
      </c>
      <c r="H1788" s="2">
        <v>18.841975250281394</v>
      </c>
      <c r="I1788" s="2">
        <v>0.82833126830635595</v>
      </c>
      <c r="J1788" s="2">
        <v>7</v>
      </c>
      <c r="K1788" s="2">
        <v>172.37441729208214</v>
      </c>
      <c r="L1788" s="2">
        <v>10200</v>
      </c>
      <c r="M1788" s="2">
        <v>1195</v>
      </c>
      <c r="N1788" s="2">
        <v>250.03606595390113</v>
      </c>
      <c r="O1788" s="2">
        <v>2496.560874209149</v>
      </c>
      <c r="P1788" s="2">
        <v>999.4818378938362</v>
      </c>
      <c r="Q1788" s="2">
        <v>253.72140792929301</v>
      </c>
      <c r="R1788" s="2">
        <v>2541.1494856886352</v>
      </c>
      <c r="S1788" s="2">
        <v>992.16409866574327</v>
      </c>
      <c r="T1788" s="2">
        <v>3.6853419753918786</v>
      </c>
      <c r="U1788" s="2">
        <v>44.58861147948619</v>
      </c>
      <c r="V1788" s="2">
        <v>-7.3177392280929325</v>
      </c>
    </row>
    <row r="1789" spans="1:22" ht="15">
      <c r="A1789" s="2">
        <v>1788</v>
      </c>
      <c r="B1789" s="2" t="s">
        <v>78</v>
      </c>
      <c r="C1789" s="2" t="s">
        <v>81</v>
      </c>
      <c r="D1789" s="2">
        <v>1040.0023695430718</v>
      </c>
      <c r="E1789" s="2">
        <v>944.82013615779579</v>
      </c>
      <c r="F1789" s="2">
        <v>467.28137684985995</v>
      </c>
      <c r="G1789" s="2">
        <v>253.8926264224574</v>
      </c>
      <c r="H1789" s="2">
        <v>24.105129401665181</v>
      </c>
      <c r="I1789" s="2">
        <v>0.85907982498407365</v>
      </c>
      <c r="J1789" s="2">
        <v>7</v>
      </c>
      <c r="K1789" s="2">
        <v>172.94291258712312</v>
      </c>
      <c r="L1789" s="2">
        <v>12835</v>
      </c>
      <c r="M1789" s="2">
        <v>1200</v>
      </c>
      <c r="N1789" s="2">
        <v>249.96823664237616</v>
      </c>
      <c r="O1789" s="2">
        <v>2504.4980850844504</v>
      </c>
      <c r="P1789" s="2">
        <v>1040.0023695430718</v>
      </c>
      <c r="Q1789" s="2">
        <v>248.9337712676342</v>
      </c>
      <c r="R1789" s="2">
        <v>2490.1254123141462</v>
      </c>
      <c r="S1789" s="2">
        <v>1035.4017555960731</v>
      </c>
      <c r="T1789" s="2">
        <v>-1.0344653747419557</v>
      </c>
      <c r="U1789" s="2">
        <v>-14.372672770304234</v>
      </c>
      <c r="V1789" s="2">
        <v>-4.600613946998692</v>
      </c>
    </row>
    <row r="1790" spans="1:22" ht="15">
      <c r="A1790" s="2">
        <v>1789</v>
      </c>
      <c r="B1790" s="2" t="s">
        <v>78</v>
      </c>
      <c r="C1790" s="2" t="s">
        <v>81</v>
      </c>
      <c r="D1790" s="2">
        <v>966.03814992122352</v>
      </c>
      <c r="E1790" s="2">
        <v>1193.2672222028486</v>
      </c>
      <c r="F1790" s="2">
        <v>550.91161783784628</v>
      </c>
      <c r="G1790" s="2">
        <v>145.69295638473704</v>
      </c>
      <c r="H1790" s="2">
        <v>19.197410192340612</v>
      </c>
      <c r="I1790" s="2">
        <v>0.84852604914689445</v>
      </c>
      <c r="J1790" s="2">
        <v>6</v>
      </c>
      <c r="K1790" s="2">
        <v>189.74827995213491</v>
      </c>
      <c r="L1790" s="2">
        <v>13200</v>
      </c>
      <c r="M1790" s="2">
        <v>1200</v>
      </c>
      <c r="N1790" s="2">
        <v>249.96250927424686</v>
      </c>
      <c r="O1790" s="2">
        <v>2504.229704315444</v>
      </c>
      <c r="P1790" s="2">
        <v>966.03814992122352</v>
      </c>
      <c r="Q1790" s="2">
        <v>254.23480590190479</v>
      </c>
      <c r="R1790" s="2">
        <v>2565.9848268536425</v>
      </c>
      <c r="S1790" s="2">
        <v>962.60382025388822</v>
      </c>
      <c r="T1790" s="2">
        <v>4.2722966276579371</v>
      </c>
      <c r="U1790" s="2">
        <v>61.75512253819852</v>
      </c>
      <c r="V1790" s="2">
        <v>-3.4343296673353052</v>
      </c>
    </row>
    <row r="1791" spans="1:22" ht="15">
      <c r="A1791" s="2">
        <v>1790</v>
      </c>
      <c r="B1791" s="2" t="s">
        <v>78</v>
      </c>
      <c r="C1791" s="2" t="s">
        <v>81</v>
      </c>
      <c r="D1791" s="2">
        <v>981.99396618874744</v>
      </c>
      <c r="E1791" s="2">
        <v>1215.2489232597873</v>
      </c>
      <c r="F1791" s="2">
        <v>514.57426445558667</v>
      </c>
      <c r="G1791" s="2">
        <v>124.98132783919573</v>
      </c>
      <c r="H1791" s="2">
        <v>17.128990682307631</v>
      </c>
      <c r="I1791" s="2">
        <v>0.84221033844631166</v>
      </c>
      <c r="J1791" s="2">
        <v>6</v>
      </c>
      <c r="K1791" s="2">
        <v>194.32872473803181</v>
      </c>
      <c r="L1791" s="2">
        <v>13450</v>
      </c>
      <c r="M1791" s="2">
        <v>1200</v>
      </c>
      <c r="N1791" s="2">
        <v>249.9705928390087</v>
      </c>
      <c r="O1791" s="2">
        <v>2504.0547326108103</v>
      </c>
      <c r="P1791" s="2">
        <v>981.99396618874744</v>
      </c>
      <c r="Q1791" s="2">
        <v>249.588105598856</v>
      </c>
      <c r="R1791" s="2">
        <v>2574.5972038703926</v>
      </c>
      <c r="S1791" s="2">
        <v>978.46898594765719</v>
      </c>
      <c r="T1791" s="2">
        <v>-0.38248724015269886</v>
      </c>
      <c r="U1791" s="2">
        <v>70.542471259582271</v>
      </c>
      <c r="V1791" s="2">
        <v>-3.5249802410902475</v>
      </c>
    </row>
    <row r="1792" spans="1:22" ht="15">
      <c r="A1792" s="2">
        <v>1791</v>
      </c>
      <c r="B1792" s="2" t="s">
        <v>78</v>
      </c>
      <c r="C1792" s="2" t="s">
        <v>81</v>
      </c>
      <c r="D1792" s="2">
        <v>1064.2925188178197</v>
      </c>
      <c r="E1792" s="2">
        <v>774.61351781385019</v>
      </c>
      <c r="F1792" s="2">
        <v>700.26663467288017</v>
      </c>
      <c r="G1792" s="2">
        <v>120.31629062956199</v>
      </c>
      <c r="H1792" s="2">
        <v>10.875590509735048</v>
      </c>
      <c r="I1792" s="2">
        <v>0.79473044769605627</v>
      </c>
      <c r="J1792" s="2">
        <v>7</v>
      </c>
      <c r="K1792" s="2">
        <v>191.31239886847004</v>
      </c>
      <c r="L1792" s="2">
        <v>13405</v>
      </c>
      <c r="M1792" s="2">
        <v>1200</v>
      </c>
      <c r="N1792" s="2">
        <v>249.97462320416409</v>
      </c>
      <c r="O1792" s="2">
        <v>2504.0859575346685</v>
      </c>
      <c r="P1792" s="2">
        <v>1064.2925188178197</v>
      </c>
      <c r="Q1792" s="2">
        <v>249.68856945066474</v>
      </c>
      <c r="R1792" s="2">
        <v>2475.1086334015713</v>
      </c>
      <c r="S1792" s="2">
        <v>1074.1449895554417</v>
      </c>
      <c r="T1792" s="2">
        <v>-0.28605375349934548</v>
      </c>
      <c r="U1792" s="2">
        <v>-28.977324133097227</v>
      </c>
      <c r="V1792" s="2">
        <v>9.8524707376220704</v>
      </c>
    </row>
    <row r="1793" spans="1:22" ht="15">
      <c r="A1793" s="2">
        <v>1792</v>
      </c>
      <c r="B1793" s="2" t="s">
        <v>78</v>
      </c>
      <c r="C1793" s="2" t="s">
        <v>81</v>
      </c>
      <c r="D1793" s="2">
        <v>1092.3430310445838</v>
      </c>
      <c r="E1793" s="2">
        <v>683.02528746426105</v>
      </c>
      <c r="F1793" s="2">
        <v>362.34500398859382</v>
      </c>
      <c r="G1793" s="2">
        <v>243.86956453789026</v>
      </c>
      <c r="H1793" s="2">
        <v>12.041789398994297</v>
      </c>
      <c r="I1793" s="2">
        <v>0.85584090667776769</v>
      </c>
      <c r="J1793" s="2">
        <v>7</v>
      </c>
      <c r="K1793" s="2">
        <v>182.3341268422152</v>
      </c>
      <c r="L1793" s="2">
        <v>16590</v>
      </c>
      <c r="M1793" s="2">
        <v>1200</v>
      </c>
      <c r="N1793" s="2">
        <v>250.03165533289203</v>
      </c>
      <c r="O1793" s="2">
        <v>2502.3049230496936</v>
      </c>
      <c r="P1793" s="2">
        <v>1092.3430310445838</v>
      </c>
      <c r="Q1793" s="2">
        <v>249.52519251328647</v>
      </c>
      <c r="R1793" s="2">
        <v>2448.8326322626294</v>
      </c>
      <c r="S1793" s="2">
        <v>1104.1933838687648</v>
      </c>
      <c r="T1793" s="2">
        <v>-0.50646281960555939</v>
      </c>
      <c r="U1793" s="2">
        <v>-53.472290787064139</v>
      </c>
      <c r="V1793" s="2">
        <v>11.850352824181073</v>
      </c>
    </row>
    <row r="1794" spans="1:22" ht="15">
      <c r="A1794" s="2">
        <v>1793</v>
      </c>
      <c r="B1794" s="2" t="s">
        <v>78</v>
      </c>
      <c r="C1794" s="2" t="s">
        <v>81</v>
      </c>
      <c r="D1794" s="2">
        <v>965.26214284822345</v>
      </c>
      <c r="E1794" s="2">
        <v>1049.5167519315146</v>
      </c>
      <c r="F1794" s="2">
        <v>426.89414564520121</v>
      </c>
      <c r="G1794" s="2">
        <v>281.37954229721799</v>
      </c>
      <c r="H1794" s="2">
        <v>16.06601575948298</v>
      </c>
      <c r="I1794" s="2">
        <v>0.84751310984836892</v>
      </c>
      <c r="J1794" s="2">
        <v>6</v>
      </c>
      <c r="K1794" s="2">
        <v>189.82246048892415</v>
      </c>
      <c r="L1794" s="2">
        <v>14195</v>
      </c>
      <c r="M1794" s="2">
        <v>1200</v>
      </c>
      <c r="N1794" s="2">
        <v>250.01778342057111</v>
      </c>
      <c r="O1794" s="2">
        <v>2503.5706711787948</v>
      </c>
      <c r="P1794" s="2">
        <v>965.26214284822345</v>
      </c>
      <c r="Q1794" s="2">
        <v>250.7337696349833</v>
      </c>
      <c r="R1794" s="2">
        <v>2521.8088052200183</v>
      </c>
      <c r="S1794" s="2">
        <v>970.13225041211479</v>
      </c>
      <c r="T1794" s="2">
        <v>0.71598621441219734</v>
      </c>
      <c r="U1794" s="2">
        <v>18.238134041223475</v>
      </c>
      <c r="V1794" s="2">
        <v>4.870107563891338</v>
      </c>
    </row>
    <row r="1795" spans="1:22" ht="15">
      <c r="A1795" s="2">
        <v>1794</v>
      </c>
      <c r="B1795" s="2" t="s">
        <v>78</v>
      </c>
      <c r="C1795" s="2" t="s">
        <v>81</v>
      </c>
      <c r="D1795" s="2">
        <v>995.95499389106408</v>
      </c>
      <c r="E1795" s="2">
        <v>693.67245056200773</v>
      </c>
      <c r="F1795" s="2">
        <v>497.20978969708085</v>
      </c>
      <c r="G1795" s="2">
        <v>123.51420165039599</v>
      </c>
      <c r="H1795" s="2">
        <v>11.125682436395437</v>
      </c>
      <c r="I1795" s="2">
        <v>0.79557116164360198</v>
      </c>
      <c r="J1795" s="2">
        <v>7</v>
      </c>
      <c r="K1795" s="2">
        <v>178.83916826200712</v>
      </c>
      <c r="L1795" s="2">
        <v>16270</v>
      </c>
      <c r="M1795" s="2">
        <v>1200</v>
      </c>
      <c r="N1795" s="2">
        <v>249.99354390789446</v>
      </c>
      <c r="O1795" s="2">
        <v>2502.4513645676434</v>
      </c>
      <c r="P1795" s="2">
        <v>995.95499389106408</v>
      </c>
      <c r="Q1795" s="2">
        <v>249.90902592361419</v>
      </c>
      <c r="R1795" s="2">
        <v>2445.6108034479444</v>
      </c>
      <c r="S1795" s="2">
        <v>1006.5630276833608</v>
      </c>
      <c r="T1795" s="2">
        <v>-8.451798428026791E-2</v>
      </c>
      <c r="U1795" s="2">
        <v>-56.840561119699032</v>
      </c>
      <c r="V1795" s="2">
        <v>10.608033792296737</v>
      </c>
    </row>
    <row r="1796" spans="1:22" ht="15">
      <c r="A1796" s="2">
        <v>1795</v>
      </c>
      <c r="B1796" s="2" t="s">
        <v>79</v>
      </c>
      <c r="C1796" s="2" t="s">
        <v>81</v>
      </c>
      <c r="D1796" s="2">
        <v>1015.916833630763</v>
      </c>
      <c r="E1796" s="2">
        <v>829.27424736553803</v>
      </c>
      <c r="F1796" s="2">
        <v>546.94787971675396</v>
      </c>
      <c r="G1796" s="2">
        <v>307.44544938905165</v>
      </c>
      <c r="H1796" s="2">
        <v>25.21819478739053</v>
      </c>
      <c r="I1796" s="2">
        <v>0.84368356198770933</v>
      </c>
      <c r="J1796" s="2">
        <v>7</v>
      </c>
      <c r="K1796" s="2">
        <v>172.02062807889624</v>
      </c>
      <c r="L1796" s="2">
        <v>12700</v>
      </c>
      <c r="M1796" s="2">
        <v>1200</v>
      </c>
      <c r="N1796" s="2">
        <v>249.96293156448695</v>
      </c>
      <c r="O1796" s="2">
        <v>2504.6009656961551</v>
      </c>
      <c r="P1796" s="2">
        <v>1015.916833630763</v>
      </c>
      <c r="Q1796" s="2">
        <v>251.03759007526054</v>
      </c>
      <c r="R1796" s="2">
        <v>2511.5307688956718</v>
      </c>
      <c r="S1796" s="2">
        <v>1006.2055693296439</v>
      </c>
      <c r="T1796" s="2">
        <v>1.0746585107735882</v>
      </c>
      <c r="U1796" s="2">
        <v>6.9298031995167548</v>
      </c>
      <c r="V1796" s="2">
        <v>-9.7112643011190585</v>
      </c>
    </row>
    <row r="1797" spans="1:22" ht="15">
      <c r="A1797" s="2">
        <v>1796</v>
      </c>
      <c r="B1797" s="2" t="s">
        <v>79</v>
      </c>
      <c r="C1797" s="2" t="s">
        <v>81</v>
      </c>
      <c r="D1797" s="2">
        <v>1066.085368336644</v>
      </c>
      <c r="E1797" s="2">
        <v>743.60990938730538</v>
      </c>
      <c r="F1797" s="2">
        <v>588.68743805214763</v>
      </c>
      <c r="G1797" s="2">
        <v>143.90683760400862</v>
      </c>
      <c r="H1797" s="2">
        <v>15.733422897290438</v>
      </c>
      <c r="I1797" s="2">
        <v>0.84390511563047776</v>
      </c>
      <c r="J1797" s="2">
        <v>7</v>
      </c>
      <c r="K1797" s="2">
        <v>180.46804900405971</v>
      </c>
      <c r="L1797" s="2">
        <v>14485</v>
      </c>
      <c r="M1797" s="2">
        <v>1200</v>
      </c>
      <c r="N1797" s="2">
        <v>249.96546189830156</v>
      </c>
      <c r="O1797" s="2">
        <v>2503.393279801975</v>
      </c>
      <c r="P1797" s="2">
        <v>1066.085368336644</v>
      </c>
      <c r="Q1797" s="2">
        <v>247.82650646347935</v>
      </c>
      <c r="R1797" s="2">
        <v>2446.4305073391829</v>
      </c>
      <c r="S1797" s="2">
        <v>1069.8174215375518</v>
      </c>
      <c r="T1797" s="2">
        <v>-2.1389554348222077</v>
      </c>
      <c r="U1797" s="2">
        <v>-56.962772462792145</v>
      </c>
      <c r="V1797" s="2">
        <v>3.7320532009077851</v>
      </c>
    </row>
    <row r="1798" spans="1:22" ht="15">
      <c r="A1798" s="2">
        <v>1797</v>
      </c>
      <c r="B1798" s="2" t="s">
        <v>79</v>
      </c>
      <c r="C1798" s="2" t="s">
        <v>81</v>
      </c>
      <c r="D1798" s="2">
        <v>1049.5590934995562</v>
      </c>
      <c r="E1798" s="2">
        <v>1187.2426936286502</v>
      </c>
      <c r="F1798" s="2">
        <v>687.26548384875059</v>
      </c>
      <c r="G1798" s="2">
        <v>157.4565816973336</v>
      </c>
      <c r="H1798" s="2">
        <v>27.858673773705959</v>
      </c>
      <c r="I1798" s="2">
        <v>0.79049850600073113</v>
      </c>
      <c r="J1798" s="2">
        <v>7</v>
      </c>
      <c r="K1798" s="2">
        <v>189.67399965831282</v>
      </c>
      <c r="L1798" s="2">
        <v>10525</v>
      </c>
      <c r="M1798" s="2">
        <v>1195</v>
      </c>
      <c r="N1798" s="2">
        <v>250.00814540937114</v>
      </c>
      <c r="O1798" s="2">
        <v>2496.1841879508738</v>
      </c>
      <c r="P1798" s="2">
        <v>1049.5590934995562</v>
      </c>
      <c r="Q1798" s="2">
        <v>248.6462357504019</v>
      </c>
      <c r="R1798" s="2">
        <v>2524.896446096574</v>
      </c>
      <c r="S1798" s="2">
        <v>1032.0329984109292</v>
      </c>
      <c r="T1798" s="2">
        <v>-1.361909658969239</v>
      </c>
      <c r="U1798" s="2">
        <v>28.712258145700162</v>
      </c>
      <c r="V1798" s="2">
        <v>-17.526095088627017</v>
      </c>
    </row>
    <row r="1799" spans="1:22" ht="15">
      <c r="A1799" s="2">
        <v>1798</v>
      </c>
      <c r="B1799" s="2" t="s">
        <v>80</v>
      </c>
      <c r="C1799" s="2" t="s">
        <v>81</v>
      </c>
      <c r="D1799" s="2">
        <v>961.03551826672629</v>
      </c>
      <c r="E1799" s="2">
        <v>952.963513485156</v>
      </c>
      <c r="F1799" s="2">
        <v>716.60188408568501</v>
      </c>
      <c r="G1799" s="2">
        <v>139.70932124182582</v>
      </c>
      <c r="H1799" s="2">
        <v>27.092219813261181</v>
      </c>
      <c r="I1799" s="2">
        <v>0.85483961263205854</v>
      </c>
      <c r="J1799" s="2">
        <v>6</v>
      </c>
      <c r="K1799" s="2">
        <v>187.37150690129454</v>
      </c>
      <c r="L1799" s="2">
        <v>13790</v>
      </c>
      <c r="M1799" s="2">
        <v>1200</v>
      </c>
      <c r="N1799" s="2">
        <v>249.9986652175981</v>
      </c>
      <c r="O1799" s="2">
        <v>2503.8275571369873</v>
      </c>
      <c r="P1799" s="2">
        <v>961.03551826672629</v>
      </c>
      <c r="Q1799" s="2">
        <v>251.15173601018617</v>
      </c>
      <c r="R1799" s="2">
        <v>2548.0554359235111</v>
      </c>
      <c r="S1799" s="2">
        <v>946.89767348860642</v>
      </c>
      <c r="T1799" s="2">
        <v>1.1530707925880677</v>
      </c>
      <c r="U1799" s="2">
        <v>44.227878786523888</v>
      </c>
      <c r="V1799" s="2">
        <v>-14.13784477811987</v>
      </c>
    </row>
    <row r="1800" spans="1:22" ht="15">
      <c r="A1800" s="2">
        <v>1799</v>
      </c>
      <c r="B1800" s="2" t="s">
        <v>80</v>
      </c>
      <c r="C1800" s="2" t="s">
        <v>81</v>
      </c>
      <c r="D1800" s="2">
        <v>1085.9739377396181</v>
      </c>
      <c r="E1800" s="2">
        <v>834.54701305599883</v>
      </c>
      <c r="F1800" s="2">
        <v>362.52382695674896</v>
      </c>
      <c r="G1800" s="2">
        <v>278.43273231526837</v>
      </c>
      <c r="H1800" s="2">
        <v>12.644117745570838</v>
      </c>
      <c r="I1800" s="2">
        <v>0.80681254178052775</v>
      </c>
      <c r="J1800" s="2">
        <v>7</v>
      </c>
      <c r="K1800" s="2">
        <v>192.2864679575149</v>
      </c>
      <c r="L1800" s="2">
        <v>14495</v>
      </c>
      <c r="M1800" s="2">
        <v>1200</v>
      </c>
      <c r="N1800" s="2">
        <v>250.01924997850293</v>
      </c>
      <c r="O1800" s="2">
        <v>2503.3892013952359</v>
      </c>
      <c r="P1800" s="2">
        <v>1085.9739377396181</v>
      </c>
      <c r="Q1800" s="2">
        <v>250.43668781805957</v>
      </c>
      <c r="R1800" s="2">
        <v>2452.8245397131927</v>
      </c>
      <c r="S1800" s="2">
        <v>1098.2950535252555</v>
      </c>
      <c r="T1800" s="2">
        <v>0.41743783955664071</v>
      </c>
      <c r="U1800" s="2">
        <v>-50.564661682043152</v>
      </c>
      <c r="V1800" s="2">
        <v>12.321115785637403</v>
      </c>
    </row>
    <row r="1801" spans="1:22" ht="15">
      <c r="A1801" s="2">
        <v>1800</v>
      </c>
      <c r="B1801" s="2" t="s">
        <v>80</v>
      </c>
      <c r="C1801" s="2" t="s">
        <v>81</v>
      </c>
      <c r="D1801" s="2">
        <v>952.14709982974455</v>
      </c>
      <c r="E1801" s="2">
        <v>759.2686397023499</v>
      </c>
      <c r="F1801" s="2">
        <v>587.50445311889052</v>
      </c>
      <c r="G1801" s="2">
        <v>201.40931899193674</v>
      </c>
      <c r="H1801" s="2">
        <v>21.702660111244768</v>
      </c>
      <c r="I1801" s="2">
        <v>0.83300279804505406</v>
      </c>
      <c r="J1801" s="2">
        <v>6</v>
      </c>
      <c r="K1801" s="2">
        <v>190.50498230904429</v>
      </c>
      <c r="L1801" s="2">
        <v>16115</v>
      </c>
      <c r="M1801" s="2">
        <v>1200</v>
      </c>
      <c r="N1801" s="2">
        <v>249.98904340668622</v>
      </c>
      <c r="O1801" s="2">
        <v>2502.5248109619829</v>
      </c>
      <c r="P1801" s="2">
        <v>952.14709982974455</v>
      </c>
      <c r="Q1801" s="2">
        <v>250.21648019060925</v>
      </c>
      <c r="R1801" s="2">
        <v>2504.2654315565492</v>
      </c>
      <c r="S1801" s="2">
        <v>948.69539438754191</v>
      </c>
      <c r="T1801" s="2">
        <v>0.22743678392302513</v>
      </c>
      <c r="U1801" s="2">
        <v>1.7406205945662805</v>
      </c>
      <c r="V1801" s="2">
        <v>-3.4517054422026376</v>
      </c>
    </row>
    <row r="1802" spans="1:22" ht="15">
      <c r="A1802" s="2">
        <v>1801</v>
      </c>
      <c r="B1802" s="2" t="s">
        <v>78</v>
      </c>
      <c r="C1802" s="2" t="s">
        <v>81</v>
      </c>
      <c r="D1802" s="2">
        <v>1002.2261472418904</v>
      </c>
      <c r="E1802" s="2">
        <v>656.97468224680051</v>
      </c>
      <c r="F1802" s="2">
        <v>526.25294644385576</v>
      </c>
      <c r="G1802" s="2">
        <v>286.31665509426966</v>
      </c>
      <c r="H1802" s="2">
        <v>11.461724853143096</v>
      </c>
      <c r="I1802" s="2">
        <v>0.7987648699549027</v>
      </c>
      <c r="J1802" s="2">
        <v>7</v>
      </c>
      <c r="K1802" s="2">
        <v>179.24569454310395</v>
      </c>
      <c r="L1802" s="2">
        <v>14555</v>
      </c>
      <c r="M1802" s="2">
        <v>1200</v>
      </c>
      <c r="N1802" s="2">
        <v>250.04018215694512</v>
      </c>
      <c r="O1802" s="2">
        <v>2503.3545111847689</v>
      </c>
      <c r="P1802" s="2">
        <v>1002.2261472418904</v>
      </c>
      <c r="Q1802" s="2">
        <v>250.47044773548745</v>
      </c>
      <c r="R1802" s="2">
        <v>2513.5096530310207</v>
      </c>
      <c r="S1802" s="2">
        <v>1009.8985000155624</v>
      </c>
      <c r="T1802" s="2">
        <v>0.43026557854233261</v>
      </c>
      <c r="U1802" s="2">
        <v>10.155141846251809</v>
      </c>
      <c r="V1802" s="2">
        <v>7.6723527736719461</v>
      </c>
    </row>
    <row r="1803" spans="1:22" ht="15">
      <c r="A1803" s="2">
        <v>1802</v>
      </c>
      <c r="B1803" s="2" t="s">
        <v>78</v>
      </c>
      <c r="C1803" s="2" t="s">
        <v>81</v>
      </c>
      <c r="D1803" s="2">
        <v>1017.7472785697319</v>
      </c>
      <c r="E1803" s="2">
        <v>921.84307503048331</v>
      </c>
      <c r="F1803" s="2">
        <v>533.32879850640893</v>
      </c>
      <c r="G1803" s="2">
        <v>244.22566841356456</v>
      </c>
      <c r="H1803" s="2">
        <v>11.496511195320636</v>
      </c>
      <c r="I1803" s="2">
        <v>0.79474372972268614</v>
      </c>
      <c r="J1803" s="2">
        <v>7</v>
      </c>
      <c r="K1803" s="2">
        <v>182.94258001612303</v>
      </c>
      <c r="L1803" s="2">
        <v>12585</v>
      </c>
      <c r="M1803" s="2">
        <v>1200</v>
      </c>
      <c r="N1803" s="2">
        <v>250.01334460636525</v>
      </c>
      <c r="O1803" s="2">
        <v>2504.6925329712021</v>
      </c>
      <c r="P1803" s="2">
        <v>1017.7472785697319</v>
      </c>
      <c r="Q1803" s="2">
        <v>249.2386356203036</v>
      </c>
      <c r="R1803" s="2">
        <v>2511.1646290462131</v>
      </c>
      <c r="S1803" s="2">
        <v>1022.9419593491089</v>
      </c>
      <c r="T1803" s="2">
        <v>-0.77470898606165406</v>
      </c>
      <c r="U1803" s="2">
        <v>6.4720960750109953</v>
      </c>
      <c r="V1803" s="2">
        <v>5.1946807793769949</v>
      </c>
    </row>
    <row r="1804" spans="1:22" ht="15">
      <c r="A1804" s="2">
        <v>1803</v>
      </c>
      <c r="B1804" s="2" t="s">
        <v>78</v>
      </c>
      <c r="C1804" s="2" t="s">
        <v>81</v>
      </c>
      <c r="D1804" s="2">
        <v>965.48068400006741</v>
      </c>
      <c r="E1804" s="2">
        <v>1124.0967685938813</v>
      </c>
      <c r="F1804" s="2">
        <v>459.03871543705463</v>
      </c>
      <c r="G1804" s="2">
        <v>181.40003281412646</v>
      </c>
      <c r="H1804" s="2">
        <v>25.48004958126694</v>
      </c>
      <c r="I1804" s="2">
        <v>0.84320876194862648</v>
      </c>
      <c r="J1804" s="2">
        <v>6</v>
      </c>
      <c r="K1804" s="2">
        <v>190.83464806684304</v>
      </c>
      <c r="L1804" s="2">
        <v>14140</v>
      </c>
      <c r="M1804" s="2">
        <v>1200</v>
      </c>
      <c r="N1804" s="2">
        <v>250.00495966543335</v>
      </c>
      <c r="O1804" s="2">
        <v>2503.6043264148498</v>
      </c>
      <c r="P1804" s="2">
        <v>965.48068400006741</v>
      </c>
      <c r="Q1804" s="2">
        <v>250.05671808974682</v>
      </c>
      <c r="R1804" s="2">
        <v>2552.7516061555953</v>
      </c>
      <c r="S1804" s="2">
        <v>960.56360135953696</v>
      </c>
      <c r="T1804" s="2">
        <v>5.1758424313476326E-2</v>
      </c>
      <c r="U1804" s="2">
        <v>49.147279740745489</v>
      </c>
      <c r="V1804" s="2">
        <v>-4.9170826405304524</v>
      </c>
    </row>
    <row r="1805" spans="1:22" ht="15">
      <c r="A1805" s="2">
        <v>1804</v>
      </c>
      <c r="B1805" s="2" t="s">
        <v>78</v>
      </c>
      <c r="C1805" s="2" t="s">
        <v>81</v>
      </c>
      <c r="D1805" s="2">
        <v>1006.3589306897484</v>
      </c>
      <c r="E1805" s="2">
        <v>1182.905047154054</v>
      </c>
      <c r="F1805" s="2">
        <v>735.8820210210979</v>
      </c>
      <c r="G1805" s="2">
        <v>308.41708257328719</v>
      </c>
      <c r="H1805" s="2">
        <v>8.2980818781070411</v>
      </c>
      <c r="I1805" s="2">
        <v>0.80250980030745267</v>
      </c>
      <c r="J1805" s="2">
        <v>7</v>
      </c>
      <c r="K1805" s="2">
        <v>179.14492941024312</v>
      </c>
      <c r="L1805" s="2">
        <v>9600</v>
      </c>
      <c r="M1805" s="2">
        <v>1195</v>
      </c>
      <c r="N1805" s="2">
        <v>249.94601638497662</v>
      </c>
      <c r="O1805" s="2">
        <v>2497.3159799656601</v>
      </c>
      <c r="P1805" s="2">
        <v>1006.3589306897484</v>
      </c>
      <c r="Q1805" s="2">
        <v>256.43829817892407</v>
      </c>
      <c r="R1805" s="2">
        <v>2525.3406204399239</v>
      </c>
      <c r="S1805" s="2">
        <v>994.80748122517161</v>
      </c>
      <c r="T1805" s="2">
        <v>6.4922817939474555</v>
      </c>
      <c r="U1805" s="2">
        <v>28.024640474263833</v>
      </c>
      <c r="V1805" s="2">
        <v>-11.551449464576763</v>
      </c>
    </row>
    <row r="1806" spans="1:22" ht="15">
      <c r="A1806" s="2">
        <v>1805</v>
      </c>
      <c r="B1806" s="2" t="s">
        <v>78</v>
      </c>
      <c r="C1806" s="2" t="s">
        <v>81</v>
      </c>
      <c r="D1806" s="2">
        <v>1040.2669237460941</v>
      </c>
      <c r="E1806" s="2">
        <v>758.85420729173347</v>
      </c>
      <c r="F1806" s="2">
        <v>474.8224338516593</v>
      </c>
      <c r="G1806" s="2">
        <v>177.58382645668462</v>
      </c>
      <c r="H1806" s="2">
        <v>10.441982943564653</v>
      </c>
      <c r="I1806" s="2">
        <v>0.8054401938640513</v>
      </c>
      <c r="J1806" s="2">
        <v>7</v>
      </c>
      <c r="K1806" s="2">
        <v>184.50725661232622</v>
      </c>
      <c r="L1806" s="2">
        <v>15155</v>
      </c>
      <c r="M1806" s="2">
        <v>1200</v>
      </c>
      <c r="N1806" s="2">
        <v>250.02186187119818</v>
      </c>
      <c r="O1806" s="2">
        <v>2503.0152294339932</v>
      </c>
      <c r="P1806" s="2">
        <v>1040.2669237460941</v>
      </c>
      <c r="Q1806" s="2">
        <v>250.5184400750291</v>
      </c>
      <c r="R1806" s="2">
        <v>2492.0815101853809</v>
      </c>
      <c r="S1806" s="2">
        <v>1049.3795282806359</v>
      </c>
      <c r="T1806" s="2">
        <v>0.49657820383092144</v>
      </c>
      <c r="U1806" s="2">
        <v>-10.933719248612306</v>
      </c>
      <c r="V1806" s="2">
        <v>9.1126045345417879</v>
      </c>
    </row>
    <row r="1807" spans="1:22" ht="15">
      <c r="A1807" s="2">
        <v>1806</v>
      </c>
      <c r="B1807" s="2" t="s">
        <v>78</v>
      </c>
      <c r="C1807" s="2" t="s">
        <v>81</v>
      </c>
      <c r="D1807" s="2">
        <v>1075.7615218055435</v>
      </c>
      <c r="E1807" s="2">
        <v>1174.1387952817604</v>
      </c>
      <c r="F1807" s="2">
        <v>461.79111050441861</v>
      </c>
      <c r="G1807" s="2">
        <v>325.3997228294611</v>
      </c>
      <c r="H1807" s="2">
        <v>10.874053771141917</v>
      </c>
      <c r="I1807" s="2">
        <v>0.84583106264006347</v>
      </c>
      <c r="J1807" s="2">
        <v>7</v>
      </c>
      <c r="K1807" s="2">
        <v>181.69138518171127</v>
      </c>
      <c r="L1807" s="2">
        <v>10905</v>
      </c>
      <c r="M1807" s="2">
        <v>1195</v>
      </c>
      <c r="N1807" s="2">
        <v>250.02951969246189</v>
      </c>
      <c r="O1807" s="2">
        <v>2495.7747199839555</v>
      </c>
      <c r="P1807" s="2">
        <v>1075.7615218055435</v>
      </c>
      <c r="Q1807" s="2">
        <v>250.80994306001784</v>
      </c>
      <c r="R1807" s="2">
        <v>2506.5510643687467</v>
      </c>
      <c r="S1807" s="2">
        <v>1073.8482420750061</v>
      </c>
      <c r="T1807" s="2">
        <v>0.78042336755595443</v>
      </c>
      <c r="U1807" s="2">
        <v>10.776344384791173</v>
      </c>
      <c r="V1807" s="2">
        <v>-1.913279730537397</v>
      </c>
    </row>
    <row r="1808" spans="1:22" ht="15">
      <c r="A1808" s="2">
        <v>1807</v>
      </c>
      <c r="B1808" s="2" t="s">
        <v>78</v>
      </c>
      <c r="C1808" s="2" t="s">
        <v>81</v>
      </c>
      <c r="D1808" s="2">
        <v>1061.0741568962112</v>
      </c>
      <c r="E1808" s="2">
        <v>1017.810734838713</v>
      </c>
      <c r="F1808" s="2">
        <v>421.90867140889168</v>
      </c>
      <c r="G1808" s="2">
        <v>252.31504659866914</v>
      </c>
      <c r="H1808" s="2">
        <v>9.0521845808252692</v>
      </c>
      <c r="I1808" s="2">
        <v>0.84324102503946052</v>
      </c>
      <c r="J1808" s="2">
        <v>7</v>
      </c>
      <c r="K1808" s="2">
        <v>179.76120458163308</v>
      </c>
      <c r="L1808" s="2">
        <v>12640</v>
      </c>
      <c r="M1808" s="2">
        <v>1200</v>
      </c>
      <c r="N1808" s="2">
        <v>250.01793157490559</v>
      </c>
      <c r="O1808" s="2">
        <v>2504.6496709569087</v>
      </c>
      <c r="P1808" s="2">
        <v>1061.0741568962112</v>
      </c>
      <c r="Q1808" s="2">
        <v>253.61710248121915</v>
      </c>
      <c r="R1808" s="2">
        <v>2559.8284330372048</v>
      </c>
      <c r="S1808" s="2">
        <v>1061.4505314309438</v>
      </c>
      <c r="T1808" s="2">
        <v>3.5991709063135602</v>
      </c>
      <c r="U1808" s="2">
        <v>55.17876208029611</v>
      </c>
      <c r="V1808" s="2">
        <v>0.37637453473257665</v>
      </c>
    </row>
    <row r="1809" spans="1:22" ht="15">
      <c r="A1809" s="2">
        <v>1808</v>
      </c>
      <c r="B1809" s="2" t="s">
        <v>78</v>
      </c>
      <c r="C1809" s="2" t="s">
        <v>81</v>
      </c>
      <c r="D1809" s="2">
        <v>1001.7442159238271</v>
      </c>
      <c r="E1809" s="2">
        <v>714.49015196412802</v>
      </c>
      <c r="F1809" s="2">
        <v>549.16447540745139</v>
      </c>
      <c r="G1809" s="2">
        <v>294.28423572797328</v>
      </c>
      <c r="H1809" s="2">
        <v>10.331304618623108</v>
      </c>
      <c r="I1809" s="2">
        <v>0.80913484691642223</v>
      </c>
      <c r="J1809" s="2">
        <v>7</v>
      </c>
      <c r="K1809" s="2">
        <v>176.86337092750202</v>
      </c>
      <c r="L1809" s="2">
        <v>13725</v>
      </c>
      <c r="M1809" s="2">
        <v>1200</v>
      </c>
      <c r="N1809" s="2">
        <v>249.96411485131685</v>
      </c>
      <c r="O1809" s="2">
        <v>2503.8690737098746</v>
      </c>
      <c r="P1809" s="2">
        <v>1001.7442159238271</v>
      </c>
      <c r="Q1809" s="2">
        <v>250.583682058514</v>
      </c>
      <c r="R1809" s="2">
        <v>2513.8582239431043</v>
      </c>
      <c r="S1809" s="2">
        <v>1002.9631338829103</v>
      </c>
      <c r="T1809" s="2">
        <v>0.61956720719715008</v>
      </c>
      <c r="U1809" s="2">
        <v>9.9891502332297932</v>
      </c>
      <c r="V1809" s="2">
        <v>1.2189179590831145</v>
      </c>
    </row>
    <row r="1810" spans="1:22" ht="15">
      <c r="A1810" s="2">
        <v>1809</v>
      </c>
      <c r="B1810" s="2" t="s">
        <v>78</v>
      </c>
      <c r="C1810" s="2" t="s">
        <v>81</v>
      </c>
      <c r="D1810" s="2">
        <v>968.92948085442185</v>
      </c>
      <c r="E1810" s="2">
        <v>944.62741067400202</v>
      </c>
      <c r="F1810" s="2">
        <v>654.12081573158503</v>
      </c>
      <c r="G1810" s="2">
        <v>327.02050356427208</v>
      </c>
      <c r="H1810" s="2">
        <v>17.918683560565114</v>
      </c>
      <c r="I1810" s="2">
        <v>0.79619546151952825</v>
      </c>
      <c r="J1810" s="2">
        <v>7</v>
      </c>
      <c r="K1810" s="2">
        <v>173.84989484962347</v>
      </c>
      <c r="L1810" s="2">
        <v>11105</v>
      </c>
      <c r="M1810" s="2">
        <v>1195</v>
      </c>
      <c r="N1810" s="2">
        <v>249.9988670032844</v>
      </c>
      <c r="O1810" s="2">
        <v>2495.5685754103547</v>
      </c>
      <c r="P1810" s="2">
        <v>968.92948085442185</v>
      </c>
      <c r="Q1810" s="2">
        <v>252.91965565611724</v>
      </c>
      <c r="R1810" s="2">
        <v>2514.608904376611</v>
      </c>
      <c r="S1810" s="2">
        <v>968.0233845479903</v>
      </c>
      <c r="T1810" s="2">
        <v>2.9207886528328402</v>
      </c>
      <c r="U1810" s="2">
        <v>19.040328966256311</v>
      </c>
      <c r="V1810" s="2">
        <v>-0.90609630643155015</v>
      </c>
    </row>
    <row r="1811" spans="1:22" ht="15">
      <c r="A1811" s="2">
        <v>1810</v>
      </c>
      <c r="B1811" s="2" t="s">
        <v>78</v>
      </c>
      <c r="C1811" s="2" t="s">
        <v>81</v>
      </c>
      <c r="D1811" s="2">
        <v>956.00800175452605</v>
      </c>
      <c r="E1811" s="2">
        <v>619.63280972559005</v>
      </c>
      <c r="F1811" s="2">
        <v>384.49395084753633</v>
      </c>
      <c r="G1811" s="2">
        <v>166.22605283744633</v>
      </c>
      <c r="H1811" s="2">
        <v>28.206229433882982</v>
      </c>
      <c r="I1811" s="2">
        <v>0.80031523013953121</v>
      </c>
      <c r="J1811" s="2">
        <v>6</v>
      </c>
      <c r="K1811" s="2">
        <v>199.0898847836601</v>
      </c>
      <c r="L1811" s="2">
        <v>21320</v>
      </c>
      <c r="M1811" s="2">
        <v>1200</v>
      </c>
      <c r="N1811" s="2">
        <v>250.01871854996796</v>
      </c>
      <c r="O1811" s="2">
        <v>2500.6395923977934</v>
      </c>
      <c r="P1811" s="2">
        <v>956.00800175452605</v>
      </c>
      <c r="Q1811" s="2">
        <v>245.58155969419624</v>
      </c>
      <c r="R1811" s="2">
        <v>2494.4816822487633</v>
      </c>
      <c r="S1811" s="2">
        <v>957.16251236977871</v>
      </c>
      <c r="T1811" s="2">
        <v>-4.4371588557717132</v>
      </c>
      <c r="U1811" s="2">
        <v>-6.1579101490301582</v>
      </c>
      <c r="V1811" s="2">
        <v>1.1545106152526614</v>
      </c>
    </row>
    <row r="1812" spans="1:22" ht="15">
      <c r="A1812" s="2">
        <v>1811</v>
      </c>
      <c r="B1812" s="2" t="s">
        <v>78</v>
      </c>
      <c r="C1812" s="2" t="s">
        <v>81</v>
      </c>
      <c r="D1812" s="2">
        <v>994.54475359525532</v>
      </c>
      <c r="E1812" s="2">
        <v>1212.6827992149629</v>
      </c>
      <c r="F1812" s="2">
        <v>374.49690364301205</v>
      </c>
      <c r="G1812" s="2">
        <v>206.85223360313103</v>
      </c>
      <c r="H1812" s="2">
        <v>10.037661549635231</v>
      </c>
      <c r="I1812" s="2">
        <v>0.80204127904726197</v>
      </c>
      <c r="J1812" s="2">
        <v>7</v>
      </c>
      <c r="K1812" s="2">
        <v>177.14527375816911</v>
      </c>
      <c r="L1812" s="2">
        <v>11920</v>
      </c>
      <c r="M1812" s="2">
        <v>1195</v>
      </c>
      <c r="N1812" s="2">
        <v>249.98927250164505</v>
      </c>
      <c r="O1812" s="2">
        <v>2494.8049044639083</v>
      </c>
      <c r="P1812" s="2">
        <v>994.54475359525532</v>
      </c>
      <c r="Q1812" s="2">
        <v>255.2112461408509</v>
      </c>
      <c r="R1812" s="2">
        <v>2552.01862803621</v>
      </c>
      <c r="S1812" s="2">
        <v>1001.8518166760437</v>
      </c>
      <c r="T1812" s="2">
        <v>5.2219736392058564</v>
      </c>
      <c r="U1812" s="2">
        <v>57.21372357230166</v>
      </c>
      <c r="V1812" s="2">
        <v>7.307063080788339</v>
      </c>
    </row>
    <row r="1813" spans="1:22" ht="15">
      <c r="A1813" s="2">
        <v>1812</v>
      </c>
      <c r="B1813" s="2" t="s">
        <v>78</v>
      </c>
      <c r="C1813" s="2" t="s">
        <v>81</v>
      </c>
      <c r="D1813" s="2">
        <v>1036.0232328413986</v>
      </c>
      <c r="E1813" s="2">
        <v>1063.9072744641453</v>
      </c>
      <c r="F1813" s="2">
        <v>571.21330080553889</v>
      </c>
      <c r="G1813" s="2">
        <v>307.46908047702163</v>
      </c>
      <c r="H1813" s="2">
        <v>10.657424672972411</v>
      </c>
      <c r="I1813" s="2">
        <v>0.83135496528819208</v>
      </c>
      <c r="J1813" s="2">
        <v>7</v>
      </c>
      <c r="K1813" s="2">
        <v>178.026625397055</v>
      </c>
      <c r="L1813" s="2">
        <v>11010</v>
      </c>
      <c r="M1813" s="2">
        <v>1195</v>
      </c>
      <c r="N1813" s="2">
        <v>250.02498122757186</v>
      </c>
      <c r="O1813" s="2">
        <v>2495.6660853919325</v>
      </c>
      <c r="P1813" s="2">
        <v>1036.0232328413986</v>
      </c>
      <c r="Q1813" s="2">
        <v>250.22807062957145</v>
      </c>
      <c r="R1813" s="2">
        <v>2515.784226406819</v>
      </c>
      <c r="S1813" s="2">
        <v>1036.7040549969679</v>
      </c>
      <c r="T1813" s="2">
        <v>0.20308940199959125</v>
      </c>
      <c r="U1813" s="2">
        <v>20.118141014886533</v>
      </c>
      <c r="V1813" s="2">
        <v>0.68082215556933079</v>
      </c>
    </row>
    <row r="1814" spans="1:22" ht="15">
      <c r="A1814" s="2">
        <v>1813</v>
      </c>
      <c r="B1814" s="2" t="s">
        <v>78</v>
      </c>
      <c r="C1814" s="2" t="s">
        <v>81</v>
      </c>
      <c r="D1814" s="2">
        <v>1052.6017003227025</v>
      </c>
      <c r="E1814" s="2">
        <v>732.77265018550679</v>
      </c>
      <c r="F1814" s="2">
        <v>533.99643879383802</v>
      </c>
      <c r="G1814" s="2">
        <v>309.19406398432329</v>
      </c>
      <c r="H1814" s="2">
        <v>13.136603906750679</v>
      </c>
      <c r="I1814" s="2">
        <v>0.84985438956180592</v>
      </c>
      <c r="J1814" s="2">
        <v>7</v>
      </c>
      <c r="K1814" s="2">
        <v>176.93815943247057</v>
      </c>
      <c r="L1814" s="2">
        <v>13570</v>
      </c>
      <c r="M1814" s="2">
        <v>1200</v>
      </c>
      <c r="N1814" s="2">
        <v>250.00052432283906</v>
      </c>
      <c r="O1814" s="2">
        <v>2503.9739967060318</v>
      </c>
      <c r="P1814" s="2">
        <v>1052.6017003227025</v>
      </c>
      <c r="Q1814" s="2">
        <v>251.03296143632559</v>
      </c>
      <c r="R1814" s="2">
        <v>2459.2965585055313</v>
      </c>
      <c r="S1814" s="2">
        <v>1054.9733256512332</v>
      </c>
      <c r="T1814" s="2">
        <v>1.0324371134865373</v>
      </c>
      <c r="U1814" s="2">
        <v>-44.677438200500546</v>
      </c>
      <c r="V1814" s="2">
        <v>2.3716253285306266</v>
      </c>
    </row>
    <row r="1815" spans="1:22" ht="15">
      <c r="A1815" s="2">
        <v>1814</v>
      </c>
      <c r="B1815" s="2" t="s">
        <v>78</v>
      </c>
      <c r="C1815" s="2" t="s">
        <v>81</v>
      </c>
      <c r="D1815" s="2">
        <v>1025.1079623703845</v>
      </c>
      <c r="E1815" s="2">
        <v>1104.7239606967196</v>
      </c>
      <c r="F1815" s="2">
        <v>444.84485508874059</v>
      </c>
      <c r="G1815" s="2">
        <v>159.27735941484571</v>
      </c>
      <c r="H1815" s="2">
        <v>26.101335054729134</v>
      </c>
      <c r="I1815" s="2">
        <v>0.8152173994993791</v>
      </c>
      <c r="J1815" s="2">
        <v>7</v>
      </c>
      <c r="K1815" s="2">
        <v>179.63796493336767</v>
      </c>
      <c r="L1815" s="2">
        <v>12515</v>
      </c>
      <c r="M1815" s="2">
        <v>1200</v>
      </c>
      <c r="N1815" s="2">
        <v>250.00541548412332</v>
      </c>
      <c r="O1815" s="2">
        <v>2504.7475353550763</v>
      </c>
      <c r="P1815" s="2">
        <v>1025.1079623703845</v>
      </c>
      <c r="Q1815" s="2">
        <v>252.05400629898807</v>
      </c>
      <c r="R1815" s="2">
        <v>2498.2391052076659</v>
      </c>
      <c r="S1815" s="2">
        <v>1020.4627936232522</v>
      </c>
      <c r="T1815" s="2">
        <v>2.0485908148647525</v>
      </c>
      <c r="U1815" s="2">
        <v>-6.5084301474103086</v>
      </c>
      <c r="V1815" s="2">
        <v>-4.6451687471322884</v>
      </c>
    </row>
    <row r="1816" spans="1:22" ht="15">
      <c r="A1816" s="2">
        <v>1815</v>
      </c>
      <c r="B1816" s="2" t="s">
        <v>79</v>
      </c>
      <c r="C1816" s="2" t="s">
        <v>81</v>
      </c>
      <c r="D1816" s="2">
        <v>1038.6485618771985</v>
      </c>
      <c r="E1816" s="2">
        <v>959.09830575110391</v>
      </c>
      <c r="F1816" s="2">
        <v>725.89202374219894</v>
      </c>
      <c r="G1816" s="2">
        <v>183.27917052200064</v>
      </c>
      <c r="H1816" s="2">
        <v>14.1890511168167</v>
      </c>
      <c r="I1816" s="2">
        <v>0.80751181956147777</v>
      </c>
      <c r="J1816" s="2">
        <v>7</v>
      </c>
      <c r="K1816" s="2">
        <v>183.74760887467176</v>
      </c>
      <c r="L1816" s="2">
        <v>11445</v>
      </c>
      <c r="M1816" s="2">
        <v>1195</v>
      </c>
      <c r="N1816" s="2">
        <v>249.95997607333763</v>
      </c>
      <c r="O1816" s="2">
        <v>2495.2352555367665</v>
      </c>
      <c r="P1816" s="2">
        <v>1038.6485618771985</v>
      </c>
      <c r="Q1816" s="2">
        <v>252.65585649522046</v>
      </c>
      <c r="R1816" s="2">
        <v>2521.0917074828244</v>
      </c>
      <c r="S1816" s="2">
        <v>1040.1935272252165</v>
      </c>
      <c r="T1816" s="2">
        <v>2.6958804218828334</v>
      </c>
      <c r="U1816" s="2">
        <v>25.856451946057859</v>
      </c>
      <c r="V1816" s="2">
        <v>1.5449653480179677</v>
      </c>
    </row>
    <row r="1817" spans="1:22" ht="15">
      <c r="A1817" s="2">
        <v>1816</v>
      </c>
      <c r="B1817" s="2" t="s">
        <v>79</v>
      </c>
      <c r="C1817" s="2" t="s">
        <v>81</v>
      </c>
      <c r="D1817" s="2">
        <v>1027.935812890064</v>
      </c>
      <c r="E1817" s="2">
        <v>1225.5644618533552</v>
      </c>
      <c r="F1817" s="2">
        <v>558.80654668435454</v>
      </c>
      <c r="G1817" s="2">
        <v>212.21685274038464</v>
      </c>
      <c r="H1817" s="2">
        <v>13.792572011705488</v>
      </c>
      <c r="I1817" s="2">
        <v>0.82856770743615926</v>
      </c>
      <c r="J1817" s="2">
        <v>7</v>
      </c>
      <c r="K1817" s="2">
        <v>177.23110851664913</v>
      </c>
      <c r="L1817" s="2">
        <v>10710</v>
      </c>
      <c r="M1817" s="2">
        <v>1195</v>
      </c>
      <c r="N1817" s="2">
        <v>249.9729846198093</v>
      </c>
      <c r="O1817" s="2">
        <v>2495.9791100194966</v>
      </c>
      <c r="P1817" s="2">
        <v>1027.935812890064</v>
      </c>
      <c r="Q1817" s="2">
        <v>256.01964734926781</v>
      </c>
      <c r="R1817" s="2">
        <v>2569.8020090904988</v>
      </c>
      <c r="S1817" s="2">
        <v>1030.6874836752745</v>
      </c>
      <c r="T1817" s="2">
        <v>6.046662729458518</v>
      </c>
      <c r="U1817" s="2">
        <v>73.822899071002212</v>
      </c>
      <c r="V1817" s="2">
        <v>2.7516707852105355</v>
      </c>
    </row>
    <row r="1818" spans="1:22" ht="15">
      <c r="A1818" s="2">
        <v>1817</v>
      </c>
      <c r="B1818" s="2" t="s">
        <v>79</v>
      </c>
      <c r="C1818" s="2" t="s">
        <v>81</v>
      </c>
      <c r="D1818" s="2">
        <v>1013.7828454375267</v>
      </c>
      <c r="E1818" s="2">
        <v>1146.9190786010586</v>
      </c>
      <c r="F1818" s="2">
        <v>677.84775961190462</v>
      </c>
      <c r="G1818" s="2">
        <v>134.05949667328969</v>
      </c>
      <c r="H1818" s="2">
        <v>24.959104863926768</v>
      </c>
      <c r="I1818" s="2">
        <v>0.85750902806641538</v>
      </c>
      <c r="J1818" s="2">
        <v>6</v>
      </c>
      <c r="K1818" s="2">
        <v>197.04026668257376</v>
      </c>
      <c r="L1818" s="2">
        <v>12735</v>
      </c>
      <c r="M1818" s="2">
        <v>1200</v>
      </c>
      <c r="N1818" s="2">
        <v>249.95612869014971</v>
      </c>
      <c r="O1818" s="2">
        <v>2504.5737598805476</v>
      </c>
      <c r="P1818" s="2">
        <v>1013.7828454375267</v>
      </c>
      <c r="Q1818" s="2">
        <v>251.02715809684096</v>
      </c>
      <c r="R1818" s="2">
        <v>2508.0841249120094</v>
      </c>
      <c r="S1818" s="2">
        <v>998.26691054555056</v>
      </c>
      <c r="T1818" s="2">
        <v>1.0710294066912525</v>
      </c>
      <c r="U1818" s="2">
        <v>3.510365031461788</v>
      </c>
      <c r="V1818" s="2">
        <v>-15.515934891976144</v>
      </c>
    </row>
    <row r="1819" spans="1:22" ht="15">
      <c r="A1819" s="2">
        <v>1818</v>
      </c>
      <c r="B1819" s="2" t="s">
        <v>80</v>
      </c>
      <c r="C1819" s="2" t="s">
        <v>81</v>
      </c>
      <c r="D1819" s="2">
        <v>999.48485555360094</v>
      </c>
      <c r="E1819" s="2">
        <v>879.93573194835335</v>
      </c>
      <c r="F1819" s="2">
        <v>674.71724012866616</v>
      </c>
      <c r="G1819" s="2">
        <v>116.59522323869169</v>
      </c>
      <c r="H1819" s="2">
        <v>27.62209713133052</v>
      </c>
      <c r="I1819" s="2">
        <v>0.82952143788803379</v>
      </c>
      <c r="J1819" s="2">
        <v>7</v>
      </c>
      <c r="K1819" s="2">
        <v>172.12761994060008</v>
      </c>
      <c r="L1819" s="2">
        <v>12795</v>
      </c>
      <c r="M1819" s="2">
        <v>1200</v>
      </c>
      <c r="N1819" s="2">
        <v>249.97516929448835</v>
      </c>
      <c r="O1819" s="2">
        <v>2504.5286699945718</v>
      </c>
      <c r="P1819" s="2">
        <v>999.48485555360094</v>
      </c>
      <c r="Q1819" s="2">
        <v>249.97735518499277</v>
      </c>
      <c r="R1819" s="2">
        <v>2494.2443721998757</v>
      </c>
      <c r="S1819" s="2">
        <v>992.88065504992835</v>
      </c>
      <c r="T1819" s="2">
        <v>2.1858905044211951E-3</v>
      </c>
      <c r="U1819" s="2">
        <v>-10.284297794696158</v>
      </c>
      <c r="V1819" s="2">
        <v>-6.6042005036725868</v>
      </c>
    </row>
    <row r="1820" spans="1:22" ht="15">
      <c r="A1820" s="2">
        <v>1819</v>
      </c>
      <c r="B1820" s="2" t="s">
        <v>80</v>
      </c>
      <c r="C1820" s="2" t="s">
        <v>81</v>
      </c>
      <c r="D1820" s="2">
        <v>969.66778493952006</v>
      </c>
      <c r="E1820" s="2">
        <v>838.92548574367538</v>
      </c>
      <c r="F1820" s="2">
        <v>533.13949145376682</v>
      </c>
      <c r="G1820" s="2">
        <v>302.77454397408292</v>
      </c>
      <c r="H1820" s="2">
        <v>17.400639914907515</v>
      </c>
      <c r="I1820" s="2">
        <v>0.8451977262902074</v>
      </c>
      <c r="J1820" s="2">
        <v>6</v>
      </c>
      <c r="K1820" s="2">
        <v>191.21123077232355</v>
      </c>
      <c r="L1820" s="2">
        <v>14895</v>
      </c>
      <c r="M1820" s="2">
        <v>1200</v>
      </c>
      <c r="N1820" s="2">
        <v>249.96668781480398</v>
      </c>
      <c r="O1820" s="2">
        <v>2503.1567792748374</v>
      </c>
      <c r="P1820" s="2">
        <v>969.66778493952006</v>
      </c>
      <c r="Q1820" s="2">
        <v>247.89110571133014</v>
      </c>
      <c r="R1820" s="2">
        <v>2473.3887357186068</v>
      </c>
      <c r="S1820" s="2">
        <v>975.6024644976884</v>
      </c>
      <c r="T1820" s="2">
        <v>-2.0755821034738346</v>
      </c>
      <c r="U1820" s="2">
        <v>-29.768043556230623</v>
      </c>
      <c r="V1820" s="2">
        <v>5.9346795581683409</v>
      </c>
    </row>
    <row r="1821" spans="1:22" ht="15">
      <c r="A1821" s="2">
        <v>1820</v>
      </c>
      <c r="B1821" s="2" t="s">
        <v>80</v>
      </c>
      <c r="C1821" s="2" t="s">
        <v>81</v>
      </c>
      <c r="D1821" s="2">
        <v>1023.4760828665458</v>
      </c>
      <c r="E1821" s="2">
        <v>653.05574308149517</v>
      </c>
      <c r="F1821" s="2">
        <v>666.42886651679873</v>
      </c>
      <c r="G1821" s="2">
        <v>238.41628971975297</v>
      </c>
      <c r="H1821" s="2">
        <v>24.16232332168147</v>
      </c>
      <c r="I1821" s="2">
        <v>0.81042891852557664</v>
      </c>
      <c r="J1821" s="2">
        <v>7</v>
      </c>
      <c r="K1821" s="2">
        <v>180.41171241388861</v>
      </c>
      <c r="L1821" s="2">
        <v>13725</v>
      </c>
      <c r="M1821" s="2">
        <v>1200</v>
      </c>
      <c r="N1821" s="2">
        <v>249.95832426029233</v>
      </c>
      <c r="O1821" s="2">
        <v>2503.8688527151103</v>
      </c>
      <c r="P1821" s="2">
        <v>1023.4760828665458</v>
      </c>
      <c r="Q1821" s="2">
        <v>245.75162608481585</v>
      </c>
      <c r="R1821" s="2">
        <v>2488.9744075996473</v>
      </c>
      <c r="S1821" s="2">
        <v>1017.309925959368</v>
      </c>
      <c r="T1821" s="2">
        <v>-4.2066981754764754</v>
      </c>
      <c r="U1821" s="2">
        <v>-14.894445115462986</v>
      </c>
      <c r="V1821" s="2">
        <v>-6.1661569071777649</v>
      </c>
    </row>
    <row r="1822" spans="1:22" ht="15">
      <c r="A1822" s="2">
        <v>1821</v>
      </c>
      <c r="B1822" s="2" t="s">
        <v>78</v>
      </c>
      <c r="C1822" s="2" t="s">
        <v>81</v>
      </c>
      <c r="D1822" s="2">
        <v>959.35004050843418</v>
      </c>
      <c r="E1822" s="2">
        <v>650.21248840494081</v>
      </c>
      <c r="F1822" s="2">
        <v>655.05010243505239</v>
      </c>
      <c r="G1822" s="2">
        <v>90.114309203345329</v>
      </c>
      <c r="H1822" s="2">
        <v>14.999844860285521</v>
      </c>
      <c r="I1822" s="2">
        <v>0.79623497050488368</v>
      </c>
      <c r="J1822" s="2">
        <v>7</v>
      </c>
      <c r="K1822" s="2">
        <v>172.12256540304591</v>
      </c>
      <c r="L1822" s="2">
        <v>15325</v>
      </c>
      <c r="M1822" s="2">
        <v>1200</v>
      </c>
      <c r="N1822" s="2">
        <v>249.98101699690207</v>
      </c>
      <c r="O1822" s="2">
        <v>2502.9227680105323</v>
      </c>
      <c r="P1822" s="2">
        <v>959.35004050843418</v>
      </c>
      <c r="Q1822" s="2">
        <v>247.72463095875224</v>
      </c>
      <c r="R1822" s="2">
        <v>2457.9444626905824</v>
      </c>
      <c r="S1822" s="2">
        <v>968.02140922806223</v>
      </c>
      <c r="T1822" s="2">
        <v>-2.2563860381498273</v>
      </c>
      <c r="U1822" s="2">
        <v>-44.978305319949868</v>
      </c>
      <c r="V1822" s="2">
        <v>8.6713687196280489</v>
      </c>
    </row>
    <row r="1823" spans="1:22" ht="15">
      <c r="A1823" s="2">
        <v>1822</v>
      </c>
      <c r="B1823" s="2" t="s">
        <v>78</v>
      </c>
      <c r="C1823" s="2" t="s">
        <v>81</v>
      </c>
      <c r="D1823" s="2">
        <v>1083.9965432998724</v>
      </c>
      <c r="E1823" s="2">
        <v>953.80113634746522</v>
      </c>
      <c r="F1823" s="2">
        <v>713.02950577810407</v>
      </c>
      <c r="G1823" s="2">
        <v>194.08280488103628</v>
      </c>
      <c r="H1823" s="2">
        <v>29.10342081123963</v>
      </c>
      <c r="I1823" s="2">
        <v>0.84956148560624578</v>
      </c>
      <c r="J1823" s="2">
        <v>7</v>
      </c>
      <c r="K1823" s="2">
        <v>182.27833025214585</v>
      </c>
      <c r="L1823" s="2">
        <v>11490</v>
      </c>
      <c r="M1823" s="2">
        <v>1195</v>
      </c>
      <c r="N1823" s="2">
        <v>249.95511382257772</v>
      </c>
      <c r="O1823" s="2">
        <v>2495.1926129020576</v>
      </c>
      <c r="P1823" s="2">
        <v>1083.9965432998724</v>
      </c>
      <c r="Q1823" s="2">
        <v>250.11109928940922</v>
      </c>
      <c r="R1823" s="2">
        <v>2477.2850157988746</v>
      </c>
      <c r="S1823" s="2">
        <v>1063.2450493929689</v>
      </c>
      <c r="T1823" s="2">
        <v>0.15598546683150971</v>
      </c>
      <c r="U1823" s="2">
        <v>-17.907597103182979</v>
      </c>
      <c r="V1823" s="2">
        <v>-20.751493906903534</v>
      </c>
    </row>
    <row r="1824" spans="1:22" ht="15">
      <c r="A1824" s="2">
        <v>1823</v>
      </c>
      <c r="B1824" s="2" t="s">
        <v>78</v>
      </c>
      <c r="C1824" s="2" t="s">
        <v>81</v>
      </c>
      <c r="D1824" s="2">
        <v>1054.6879630768672</v>
      </c>
      <c r="E1824" s="2">
        <v>674.3197790463455</v>
      </c>
      <c r="F1824" s="2">
        <v>709.17618498206139</v>
      </c>
      <c r="G1824" s="2">
        <v>226.08403429156169</v>
      </c>
      <c r="H1824" s="2">
        <v>15.585261634550989</v>
      </c>
      <c r="I1824" s="2">
        <v>0.84986828395864</v>
      </c>
      <c r="J1824" s="2">
        <v>7</v>
      </c>
      <c r="K1824" s="2">
        <v>177.28595342935938</v>
      </c>
      <c r="L1824" s="2">
        <v>13285</v>
      </c>
      <c r="M1824" s="2">
        <v>1200</v>
      </c>
      <c r="N1824" s="2">
        <v>249.97077939512209</v>
      </c>
      <c r="O1824" s="2">
        <v>2504.1696870862202</v>
      </c>
      <c r="P1824" s="2">
        <v>1054.6879630768672</v>
      </c>
      <c r="Q1824" s="2">
        <v>253.10327571122491</v>
      </c>
      <c r="R1824" s="2">
        <v>2474.6337040973158</v>
      </c>
      <c r="S1824" s="2">
        <v>1059.8309975310278</v>
      </c>
      <c r="T1824" s="2">
        <v>3.1324963161028165</v>
      </c>
      <c r="U1824" s="2">
        <v>-29.535982988904379</v>
      </c>
      <c r="V1824" s="2">
        <v>5.1430344541606701</v>
      </c>
    </row>
    <row r="1825" spans="1:22" ht="15">
      <c r="A1825" s="2">
        <v>1824</v>
      </c>
      <c r="B1825" s="2" t="s">
        <v>78</v>
      </c>
      <c r="C1825" s="2" t="s">
        <v>81</v>
      </c>
      <c r="D1825" s="2">
        <v>1020.633065502625</v>
      </c>
      <c r="E1825" s="2">
        <v>984.65246185660362</v>
      </c>
      <c r="F1825" s="2">
        <v>437.70218184217811</v>
      </c>
      <c r="G1825" s="2">
        <v>185.41127540636808</v>
      </c>
      <c r="H1825" s="2">
        <v>9.0747244670055807</v>
      </c>
      <c r="I1825" s="2">
        <v>0.79934480230323979</v>
      </c>
      <c r="J1825" s="2">
        <v>7</v>
      </c>
      <c r="K1825" s="2">
        <v>182.40529396464328</v>
      </c>
      <c r="L1825" s="2">
        <v>13300</v>
      </c>
      <c r="M1825" s="2">
        <v>1200</v>
      </c>
      <c r="N1825" s="2">
        <v>249.97082527925073</v>
      </c>
      <c r="O1825" s="2">
        <v>2504.1591269682949</v>
      </c>
      <c r="P1825" s="2">
        <v>1020.633065502625</v>
      </c>
      <c r="Q1825" s="2">
        <v>252.24573424249431</v>
      </c>
      <c r="R1825" s="2">
        <v>2527.5979145193114</v>
      </c>
      <c r="S1825" s="2">
        <v>1030.1569347081386</v>
      </c>
      <c r="T1825" s="2">
        <v>2.2749089632435755</v>
      </c>
      <c r="U1825" s="2">
        <v>23.438787551016503</v>
      </c>
      <c r="V1825" s="2">
        <v>9.5238692055136198</v>
      </c>
    </row>
    <row r="1826" spans="1:22" ht="15">
      <c r="A1826" s="2">
        <v>1825</v>
      </c>
      <c r="B1826" s="2" t="s">
        <v>78</v>
      </c>
      <c r="C1826" s="2" t="s">
        <v>81</v>
      </c>
      <c r="D1826" s="2">
        <v>1020.8384222351015</v>
      </c>
      <c r="E1826" s="2">
        <v>860.78467214247212</v>
      </c>
      <c r="F1826" s="2">
        <v>602.21054200083017</v>
      </c>
      <c r="G1826" s="2">
        <v>109.28195061394945</v>
      </c>
      <c r="H1826" s="2">
        <v>16.611915612593293</v>
      </c>
      <c r="I1826" s="2">
        <v>0.84099992308067162</v>
      </c>
      <c r="J1826" s="2">
        <v>7</v>
      </c>
      <c r="K1826" s="2">
        <v>173.40555726223448</v>
      </c>
      <c r="L1826" s="2">
        <v>13600</v>
      </c>
      <c r="M1826" s="2">
        <v>1200</v>
      </c>
      <c r="N1826" s="2">
        <v>249.96727701963002</v>
      </c>
      <c r="O1826" s="2">
        <v>2503.952539831485</v>
      </c>
      <c r="P1826" s="2">
        <v>1020.8384222351015</v>
      </c>
      <c r="Q1826" s="2">
        <v>251.94830237748758</v>
      </c>
      <c r="R1826" s="2">
        <v>2517.7243078300098</v>
      </c>
      <c r="S1826" s="2">
        <v>1018.7398735911019</v>
      </c>
      <c r="T1826" s="2">
        <v>1.9810253578575612</v>
      </c>
      <c r="U1826" s="2">
        <v>13.771767998524865</v>
      </c>
      <c r="V1826" s="2">
        <v>-2.0985486439996066</v>
      </c>
    </row>
    <row r="1827" spans="1:22" ht="15">
      <c r="A1827" s="2">
        <v>1826</v>
      </c>
      <c r="B1827" s="2" t="s">
        <v>78</v>
      </c>
      <c r="C1827" s="2" t="s">
        <v>81</v>
      </c>
      <c r="D1827" s="2">
        <v>1097.4327342235483</v>
      </c>
      <c r="E1827" s="2">
        <v>1065.1558066951111</v>
      </c>
      <c r="F1827" s="2">
        <v>671.58976132050157</v>
      </c>
      <c r="G1827" s="2">
        <v>262.43074812926352</v>
      </c>
      <c r="H1827" s="2">
        <v>16.804123290348798</v>
      </c>
      <c r="I1827" s="2">
        <v>0.80436070120427761</v>
      </c>
      <c r="J1827" s="2">
        <v>7</v>
      </c>
      <c r="K1827" s="2">
        <v>194.90771323655588</v>
      </c>
      <c r="L1827" s="2">
        <v>10695</v>
      </c>
      <c r="M1827" s="2">
        <v>1195</v>
      </c>
      <c r="N1827" s="2">
        <v>249.94658785440132</v>
      </c>
      <c r="O1827" s="2">
        <v>2495.9941151499943</v>
      </c>
      <c r="P1827" s="2">
        <v>1097.4327342235483</v>
      </c>
      <c r="Q1827" s="2">
        <v>251.35260749930623</v>
      </c>
      <c r="R1827" s="2">
        <v>2470.1266118576773</v>
      </c>
      <c r="S1827" s="2">
        <v>1088.83806496843</v>
      </c>
      <c r="T1827" s="2">
        <v>1.4060196449049158</v>
      </c>
      <c r="U1827" s="2">
        <v>-25.867503292316997</v>
      </c>
      <c r="V1827" s="2">
        <v>-8.5946692551183332</v>
      </c>
    </row>
    <row r="1828" spans="1:22" ht="15">
      <c r="A1828" s="2">
        <v>1827</v>
      </c>
      <c r="B1828" s="2" t="s">
        <v>78</v>
      </c>
      <c r="C1828" s="2" t="s">
        <v>81</v>
      </c>
      <c r="D1828" s="2">
        <v>1079.0607422357425</v>
      </c>
      <c r="E1828" s="2">
        <v>1108.6472959839739</v>
      </c>
      <c r="F1828" s="2">
        <v>407.71809630095959</v>
      </c>
      <c r="G1828" s="2">
        <v>147.92033993406221</v>
      </c>
      <c r="H1828" s="2">
        <v>22.3304249541834</v>
      </c>
      <c r="I1828" s="2">
        <v>0.82115113758249214</v>
      </c>
      <c r="J1828" s="2">
        <v>7</v>
      </c>
      <c r="K1828" s="2">
        <v>187.72614144935062</v>
      </c>
      <c r="L1828" s="2">
        <v>12850</v>
      </c>
      <c r="M1828" s="2">
        <v>1200</v>
      </c>
      <c r="N1828" s="2">
        <v>250.00369592304401</v>
      </c>
      <c r="O1828" s="2">
        <v>2504.4881401043936</v>
      </c>
      <c r="P1828" s="2">
        <v>1079.0607422357425</v>
      </c>
      <c r="Q1828" s="2">
        <v>251.99884496597042</v>
      </c>
      <c r="R1828" s="2">
        <v>2568.5266597033715</v>
      </c>
      <c r="S1828" s="2">
        <v>1077.8716347271213</v>
      </c>
      <c r="T1828" s="2">
        <v>1.995149042926414</v>
      </c>
      <c r="U1828" s="2">
        <v>64.038519598977928</v>
      </c>
      <c r="V1828" s="2">
        <v>-1.1891075086211913</v>
      </c>
    </row>
    <row r="1829" spans="1:22" ht="15">
      <c r="A1829" s="2">
        <v>1828</v>
      </c>
      <c r="B1829" s="2" t="s">
        <v>78</v>
      </c>
      <c r="C1829" s="2" t="s">
        <v>81</v>
      </c>
      <c r="D1829" s="2">
        <v>1008.7308894260786</v>
      </c>
      <c r="E1829" s="2">
        <v>682.90593777783215</v>
      </c>
      <c r="F1829" s="2">
        <v>509.70697132870555</v>
      </c>
      <c r="G1829" s="2">
        <v>293.0488142138347</v>
      </c>
      <c r="H1829" s="2">
        <v>20.011672324966639</v>
      </c>
      <c r="I1829" s="2">
        <v>0.79658703340217474</v>
      </c>
      <c r="J1829" s="2">
        <v>7</v>
      </c>
      <c r="K1829" s="2">
        <v>180.90228277968939</v>
      </c>
      <c r="L1829" s="2">
        <v>14395</v>
      </c>
      <c r="M1829" s="2">
        <v>1200</v>
      </c>
      <c r="N1829" s="2">
        <v>250.00392950096892</v>
      </c>
      <c r="O1829" s="2">
        <v>2503.4483340237921</v>
      </c>
      <c r="P1829" s="2">
        <v>1008.7308894260786</v>
      </c>
      <c r="Q1829" s="2">
        <v>251.09699716042738</v>
      </c>
      <c r="R1829" s="2">
        <v>2473.0049551519423</v>
      </c>
      <c r="S1829" s="2">
        <v>1016.563135723973</v>
      </c>
      <c r="T1829" s="2">
        <v>1.0930676594584554</v>
      </c>
      <c r="U1829" s="2">
        <v>-30.443378871849745</v>
      </c>
      <c r="V1829" s="2">
        <v>7.8322462978943577</v>
      </c>
    </row>
    <row r="1830" spans="1:22" ht="15">
      <c r="A1830" s="2">
        <v>1829</v>
      </c>
      <c r="B1830" s="2" t="s">
        <v>78</v>
      </c>
      <c r="C1830" s="2" t="s">
        <v>81</v>
      </c>
      <c r="D1830" s="2">
        <v>1032.9537129495293</v>
      </c>
      <c r="E1830" s="2">
        <v>1095.9825483965687</v>
      </c>
      <c r="F1830" s="2">
        <v>414.50091134756804</v>
      </c>
      <c r="G1830" s="2">
        <v>251.17999988840893</v>
      </c>
      <c r="H1830" s="2">
        <v>25.453149743378162</v>
      </c>
      <c r="I1830" s="2">
        <v>0.82585938344011089</v>
      </c>
      <c r="J1830" s="2">
        <v>7</v>
      </c>
      <c r="K1830" s="2">
        <v>178.68031664297007</v>
      </c>
      <c r="L1830" s="2">
        <v>12140</v>
      </c>
      <c r="M1830" s="2">
        <v>1200</v>
      </c>
      <c r="N1830" s="2">
        <v>250.00991378103589</v>
      </c>
      <c r="O1830" s="2">
        <v>2505.0549953312129</v>
      </c>
      <c r="P1830" s="2">
        <v>1032.9537129495293</v>
      </c>
      <c r="Q1830" s="2">
        <v>252.25605510643254</v>
      </c>
      <c r="R1830" s="2">
        <v>2529.1029023479914</v>
      </c>
      <c r="S1830" s="2">
        <v>1027.7776751042661</v>
      </c>
      <c r="T1830" s="2">
        <v>2.2461413253966498</v>
      </c>
      <c r="U1830" s="2">
        <v>24.047907016778481</v>
      </c>
      <c r="V1830" s="2">
        <v>-5.1760378452631812</v>
      </c>
    </row>
    <row r="1831" spans="1:22" ht="15">
      <c r="A1831" s="2">
        <v>1830</v>
      </c>
      <c r="B1831" s="2" t="s">
        <v>78</v>
      </c>
      <c r="C1831" s="2" t="s">
        <v>81</v>
      </c>
      <c r="D1831" s="2">
        <v>1074.7214044560678</v>
      </c>
      <c r="E1831" s="2">
        <v>1168.3705396717414</v>
      </c>
      <c r="F1831" s="2">
        <v>704.45617707446218</v>
      </c>
      <c r="G1831" s="2">
        <v>119.10753643140197</v>
      </c>
      <c r="H1831" s="2">
        <v>10.736401586327702</v>
      </c>
      <c r="I1831" s="2">
        <v>0.79013992847409098</v>
      </c>
      <c r="J1831" s="2">
        <v>7</v>
      </c>
      <c r="K1831" s="2">
        <v>194.30941745281521</v>
      </c>
      <c r="L1831" s="2">
        <v>10735</v>
      </c>
      <c r="M1831" s="2">
        <v>1195</v>
      </c>
      <c r="N1831" s="2">
        <v>249.97241034294532</v>
      </c>
      <c r="O1831" s="2">
        <v>2495.9521333092866</v>
      </c>
      <c r="P1831" s="2">
        <v>1074.7214044560678</v>
      </c>
      <c r="Q1831" s="2">
        <v>253.87831245179831</v>
      </c>
      <c r="R1831" s="2">
        <v>2534.3379620319147</v>
      </c>
      <c r="S1831" s="2">
        <v>1068.7003138707967</v>
      </c>
      <c r="T1831" s="2">
        <v>3.9059021088529846</v>
      </c>
      <c r="U1831" s="2">
        <v>38.385828722628048</v>
      </c>
      <c r="V1831" s="2">
        <v>-6.0210905852711676</v>
      </c>
    </row>
    <row r="1832" spans="1:22" ht="15">
      <c r="A1832" s="2">
        <v>1831</v>
      </c>
      <c r="B1832" s="2" t="s">
        <v>78</v>
      </c>
      <c r="C1832" s="2" t="s">
        <v>81</v>
      </c>
      <c r="D1832" s="2">
        <v>1007.0209394441918</v>
      </c>
      <c r="E1832" s="2">
        <v>663.43366989167407</v>
      </c>
      <c r="F1832" s="2">
        <v>616.35115146636963</v>
      </c>
      <c r="G1832" s="2">
        <v>233.01359252771363</v>
      </c>
      <c r="H1832" s="2">
        <v>8.8024883447214961</v>
      </c>
      <c r="I1832" s="2">
        <v>0.83806293211644523</v>
      </c>
      <c r="J1832" s="2">
        <v>7</v>
      </c>
      <c r="K1832" s="2">
        <v>171.65791337770844</v>
      </c>
      <c r="L1832" s="2">
        <v>14135</v>
      </c>
      <c r="M1832" s="2">
        <v>1200</v>
      </c>
      <c r="N1832" s="2">
        <v>249.9721969445452</v>
      </c>
      <c r="O1832" s="2">
        <v>2503.6063021269119</v>
      </c>
      <c r="P1832" s="2">
        <v>1007.0209394441918</v>
      </c>
      <c r="Q1832" s="2">
        <v>249.58798022553262</v>
      </c>
      <c r="R1832" s="2">
        <v>2454.3440661602694</v>
      </c>
      <c r="S1832" s="2">
        <v>1009.8314439118583</v>
      </c>
      <c r="T1832" s="2">
        <v>-0.38421671901258492</v>
      </c>
      <c r="U1832" s="2">
        <v>-49.262235966642493</v>
      </c>
      <c r="V1832" s="2">
        <v>2.8105044676665329</v>
      </c>
    </row>
    <row r="1833" spans="1:22" ht="15">
      <c r="A1833" s="2">
        <v>1832</v>
      </c>
      <c r="B1833" s="2" t="s">
        <v>78</v>
      </c>
      <c r="C1833" s="2" t="s">
        <v>81</v>
      </c>
      <c r="D1833" s="2">
        <v>1055.9623584966175</v>
      </c>
      <c r="E1833" s="2">
        <v>1164.1427055932581</v>
      </c>
      <c r="F1833" s="2">
        <v>436.4441848360002</v>
      </c>
      <c r="G1833" s="2">
        <v>205.74458273593336</v>
      </c>
      <c r="H1833" s="2">
        <v>13.332405996974558</v>
      </c>
      <c r="I1833" s="2">
        <v>0.80999966652132571</v>
      </c>
      <c r="J1833" s="2">
        <v>7</v>
      </c>
      <c r="K1833" s="2">
        <v>186.23682420435313</v>
      </c>
      <c r="L1833" s="2">
        <v>11840</v>
      </c>
      <c r="M1833" s="2">
        <v>1195</v>
      </c>
      <c r="N1833" s="2">
        <v>250.01395247152092</v>
      </c>
      <c r="O1833" s="2">
        <v>2494.8762042017074</v>
      </c>
      <c r="P1833" s="2">
        <v>1055.9623584966175</v>
      </c>
      <c r="Q1833" s="2">
        <v>254.56204432162218</v>
      </c>
      <c r="R1833" s="2">
        <v>2510.3283391074451</v>
      </c>
      <c r="S1833" s="2">
        <v>1058.5226736572949</v>
      </c>
      <c r="T1833" s="2">
        <v>4.5480918501012582</v>
      </c>
      <c r="U1833" s="2">
        <v>15.452134905737694</v>
      </c>
      <c r="V1833" s="2">
        <v>2.560315160677419</v>
      </c>
    </row>
    <row r="1834" spans="1:22" ht="15">
      <c r="A1834" s="2">
        <v>1833</v>
      </c>
      <c r="B1834" s="2" t="s">
        <v>78</v>
      </c>
      <c r="C1834" s="2" t="s">
        <v>81</v>
      </c>
      <c r="D1834" s="2">
        <v>1012.0359657332301</v>
      </c>
      <c r="E1834" s="2">
        <v>605.51330338930711</v>
      </c>
      <c r="F1834" s="2">
        <v>648.31893462687731</v>
      </c>
      <c r="G1834" s="2">
        <v>216.92937005544081</v>
      </c>
      <c r="H1834" s="2">
        <v>22.846350273117423</v>
      </c>
      <c r="I1834" s="2">
        <v>0.82303317875834181</v>
      </c>
      <c r="J1834" s="2">
        <v>7</v>
      </c>
      <c r="K1834" s="2">
        <v>175.66310844409958</v>
      </c>
      <c r="L1834" s="2">
        <v>14540</v>
      </c>
      <c r="M1834" s="2">
        <v>1200</v>
      </c>
      <c r="N1834" s="2">
        <v>249.98964308056921</v>
      </c>
      <c r="O1834" s="2">
        <v>2503.3615974729064</v>
      </c>
      <c r="P1834" s="2">
        <v>1012.0359657332301</v>
      </c>
      <c r="Q1834" s="2">
        <v>250.37450171367533</v>
      </c>
      <c r="R1834" s="2">
        <v>2511.0283346367978</v>
      </c>
      <c r="S1834" s="2">
        <v>1010.6486820332113</v>
      </c>
      <c r="T1834" s="2">
        <v>0.3848586331061199</v>
      </c>
      <c r="U1834" s="2">
        <v>7.6667371638914119</v>
      </c>
      <c r="V1834" s="2">
        <v>-1.3872837000187701</v>
      </c>
    </row>
    <row r="1835" spans="1:22" ht="15">
      <c r="A1835" s="2">
        <v>1834</v>
      </c>
      <c r="B1835" s="2" t="s">
        <v>78</v>
      </c>
      <c r="C1835" s="2" t="s">
        <v>81</v>
      </c>
      <c r="D1835" s="2">
        <v>1023.1879529193975</v>
      </c>
      <c r="E1835" s="2">
        <v>1088.5545429075137</v>
      </c>
      <c r="F1835" s="2">
        <v>537.06296095624566</v>
      </c>
      <c r="G1835" s="2">
        <v>248.44555246643722</v>
      </c>
      <c r="H1835" s="2">
        <v>20.516784687060863</v>
      </c>
      <c r="I1835" s="2">
        <v>0.79071503531653442</v>
      </c>
      <c r="J1835" s="2">
        <v>7</v>
      </c>
      <c r="K1835" s="2">
        <v>184.8576301592648</v>
      </c>
      <c r="L1835" s="2">
        <v>11410</v>
      </c>
      <c r="M1835" s="2">
        <v>1195</v>
      </c>
      <c r="N1835" s="2">
        <v>249.96850146683599</v>
      </c>
      <c r="O1835" s="2">
        <v>2495.268840464078</v>
      </c>
      <c r="P1835" s="2">
        <v>1023.1879529193975</v>
      </c>
      <c r="Q1835" s="2">
        <v>248.03189382988958</v>
      </c>
      <c r="R1835" s="2">
        <v>2478.8565144477566</v>
      </c>
      <c r="S1835" s="2">
        <v>1013.6503811754188</v>
      </c>
      <c r="T1835" s="2">
        <v>-1.9366076369464054</v>
      </c>
      <c r="U1835" s="2">
        <v>-16.412326016321458</v>
      </c>
      <c r="V1835" s="2">
        <v>-9.537571743978674</v>
      </c>
    </row>
    <row r="1836" spans="1:22" ht="15">
      <c r="A1836" s="2">
        <v>1835</v>
      </c>
      <c r="B1836" s="2" t="s">
        <v>79</v>
      </c>
      <c r="C1836" s="2" t="s">
        <v>81</v>
      </c>
      <c r="D1836" s="2">
        <v>1055.926655116491</v>
      </c>
      <c r="E1836" s="2">
        <v>1037.744550278876</v>
      </c>
      <c r="F1836" s="2">
        <v>689.07515592873096</v>
      </c>
      <c r="G1836" s="2">
        <v>310.21841252921149</v>
      </c>
      <c r="H1836" s="2">
        <v>17.867631749249995</v>
      </c>
      <c r="I1836" s="2">
        <v>0.824780186477583</v>
      </c>
      <c r="J1836" s="2">
        <v>7</v>
      </c>
      <c r="K1836" s="2">
        <v>182.8931726171401</v>
      </c>
      <c r="L1836" s="2">
        <v>10500</v>
      </c>
      <c r="M1836" s="2">
        <v>1195</v>
      </c>
      <c r="N1836" s="2">
        <v>250.03675134888715</v>
      </c>
      <c r="O1836" s="2">
        <v>2496.2135979372206</v>
      </c>
      <c r="P1836" s="2">
        <v>1055.926655116491</v>
      </c>
      <c r="Q1836" s="2">
        <v>254.22299655064663</v>
      </c>
      <c r="R1836" s="2">
        <v>2524.3863018436264</v>
      </c>
      <c r="S1836" s="2">
        <v>1047.7538934982053</v>
      </c>
      <c r="T1836" s="2">
        <v>4.1862452017594762</v>
      </c>
      <c r="U1836" s="2">
        <v>28.172703906405786</v>
      </c>
      <c r="V1836" s="2">
        <v>-8.1727616182856764</v>
      </c>
    </row>
    <row r="1837" spans="1:22" ht="15">
      <c r="A1837" s="2">
        <v>1836</v>
      </c>
      <c r="B1837" s="2" t="s">
        <v>79</v>
      </c>
      <c r="C1837" s="2" t="s">
        <v>81</v>
      </c>
      <c r="D1837" s="2">
        <v>1016.2096305168234</v>
      </c>
      <c r="E1837" s="2">
        <v>906.13358258269727</v>
      </c>
      <c r="F1837" s="2">
        <v>537.68778247758746</v>
      </c>
      <c r="G1837" s="2">
        <v>267.84730962943286</v>
      </c>
      <c r="H1837" s="2">
        <v>16.982857394497842</v>
      </c>
      <c r="I1837" s="2">
        <v>0.8087665924802423</v>
      </c>
      <c r="J1837" s="2">
        <v>7</v>
      </c>
      <c r="K1837" s="2">
        <v>179.49901208746167</v>
      </c>
      <c r="L1837" s="2">
        <v>12495</v>
      </c>
      <c r="M1837" s="2">
        <v>1200</v>
      </c>
      <c r="N1837" s="2">
        <v>250.01794337925563</v>
      </c>
      <c r="O1837" s="2">
        <v>2504.7639656891038</v>
      </c>
      <c r="P1837" s="2">
        <v>1016.2096305168234</v>
      </c>
      <c r="Q1837" s="2">
        <v>252.26734525981442</v>
      </c>
      <c r="R1837" s="2">
        <v>2480.8594667288453</v>
      </c>
      <c r="S1837" s="2">
        <v>1010.8879218391148</v>
      </c>
      <c r="T1837" s="2">
        <v>2.2494018805587928</v>
      </c>
      <c r="U1837" s="2">
        <v>-23.904498960258479</v>
      </c>
      <c r="V1837" s="2">
        <v>-5.3217086777085569</v>
      </c>
    </row>
    <row r="1838" spans="1:22" ht="15">
      <c r="A1838" s="2">
        <v>1837</v>
      </c>
      <c r="B1838" s="2" t="s">
        <v>79</v>
      </c>
      <c r="C1838" s="2" t="s">
        <v>81</v>
      </c>
      <c r="D1838" s="2">
        <v>983.6932314094156</v>
      </c>
      <c r="E1838" s="2">
        <v>866.16179820848629</v>
      </c>
      <c r="F1838" s="2">
        <v>516.52748491615057</v>
      </c>
      <c r="G1838" s="2">
        <v>115.1607779157348</v>
      </c>
      <c r="H1838" s="2">
        <v>12.653191987425089</v>
      </c>
      <c r="I1838" s="2">
        <v>0.84595661320025106</v>
      </c>
      <c r="J1838" s="2">
        <v>6</v>
      </c>
      <c r="K1838" s="2">
        <v>193.80293190374294</v>
      </c>
      <c r="L1838" s="2">
        <v>16655</v>
      </c>
      <c r="M1838" s="2">
        <v>1200</v>
      </c>
      <c r="N1838" s="2">
        <v>249.96612584187366</v>
      </c>
      <c r="O1838" s="2">
        <v>2502.2736726645671</v>
      </c>
      <c r="P1838" s="2">
        <v>983.6932314094156</v>
      </c>
      <c r="Q1838" s="2">
        <v>250.97028521492555</v>
      </c>
      <c r="R1838" s="2">
        <v>2500.7693127674124</v>
      </c>
      <c r="S1838" s="2">
        <v>987.91942576899226</v>
      </c>
      <c r="T1838" s="2">
        <v>1.0041593730518912</v>
      </c>
      <c r="U1838" s="2">
        <v>-1.5043598971546999</v>
      </c>
      <c r="V1838" s="2">
        <v>4.2261943595766525</v>
      </c>
    </row>
    <row r="1839" spans="1:22" ht="15">
      <c r="A1839" s="2">
        <v>1838</v>
      </c>
      <c r="B1839" s="2" t="s">
        <v>80</v>
      </c>
      <c r="C1839" s="2" t="s">
        <v>81</v>
      </c>
      <c r="D1839" s="2">
        <v>997.71084097446874</v>
      </c>
      <c r="E1839" s="2">
        <v>916.26063517760485</v>
      </c>
      <c r="F1839" s="2">
        <v>711.36196004226804</v>
      </c>
      <c r="G1839" s="2">
        <v>149.3540908396244</v>
      </c>
      <c r="H1839" s="2">
        <v>23.582320074085146</v>
      </c>
      <c r="I1839" s="2">
        <v>0.79800167448353021</v>
      </c>
      <c r="J1839" s="2">
        <v>7</v>
      </c>
      <c r="K1839" s="2">
        <v>178.60879832295575</v>
      </c>
      <c r="L1839" s="2">
        <v>12035</v>
      </c>
      <c r="M1839" s="2">
        <v>1200</v>
      </c>
      <c r="N1839" s="2">
        <v>250.00192387523487</v>
      </c>
      <c r="O1839" s="2">
        <v>2505.1441366848894</v>
      </c>
      <c r="P1839" s="2">
        <v>997.71084097446874</v>
      </c>
      <c r="Q1839" s="2">
        <v>249.77082075914541</v>
      </c>
      <c r="R1839" s="2">
        <v>2484.5023506186408</v>
      </c>
      <c r="S1839" s="2">
        <v>988.03728248188929</v>
      </c>
      <c r="T1839" s="2">
        <v>-0.23110311608945722</v>
      </c>
      <c r="U1839" s="2">
        <v>-20.641786066248642</v>
      </c>
      <c r="V1839" s="2">
        <v>-9.6735584925794456</v>
      </c>
    </row>
    <row r="1840" spans="1:22" ht="15">
      <c r="A1840" s="2">
        <v>1839</v>
      </c>
      <c r="B1840" s="2" t="s">
        <v>80</v>
      </c>
      <c r="C1840" s="2" t="s">
        <v>81</v>
      </c>
      <c r="D1840" s="2">
        <v>952.0911822328344</v>
      </c>
      <c r="E1840" s="2">
        <v>1078.9039866183884</v>
      </c>
      <c r="F1840" s="2">
        <v>449.5508648455143</v>
      </c>
      <c r="G1840" s="2">
        <v>203.58385551488027</v>
      </c>
      <c r="H1840" s="2">
        <v>27.898375137709081</v>
      </c>
      <c r="I1840" s="2">
        <v>0.84749415194382893</v>
      </c>
      <c r="J1840" s="2">
        <v>6</v>
      </c>
      <c r="K1840" s="2">
        <v>187.23652941028161</v>
      </c>
      <c r="L1840" s="2">
        <v>14405</v>
      </c>
      <c r="M1840" s="2">
        <v>1200</v>
      </c>
      <c r="N1840" s="2">
        <v>249.99984990618611</v>
      </c>
      <c r="O1840" s="2">
        <v>2503.4421803323407</v>
      </c>
      <c r="P1840" s="2">
        <v>952.0911822328344</v>
      </c>
      <c r="Q1840" s="2">
        <v>249.62168426231486</v>
      </c>
      <c r="R1840" s="2">
        <v>2517.7999066723373</v>
      </c>
      <c r="S1840" s="2">
        <v>939.67088662989102</v>
      </c>
      <c r="T1840" s="2">
        <v>-0.37816564387125595</v>
      </c>
      <c r="U1840" s="2">
        <v>14.357726339996589</v>
      </c>
      <c r="V1840" s="2">
        <v>-12.420295602943384</v>
      </c>
    </row>
    <row r="1841" spans="1:22" ht="15">
      <c r="A1841" s="2">
        <v>1840</v>
      </c>
      <c r="B1841" s="2" t="s">
        <v>80</v>
      </c>
      <c r="C1841" s="2" t="s">
        <v>81</v>
      </c>
      <c r="D1841" s="2">
        <v>963.74575531808659</v>
      </c>
      <c r="E1841" s="2">
        <v>984.717814065516</v>
      </c>
      <c r="F1841" s="2">
        <v>579.47789868339896</v>
      </c>
      <c r="G1841" s="2">
        <v>201.08323362190276</v>
      </c>
      <c r="H1841" s="2">
        <v>19.304611200001091</v>
      </c>
      <c r="I1841" s="2">
        <v>0.83820829114876694</v>
      </c>
      <c r="J1841" s="2">
        <v>6</v>
      </c>
      <c r="K1841" s="2">
        <v>191.62813616753704</v>
      </c>
      <c r="L1841" s="2">
        <v>14135</v>
      </c>
      <c r="M1841" s="2">
        <v>1200</v>
      </c>
      <c r="N1841" s="2">
        <v>250.02169858786615</v>
      </c>
      <c r="O1841" s="2">
        <v>2503.6080358308113</v>
      </c>
      <c r="P1841" s="2">
        <v>963.74575531808659</v>
      </c>
      <c r="Q1841" s="2">
        <v>252.27603349442822</v>
      </c>
      <c r="R1841" s="2">
        <v>2481.8259953585189</v>
      </c>
      <c r="S1841" s="2">
        <v>966.54276463108431</v>
      </c>
      <c r="T1841" s="2">
        <v>2.2543349065620646</v>
      </c>
      <c r="U1841" s="2">
        <v>-21.782040472292465</v>
      </c>
      <c r="V1841" s="2">
        <v>2.7970093129977158</v>
      </c>
    </row>
    <row r="1842" spans="1:22" ht="15">
      <c r="A1842" s="2">
        <v>1841</v>
      </c>
      <c r="B1842" s="2" t="s">
        <v>78</v>
      </c>
      <c r="C1842" s="2" t="s">
        <v>81</v>
      </c>
      <c r="D1842" s="2">
        <v>996.32389741018414</v>
      </c>
      <c r="E1842" s="2">
        <v>1123.2364916591905</v>
      </c>
      <c r="F1842" s="2">
        <v>457.52196703106165</v>
      </c>
      <c r="G1842" s="2">
        <v>265.37472939351574</v>
      </c>
      <c r="H1842" s="2">
        <v>23.880544679239392</v>
      </c>
      <c r="I1842" s="2">
        <v>0.84989997475640855</v>
      </c>
      <c r="J1842" s="2">
        <v>6</v>
      </c>
      <c r="K1842" s="2">
        <v>195.38061870079525</v>
      </c>
      <c r="L1842" s="2">
        <v>13515</v>
      </c>
      <c r="M1842" s="2">
        <v>1200</v>
      </c>
      <c r="N1842" s="2">
        <v>250.0045249264044</v>
      </c>
      <c r="O1842" s="2">
        <v>2504.0114661552625</v>
      </c>
      <c r="P1842" s="2">
        <v>996.32389741018414</v>
      </c>
      <c r="Q1842" s="2">
        <v>249.9161307246487</v>
      </c>
      <c r="R1842" s="2">
        <v>2539.7348817966681</v>
      </c>
      <c r="S1842" s="2">
        <v>982.16241213725573</v>
      </c>
      <c r="T1842" s="2">
        <v>-8.8394201755704671E-2</v>
      </c>
      <c r="U1842" s="2">
        <v>35.723415641405609</v>
      </c>
      <c r="V1842" s="2">
        <v>-14.161485272928417</v>
      </c>
    </row>
    <row r="1843" spans="1:22" ht="15">
      <c r="A1843" s="2">
        <v>1842</v>
      </c>
      <c r="B1843" s="2" t="s">
        <v>78</v>
      </c>
      <c r="C1843" s="2" t="s">
        <v>81</v>
      </c>
      <c r="D1843" s="2">
        <v>1047.1174664446153</v>
      </c>
      <c r="E1843" s="2">
        <v>973.72364972252399</v>
      </c>
      <c r="F1843" s="2">
        <v>603.22988713160157</v>
      </c>
      <c r="G1843" s="2">
        <v>312.69057390280068</v>
      </c>
      <c r="H1843" s="2">
        <v>15.615744621027261</v>
      </c>
      <c r="I1843" s="2">
        <v>0.80434621619526303</v>
      </c>
      <c r="J1843" s="2">
        <v>7</v>
      </c>
      <c r="K1843" s="2">
        <v>185.9749029462381</v>
      </c>
      <c r="L1843" s="2">
        <v>11315</v>
      </c>
      <c r="M1843" s="2">
        <v>1195</v>
      </c>
      <c r="N1843" s="2">
        <v>249.94807875638602</v>
      </c>
      <c r="O1843" s="2">
        <v>2495.3591629796315</v>
      </c>
      <c r="P1843" s="2">
        <v>1047.1174664446153</v>
      </c>
      <c r="Q1843" s="2">
        <v>254.52379360028613</v>
      </c>
      <c r="R1843" s="2">
        <v>2536.2662881304491</v>
      </c>
      <c r="S1843" s="2">
        <v>1043.7317794980663</v>
      </c>
      <c r="T1843" s="2">
        <v>4.5757148439001014</v>
      </c>
      <c r="U1843" s="2">
        <v>40.907125150817592</v>
      </c>
      <c r="V1843" s="2">
        <v>-3.3856869465489581</v>
      </c>
    </row>
    <row r="1844" spans="1:22" ht="15">
      <c r="A1844" s="2">
        <v>1843</v>
      </c>
      <c r="B1844" s="2" t="s">
        <v>78</v>
      </c>
      <c r="C1844" s="2" t="s">
        <v>81</v>
      </c>
      <c r="D1844" s="2">
        <v>1023.6754623940215</v>
      </c>
      <c r="E1844" s="2">
        <v>965.95695276046172</v>
      </c>
      <c r="F1844" s="2">
        <v>596.30017839372158</v>
      </c>
      <c r="G1844" s="2">
        <v>141.79249909473583</v>
      </c>
      <c r="H1844" s="2">
        <v>27.23439393658191</v>
      </c>
      <c r="I1844" s="2">
        <v>0.8496934049273841</v>
      </c>
      <c r="J1844" s="2">
        <v>7</v>
      </c>
      <c r="K1844" s="2">
        <v>172.1083757064965</v>
      </c>
      <c r="L1844" s="2">
        <v>12550</v>
      </c>
      <c r="M1844" s="2">
        <v>1200</v>
      </c>
      <c r="N1844" s="2">
        <v>250.00091637440801</v>
      </c>
      <c r="O1844" s="2">
        <v>2504.7196137076048</v>
      </c>
      <c r="P1844" s="2">
        <v>1023.6754623940215</v>
      </c>
      <c r="Q1844" s="2">
        <v>248.77223769192304</v>
      </c>
      <c r="R1844" s="2">
        <v>2502.2982734494208</v>
      </c>
      <c r="S1844" s="2">
        <v>1014.2202542531401</v>
      </c>
      <c r="T1844" s="2">
        <v>-1.2286786824849685</v>
      </c>
      <c r="U1844" s="2">
        <v>-2.4213402581840455</v>
      </c>
      <c r="V1844" s="2">
        <v>-9.455208140881382</v>
      </c>
    </row>
    <row r="1845" spans="1:22" ht="15">
      <c r="A1845" s="2">
        <v>1844</v>
      </c>
      <c r="B1845" s="2" t="s">
        <v>78</v>
      </c>
      <c r="C1845" s="2" t="s">
        <v>81</v>
      </c>
      <c r="D1845" s="2">
        <v>951.91082222154364</v>
      </c>
      <c r="E1845" s="2">
        <v>802.66354703344405</v>
      </c>
      <c r="F1845" s="2">
        <v>592.5046312622726</v>
      </c>
      <c r="G1845" s="2">
        <v>277.36188964452595</v>
      </c>
      <c r="H1845" s="2">
        <v>17.537224202882499</v>
      </c>
      <c r="I1845" s="2">
        <v>0.84507663125172261</v>
      </c>
      <c r="J1845" s="2">
        <v>6</v>
      </c>
      <c r="K1845" s="2">
        <v>187.73658841872893</v>
      </c>
      <c r="L1845" s="2">
        <v>14920</v>
      </c>
      <c r="M1845" s="2">
        <v>1200</v>
      </c>
      <c r="N1845" s="2">
        <v>250.04097805584752</v>
      </c>
      <c r="O1845" s="2">
        <v>2503.145256026994</v>
      </c>
      <c r="P1845" s="2">
        <v>951.91082222154364</v>
      </c>
      <c r="Q1845" s="2">
        <v>250.85812856879247</v>
      </c>
      <c r="R1845" s="2">
        <v>2471.5205187338388</v>
      </c>
      <c r="S1845" s="2">
        <v>958.44564300787749</v>
      </c>
      <c r="T1845" s="2">
        <v>0.81715051294494856</v>
      </c>
      <c r="U1845" s="2">
        <v>-31.624737293155249</v>
      </c>
      <c r="V1845" s="2">
        <v>6.534820786333853</v>
      </c>
    </row>
    <row r="1846" spans="1:22" ht="15">
      <c r="A1846" s="2">
        <v>1845</v>
      </c>
      <c r="B1846" s="2" t="s">
        <v>78</v>
      </c>
      <c r="C1846" s="2" t="s">
        <v>81</v>
      </c>
      <c r="D1846" s="2">
        <v>994.74644851870835</v>
      </c>
      <c r="E1846" s="2">
        <v>676.40012874035165</v>
      </c>
      <c r="F1846" s="2">
        <v>459.37582533806562</v>
      </c>
      <c r="G1846" s="2">
        <v>136.31127051310614</v>
      </c>
      <c r="H1846" s="2">
        <v>14.737968266010284</v>
      </c>
      <c r="I1846" s="2">
        <v>0.82125015145400537</v>
      </c>
      <c r="J1846" s="2">
        <v>7</v>
      </c>
      <c r="K1846" s="2">
        <v>173.03696717872862</v>
      </c>
      <c r="L1846" s="2">
        <v>16810</v>
      </c>
      <c r="M1846" s="2">
        <v>1200</v>
      </c>
      <c r="N1846" s="2">
        <v>249.976722664237</v>
      </c>
      <c r="O1846" s="2">
        <v>2502.2050741517924</v>
      </c>
      <c r="P1846" s="2">
        <v>994.74644851870835</v>
      </c>
      <c r="Q1846" s="2">
        <v>248.39768869169421</v>
      </c>
      <c r="R1846" s="2">
        <v>2437.5240868879837</v>
      </c>
      <c r="S1846" s="2">
        <v>1005.6237215709651</v>
      </c>
      <c r="T1846" s="2">
        <v>-1.5790339725427884</v>
      </c>
      <c r="U1846" s="2">
        <v>-64.680987263808674</v>
      </c>
      <c r="V1846" s="2">
        <v>10.877273052256783</v>
      </c>
    </row>
    <row r="1847" spans="1:22" ht="15">
      <c r="A1847" s="2">
        <v>1846</v>
      </c>
      <c r="B1847" s="2" t="s">
        <v>78</v>
      </c>
      <c r="C1847" s="2" t="s">
        <v>81</v>
      </c>
      <c r="D1847" s="2">
        <v>1071.6640220140107</v>
      </c>
      <c r="E1847" s="2">
        <v>997.16329069342464</v>
      </c>
      <c r="F1847" s="2">
        <v>368.39117230847478</v>
      </c>
      <c r="G1847" s="2">
        <v>242.82122069969773</v>
      </c>
      <c r="H1847" s="2">
        <v>12.52338986704126</v>
      </c>
      <c r="I1847" s="2">
        <v>0.85590160263236614</v>
      </c>
      <c r="J1847" s="2">
        <v>7</v>
      </c>
      <c r="K1847" s="2">
        <v>178.86969695682924</v>
      </c>
      <c r="L1847" s="2">
        <v>13295</v>
      </c>
      <c r="M1847" s="2">
        <v>1200</v>
      </c>
      <c r="N1847" s="2">
        <v>249.9716975226419</v>
      </c>
      <c r="O1847" s="2">
        <v>2504.1626765299638</v>
      </c>
      <c r="P1847" s="2">
        <v>1071.6640220140107</v>
      </c>
      <c r="Q1847" s="2">
        <v>252.74837472897596</v>
      </c>
      <c r="R1847" s="2">
        <v>2490.312388607912</v>
      </c>
      <c r="S1847" s="2">
        <v>1081.3585103306341</v>
      </c>
      <c r="T1847" s="2">
        <v>2.7766772063340568</v>
      </c>
      <c r="U1847" s="2">
        <v>-13.850287922051848</v>
      </c>
      <c r="V1847" s="2">
        <v>9.6944883166233922</v>
      </c>
    </row>
    <row r="1848" spans="1:22" ht="15">
      <c r="A1848" s="2">
        <v>1847</v>
      </c>
      <c r="B1848" s="2" t="s">
        <v>78</v>
      </c>
      <c r="C1848" s="2" t="s">
        <v>81</v>
      </c>
      <c r="D1848" s="2">
        <v>1073.6098387511447</v>
      </c>
      <c r="E1848" s="2">
        <v>609.78226197184995</v>
      </c>
      <c r="F1848" s="2">
        <v>641.10946208238602</v>
      </c>
      <c r="G1848" s="2">
        <v>249.87492045154795</v>
      </c>
      <c r="H1848" s="2">
        <v>17.766381333582103</v>
      </c>
      <c r="I1848" s="2">
        <v>0.85071792412316427</v>
      </c>
      <c r="J1848" s="2">
        <v>7</v>
      </c>
      <c r="K1848" s="2">
        <v>180.28635551012741</v>
      </c>
      <c r="L1848" s="2">
        <v>14250</v>
      </c>
      <c r="M1848" s="2">
        <v>1200</v>
      </c>
      <c r="N1848" s="2">
        <v>250.00183136082535</v>
      </c>
      <c r="O1848" s="2">
        <v>2503.5362627909967</v>
      </c>
      <c r="P1848" s="2">
        <v>1073.6098387511447</v>
      </c>
      <c r="Q1848" s="2">
        <v>249.23682969048372</v>
      </c>
      <c r="R1848" s="2">
        <v>2440.5377648386598</v>
      </c>
      <c r="S1848" s="2">
        <v>1075.3670959160731</v>
      </c>
      <c r="T1848" s="2">
        <v>-0.76500167034163269</v>
      </c>
      <c r="U1848" s="2">
        <v>-62.998497952336947</v>
      </c>
      <c r="V1848" s="2">
        <v>1.7572571649284328</v>
      </c>
    </row>
    <row r="1849" spans="1:22" ht="15">
      <c r="A1849" s="2">
        <v>1848</v>
      </c>
      <c r="B1849" s="2" t="s">
        <v>78</v>
      </c>
      <c r="C1849" s="2" t="s">
        <v>81</v>
      </c>
      <c r="D1849" s="2">
        <v>979.35646687401459</v>
      </c>
      <c r="E1849" s="2">
        <v>636.54588190838695</v>
      </c>
      <c r="F1849" s="2">
        <v>434.63245546445251</v>
      </c>
      <c r="G1849" s="2">
        <v>162.72447308991104</v>
      </c>
      <c r="H1849" s="2">
        <v>9.1076540104113519</v>
      </c>
      <c r="I1849" s="2">
        <v>0.8313164670486004</v>
      </c>
      <c r="J1849" s="2">
        <v>6</v>
      </c>
      <c r="K1849" s="2">
        <v>196.34649893539671</v>
      </c>
      <c r="L1849" s="2">
        <v>20220</v>
      </c>
      <c r="M1849" s="2">
        <v>1200</v>
      </c>
      <c r="N1849" s="2">
        <v>249.99429528347591</v>
      </c>
      <c r="O1849" s="2">
        <v>2500.9566814630848</v>
      </c>
      <c r="P1849" s="2">
        <v>979.35646687401459</v>
      </c>
      <c r="Q1849" s="2">
        <v>249.99720890681252</v>
      </c>
      <c r="R1849" s="2">
        <v>2518.4460675933474</v>
      </c>
      <c r="S1849" s="2">
        <v>996.09256807849692</v>
      </c>
      <c r="T1849" s="2">
        <v>2.9136233366102715E-3</v>
      </c>
      <c r="U1849" s="2">
        <v>17.489386130262574</v>
      </c>
      <c r="V1849" s="2">
        <v>16.736101204482338</v>
      </c>
    </row>
    <row r="1850" spans="1:22" ht="15">
      <c r="A1850" s="2">
        <v>1849</v>
      </c>
      <c r="B1850" s="2" t="s">
        <v>78</v>
      </c>
      <c r="C1850" s="2" t="s">
        <v>81</v>
      </c>
      <c r="D1850" s="2">
        <v>1015.6553994864225</v>
      </c>
      <c r="E1850" s="2">
        <v>770.04144474631175</v>
      </c>
      <c r="F1850" s="2">
        <v>620.31417656689882</v>
      </c>
      <c r="G1850" s="2">
        <v>329.48575400048867</v>
      </c>
      <c r="H1850" s="2">
        <v>15.365129781886935</v>
      </c>
      <c r="I1850" s="2">
        <v>0.83404810694279152</v>
      </c>
      <c r="J1850" s="2">
        <v>7</v>
      </c>
      <c r="K1850" s="2">
        <v>173.96314108295499</v>
      </c>
      <c r="L1850" s="2">
        <v>12435</v>
      </c>
      <c r="M1850" s="2">
        <v>1200</v>
      </c>
      <c r="N1850" s="2">
        <v>250.00536798262476</v>
      </c>
      <c r="O1850" s="2">
        <v>2504.8115406139759</v>
      </c>
      <c r="P1850" s="2">
        <v>1015.6553994864225</v>
      </c>
      <c r="Q1850" s="2">
        <v>248.62121783375372</v>
      </c>
      <c r="R1850" s="2">
        <v>2531.9870865572489</v>
      </c>
      <c r="S1850" s="2">
        <v>1022.6168956419508</v>
      </c>
      <c r="T1850" s="2">
        <v>-1.3841501488710435</v>
      </c>
      <c r="U1850" s="2">
        <v>27.175545943272937</v>
      </c>
      <c r="V1850" s="2">
        <v>6.9614961555282662</v>
      </c>
    </row>
    <row r="1851" spans="1:22" ht="15">
      <c r="A1851" s="2">
        <v>1850</v>
      </c>
      <c r="B1851" s="2" t="s">
        <v>78</v>
      </c>
      <c r="C1851" s="2" t="s">
        <v>81</v>
      </c>
      <c r="D1851" s="2">
        <v>968.94308800110593</v>
      </c>
      <c r="E1851" s="2">
        <v>942.18269272241741</v>
      </c>
      <c r="F1851" s="2">
        <v>473.10643950477242</v>
      </c>
      <c r="G1851" s="2">
        <v>230.40241903625429</v>
      </c>
      <c r="H1851" s="2">
        <v>20.80957166524604</v>
      </c>
      <c r="I1851" s="2">
        <v>0.81376687430311001</v>
      </c>
      <c r="J1851" s="2">
        <v>6</v>
      </c>
      <c r="K1851" s="2">
        <v>198.44813025247251</v>
      </c>
      <c r="L1851" s="2">
        <v>15160</v>
      </c>
      <c r="M1851" s="2">
        <v>1200</v>
      </c>
      <c r="N1851" s="2">
        <v>249.98629042177387</v>
      </c>
      <c r="O1851" s="2">
        <v>2503.0113425641835</v>
      </c>
      <c r="P1851" s="2">
        <v>968.94308800110593</v>
      </c>
      <c r="Q1851" s="2">
        <v>247.00756970597192</v>
      </c>
      <c r="R1851" s="2">
        <v>2476.1845678050709</v>
      </c>
      <c r="S1851" s="2">
        <v>969.69124853917276</v>
      </c>
      <c r="T1851" s="2">
        <v>-2.9787207158019555</v>
      </c>
      <c r="U1851" s="2">
        <v>-26.826774759112595</v>
      </c>
      <c r="V1851" s="2">
        <v>0.74816053806682703</v>
      </c>
    </row>
    <row r="1852" spans="1:22" ht="15">
      <c r="A1852" s="2">
        <v>1851</v>
      </c>
      <c r="B1852" s="2" t="s">
        <v>78</v>
      </c>
      <c r="C1852" s="2" t="s">
        <v>81</v>
      </c>
      <c r="D1852" s="2">
        <v>963.01385581027716</v>
      </c>
      <c r="E1852" s="2">
        <v>1136.2621225998737</v>
      </c>
      <c r="F1852" s="2">
        <v>511.88599206507206</v>
      </c>
      <c r="G1852" s="2">
        <v>189.60581450490281</v>
      </c>
      <c r="H1852" s="2">
        <v>23.611707457341254</v>
      </c>
      <c r="I1852" s="2">
        <v>0.8299284020322375</v>
      </c>
      <c r="J1852" s="2">
        <v>6</v>
      </c>
      <c r="K1852" s="2">
        <v>193.39295884885061</v>
      </c>
      <c r="L1852" s="2">
        <v>13575</v>
      </c>
      <c r="M1852" s="2">
        <v>1200</v>
      </c>
      <c r="N1852" s="2">
        <v>249.97465122549804</v>
      </c>
      <c r="O1852" s="2">
        <v>2503.969657004985</v>
      </c>
      <c r="P1852" s="2">
        <v>963.01385581027716</v>
      </c>
      <c r="Q1852" s="2">
        <v>252.28423516885471</v>
      </c>
      <c r="R1852" s="2">
        <v>2522.1653303682015</v>
      </c>
      <c r="S1852" s="2">
        <v>956.77064148613931</v>
      </c>
      <c r="T1852" s="2">
        <v>2.3095839433566709</v>
      </c>
      <c r="U1852" s="2">
        <v>18.195673363216429</v>
      </c>
      <c r="V1852" s="2">
        <v>-6.2432143241378526</v>
      </c>
    </row>
    <row r="1853" spans="1:22" ht="15">
      <c r="A1853" s="2">
        <v>1852</v>
      </c>
      <c r="B1853" s="2" t="s">
        <v>78</v>
      </c>
      <c r="C1853" s="2" t="s">
        <v>81</v>
      </c>
      <c r="D1853" s="2">
        <v>1034.9524874589406</v>
      </c>
      <c r="E1853" s="2">
        <v>1139.9237524252385</v>
      </c>
      <c r="F1853" s="2">
        <v>403.81526304408908</v>
      </c>
      <c r="G1853" s="2">
        <v>170.71603219490498</v>
      </c>
      <c r="H1853" s="2">
        <v>22.300547133665532</v>
      </c>
      <c r="I1853" s="2">
        <v>0.85176278188824661</v>
      </c>
      <c r="J1853" s="2">
        <v>7</v>
      </c>
      <c r="K1853" s="2">
        <v>173.58161039099681</v>
      </c>
      <c r="L1853" s="2">
        <v>12475</v>
      </c>
      <c r="M1853" s="2">
        <v>1200</v>
      </c>
      <c r="N1853" s="2">
        <v>250.0242274452136</v>
      </c>
      <c r="O1853" s="2">
        <v>2504.7801857234631</v>
      </c>
      <c r="P1853" s="2">
        <v>1034.9524874589406</v>
      </c>
      <c r="Q1853" s="2">
        <v>246.91388417074651</v>
      </c>
      <c r="R1853" s="2">
        <v>2548.1953049541594</v>
      </c>
      <c r="S1853" s="2">
        <v>1026.0600225275373</v>
      </c>
      <c r="T1853" s="2">
        <v>-3.110343274467084</v>
      </c>
      <c r="U1853" s="2">
        <v>43.415119230696291</v>
      </c>
      <c r="V1853" s="2">
        <v>-8.8924649314033104</v>
      </c>
    </row>
    <row r="1854" spans="1:22" ht="15">
      <c r="A1854" s="2">
        <v>1853</v>
      </c>
      <c r="B1854" s="2" t="s">
        <v>78</v>
      </c>
      <c r="C1854" s="2" t="s">
        <v>81</v>
      </c>
      <c r="D1854" s="2">
        <v>1004.1221495252103</v>
      </c>
      <c r="E1854" s="2">
        <v>1060.8441349933855</v>
      </c>
      <c r="F1854" s="2">
        <v>526.76556762307882</v>
      </c>
      <c r="G1854" s="2">
        <v>80.546871509868652</v>
      </c>
      <c r="H1854" s="2">
        <v>15.947892244905233</v>
      </c>
      <c r="I1854" s="2">
        <v>0.82987596545601272</v>
      </c>
      <c r="J1854" s="2">
        <v>7</v>
      </c>
      <c r="K1854" s="2">
        <v>172.85236268039338</v>
      </c>
      <c r="L1854" s="2">
        <v>12820</v>
      </c>
      <c r="M1854" s="2">
        <v>1200</v>
      </c>
      <c r="N1854" s="2">
        <v>249.99999048063088</v>
      </c>
      <c r="O1854" s="2">
        <v>2504.5106730493039</v>
      </c>
      <c r="P1854" s="2">
        <v>1004.1221495252103</v>
      </c>
      <c r="Q1854" s="2">
        <v>253.88846615469089</v>
      </c>
      <c r="R1854" s="2">
        <v>2487.9172484525911</v>
      </c>
      <c r="S1854" s="2">
        <v>1006.5578041574182</v>
      </c>
      <c r="T1854" s="2">
        <v>3.8884756740600039</v>
      </c>
      <c r="U1854" s="2">
        <v>-16.593424596712794</v>
      </c>
      <c r="V1854" s="2">
        <v>2.4356546322079566</v>
      </c>
    </row>
    <row r="1855" spans="1:22" ht="15">
      <c r="A1855" s="2">
        <v>1854</v>
      </c>
      <c r="B1855" s="2" t="s">
        <v>78</v>
      </c>
      <c r="C1855" s="2" t="s">
        <v>81</v>
      </c>
      <c r="D1855" s="2">
        <v>1033.0627095070668</v>
      </c>
      <c r="E1855" s="2">
        <v>781.79393361788243</v>
      </c>
      <c r="F1855" s="2">
        <v>565.87660806253552</v>
      </c>
      <c r="G1855" s="2">
        <v>145.91405067592859</v>
      </c>
      <c r="H1855" s="2">
        <v>20.69121420616284</v>
      </c>
      <c r="I1855" s="2">
        <v>0.81710911828558896</v>
      </c>
      <c r="J1855" s="2">
        <v>7</v>
      </c>
      <c r="K1855" s="2">
        <v>180.61282608384388</v>
      </c>
      <c r="L1855" s="2">
        <v>14320</v>
      </c>
      <c r="M1855" s="2">
        <v>1200</v>
      </c>
      <c r="N1855" s="2">
        <v>250.0276865227037</v>
      </c>
      <c r="O1855" s="2">
        <v>2503.4944546290249</v>
      </c>
      <c r="P1855" s="2">
        <v>1033.0627095070668</v>
      </c>
      <c r="Q1855" s="2">
        <v>246.14168578035361</v>
      </c>
      <c r="R1855" s="2">
        <v>2513.6487319996018</v>
      </c>
      <c r="S1855" s="2">
        <v>1037.5743889135724</v>
      </c>
      <c r="T1855" s="2">
        <v>-3.8860007423500917</v>
      </c>
      <c r="U1855" s="2">
        <v>10.154277370576892</v>
      </c>
      <c r="V1855" s="2">
        <v>4.5116794065056638</v>
      </c>
    </row>
    <row r="1856" spans="1:22" ht="15">
      <c r="A1856" s="2">
        <v>1855</v>
      </c>
      <c r="B1856" s="2" t="s">
        <v>79</v>
      </c>
      <c r="C1856" s="2" t="s">
        <v>81</v>
      </c>
      <c r="D1856" s="2">
        <v>1023.0828561121598</v>
      </c>
      <c r="E1856" s="2">
        <v>931.41458436148241</v>
      </c>
      <c r="F1856" s="2">
        <v>451.21752545237541</v>
      </c>
      <c r="G1856" s="2">
        <v>327.4880027002655</v>
      </c>
      <c r="H1856" s="2">
        <v>10.350625432096422</v>
      </c>
      <c r="I1856" s="2">
        <v>0.79633454086026179</v>
      </c>
      <c r="J1856" s="2">
        <v>7</v>
      </c>
      <c r="K1856" s="2">
        <v>183.53428895903599</v>
      </c>
      <c r="L1856" s="2">
        <v>12505</v>
      </c>
      <c r="M1856" s="2">
        <v>1200</v>
      </c>
      <c r="N1856" s="2">
        <v>249.99150479919541</v>
      </c>
      <c r="O1856" s="2">
        <v>2504.7549511989673</v>
      </c>
      <c r="P1856" s="2">
        <v>1023.0828561121598</v>
      </c>
      <c r="Q1856" s="2">
        <v>254.0508954583261</v>
      </c>
      <c r="R1856" s="2">
        <v>2493.7318386988218</v>
      </c>
      <c r="S1856" s="2">
        <v>1030.8514652073297</v>
      </c>
      <c r="T1856" s="2">
        <v>4.0593906591306848</v>
      </c>
      <c r="U1856" s="2">
        <v>-11.023112500145544</v>
      </c>
      <c r="V1856" s="2">
        <v>7.7686090951699498</v>
      </c>
    </row>
    <row r="1857" spans="1:22" ht="15">
      <c r="A1857" s="2">
        <v>1856</v>
      </c>
      <c r="B1857" s="2" t="s">
        <v>79</v>
      </c>
      <c r="C1857" s="2" t="s">
        <v>81</v>
      </c>
      <c r="D1857" s="2">
        <v>979.94932028232142</v>
      </c>
      <c r="E1857" s="2">
        <v>1153.5968836396933</v>
      </c>
      <c r="F1857" s="2">
        <v>507.65202632173896</v>
      </c>
      <c r="G1857" s="2">
        <v>225.96273854840547</v>
      </c>
      <c r="H1857" s="2">
        <v>24.403136448469013</v>
      </c>
      <c r="I1857" s="2">
        <v>0.80874212863855066</v>
      </c>
      <c r="J1857" s="2">
        <v>7</v>
      </c>
      <c r="K1857" s="2">
        <v>173.09937875500276</v>
      </c>
      <c r="L1857" s="2">
        <v>11330</v>
      </c>
      <c r="M1857" s="2">
        <v>1195</v>
      </c>
      <c r="N1857" s="2">
        <v>249.9574845667702</v>
      </c>
      <c r="O1857" s="2">
        <v>2495.3450621297707</v>
      </c>
      <c r="P1857" s="2">
        <v>979.94932028232142</v>
      </c>
      <c r="Q1857" s="2">
        <v>253.08163011012266</v>
      </c>
      <c r="R1857" s="2">
        <v>2481.5898002316512</v>
      </c>
      <c r="S1857" s="2">
        <v>965.88310743848751</v>
      </c>
      <c r="T1857" s="2">
        <v>3.124145543352455</v>
      </c>
      <c r="U1857" s="2">
        <v>-13.755261898119443</v>
      </c>
      <c r="V1857" s="2">
        <v>-14.06621284383391</v>
      </c>
    </row>
    <row r="1858" spans="1:22" ht="15">
      <c r="A1858" s="2">
        <v>1857</v>
      </c>
      <c r="B1858" s="2" t="s">
        <v>79</v>
      </c>
      <c r="C1858" s="2" t="s">
        <v>81</v>
      </c>
      <c r="D1858" s="2">
        <v>1087.8595086745918</v>
      </c>
      <c r="E1858" s="2">
        <v>747.70934017142281</v>
      </c>
      <c r="F1858" s="2">
        <v>530.24185840040445</v>
      </c>
      <c r="G1858" s="2">
        <v>313.61320147523656</v>
      </c>
      <c r="H1858" s="2">
        <v>14.441825399175286</v>
      </c>
      <c r="I1858" s="2">
        <v>0.80468745614634829</v>
      </c>
      <c r="J1858" s="2">
        <v>7</v>
      </c>
      <c r="K1858" s="2">
        <v>193.12902177384422</v>
      </c>
      <c r="L1858" s="2">
        <v>13435</v>
      </c>
      <c r="M1858" s="2">
        <v>1200</v>
      </c>
      <c r="N1858" s="2">
        <v>249.9637061464546</v>
      </c>
      <c r="O1858" s="2">
        <v>2504.0648146855538</v>
      </c>
      <c r="P1858" s="2">
        <v>1087.8595086745918</v>
      </c>
      <c r="Q1858" s="2">
        <v>249.16338274272573</v>
      </c>
      <c r="R1858" s="2">
        <v>2465.4833599488193</v>
      </c>
      <c r="S1858" s="2">
        <v>1092.5517102293866</v>
      </c>
      <c r="T1858" s="2">
        <v>-0.80032340372886779</v>
      </c>
      <c r="U1858" s="2">
        <v>-38.581454736734486</v>
      </c>
      <c r="V1858" s="2">
        <v>4.6922015547947922</v>
      </c>
    </row>
    <row r="1859" spans="1:22" ht="15">
      <c r="A1859" s="2">
        <v>1858</v>
      </c>
      <c r="B1859" s="2" t="s">
        <v>80</v>
      </c>
      <c r="C1859" s="2" t="s">
        <v>81</v>
      </c>
      <c r="D1859" s="2">
        <v>959.44070793921128</v>
      </c>
      <c r="E1859" s="2">
        <v>729.10175018478185</v>
      </c>
      <c r="F1859" s="2">
        <v>746.41261929646134</v>
      </c>
      <c r="G1859" s="2">
        <v>85.976019660010934</v>
      </c>
      <c r="H1859" s="2">
        <v>11.796458416152745</v>
      </c>
      <c r="I1859" s="2">
        <v>0.79998658834490932</v>
      </c>
      <c r="J1859" s="2">
        <v>6</v>
      </c>
      <c r="K1859" s="2">
        <v>199.88683183722623</v>
      </c>
      <c r="L1859" s="2">
        <v>15980</v>
      </c>
      <c r="M1859" s="2">
        <v>1200</v>
      </c>
      <c r="N1859" s="2">
        <v>250.02547334558139</v>
      </c>
      <c r="O1859" s="2">
        <v>2502.5912124456586</v>
      </c>
      <c r="P1859" s="2">
        <v>959.44070793921128</v>
      </c>
      <c r="Q1859" s="2">
        <v>251.84292793184568</v>
      </c>
      <c r="R1859" s="2">
        <v>2497.3263347456377</v>
      </c>
      <c r="S1859" s="2">
        <v>970.99539901444177</v>
      </c>
      <c r="T1859" s="2">
        <v>1.8174545862642901</v>
      </c>
      <c r="U1859" s="2">
        <v>-5.2648777000208611</v>
      </c>
      <c r="V1859" s="2">
        <v>11.554691075230494</v>
      </c>
    </row>
    <row r="1860" spans="1:22" ht="15">
      <c r="A1860" s="2">
        <v>1859</v>
      </c>
      <c r="B1860" s="2" t="s">
        <v>80</v>
      </c>
      <c r="C1860" s="2" t="s">
        <v>81</v>
      </c>
      <c r="D1860" s="2">
        <v>1050.910123786889</v>
      </c>
      <c r="E1860" s="2">
        <v>639.89512525731698</v>
      </c>
      <c r="F1860" s="2">
        <v>741.88499562442303</v>
      </c>
      <c r="G1860" s="2">
        <v>121.73058242304251</v>
      </c>
      <c r="H1860" s="2">
        <v>21.791774307377636</v>
      </c>
      <c r="I1860" s="2">
        <v>0.79102608279092246</v>
      </c>
      <c r="J1860" s="2">
        <v>7</v>
      </c>
      <c r="K1860" s="2">
        <v>189.79148848562357</v>
      </c>
      <c r="L1860" s="2">
        <v>14225</v>
      </c>
      <c r="M1860" s="2">
        <v>1200</v>
      </c>
      <c r="N1860" s="2">
        <v>250.01962757469011</v>
      </c>
      <c r="O1860" s="2">
        <v>2503.5522365060779</v>
      </c>
      <c r="P1860" s="2">
        <v>1050.910123786889</v>
      </c>
      <c r="Q1860" s="2">
        <v>248.10546297990814</v>
      </c>
      <c r="R1860" s="2">
        <v>2508.9818336145322</v>
      </c>
      <c r="S1860" s="2">
        <v>1049.5250899547834</v>
      </c>
      <c r="T1860" s="2">
        <v>-1.9141645947819654</v>
      </c>
      <c r="U1860" s="2">
        <v>5.4295971084543453</v>
      </c>
      <c r="V1860" s="2">
        <v>-1.3850338321055915</v>
      </c>
    </row>
    <row r="1861" spans="1:22" ht="15">
      <c r="A1861" s="2">
        <v>1860</v>
      </c>
      <c r="B1861" s="2" t="s">
        <v>80</v>
      </c>
      <c r="C1861" s="2" t="s">
        <v>81</v>
      </c>
      <c r="D1861" s="2">
        <v>963.49012473365292</v>
      </c>
      <c r="E1861" s="2">
        <v>1186.2240780610591</v>
      </c>
      <c r="F1861" s="2">
        <v>495.83308724686503</v>
      </c>
      <c r="G1861" s="2">
        <v>151.23548572417349</v>
      </c>
      <c r="H1861" s="2">
        <v>12.918498031329364</v>
      </c>
      <c r="I1861" s="2">
        <v>0.85404711699113256</v>
      </c>
      <c r="J1861" s="2">
        <v>6</v>
      </c>
      <c r="K1861" s="2">
        <v>188.0243891242784</v>
      </c>
      <c r="L1861" s="2">
        <v>13610</v>
      </c>
      <c r="M1861" s="2">
        <v>1200</v>
      </c>
      <c r="N1861" s="2">
        <v>250.01048230444789</v>
      </c>
      <c r="O1861" s="2">
        <v>2503.9473970115891</v>
      </c>
      <c r="P1861" s="2">
        <v>963.49012473365292</v>
      </c>
      <c r="Q1861" s="2">
        <v>249.8220799003123</v>
      </c>
      <c r="R1861" s="2">
        <v>2541.1796226981201</v>
      </c>
      <c r="S1861" s="2">
        <v>962.55284233037901</v>
      </c>
      <c r="T1861" s="2">
        <v>-0.18840240413558718</v>
      </c>
      <c r="U1861" s="2">
        <v>37.23222568653091</v>
      </c>
      <c r="V1861" s="2">
        <v>-0.93728240327391177</v>
      </c>
    </row>
    <row r="1862" spans="1:22" ht="15">
      <c r="A1862" s="2">
        <v>1861</v>
      </c>
      <c r="B1862" s="2" t="s">
        <v>78</v>
      </c>
      <c r="C1862" s="2" t="s">
        <v>81</v>
      </c>
      <c r="D1862" s="2">
        <v>1083.4686460439116</v>
      </c>
      <c r="E1862" s="2">
        <v>961.68789732037112</v>
      </c>
      <c r="F1862" s="2">
        <v>504.29622959345579</v>
      </c>
      <c r="G1862" s="2">
        <v>96.244522586930543</v>
      </c>
      <c r="H1862" s="2">
        <v>27.62188833206892</v>
      </c>
      <c r="I1862" s="2">
        <v>0.84367546679684891</v>
      </c>
      <c r="J1862" s="2">
        <v>7</v>
      </c>
      <c r="K1862" s="2">
        <v>183.46063295734123</v>
      </c>
      <c r="L1862" s="2">
        <v>13690</v>
      </c>
      <c r="M1862" s="2">
        <v>1200</v>
      </c>
      <c r="N1862" s="2">
        <v>250.01358207135769</v>
      </c>
      <c r="O1862" s="2">
        <v>2503.8940454144736</v>
      </c>
      <c r="P1862" s="2">
        <v>1083.4686460439116</v>
      </c>
      <c r="Q1862" s="2">
        <v>247.28000604911853</v>
      </c>
      <c r="R1862" s="2">
        <v>2523.8695959229144</v>
      </c>
      <c r="S1862" s="2">
        <v>1080.2323709810544</v>
      </c>
      <c r="T1862" s="2">
        <v>-2.7335760222391627</v>
      </c>
      <c r="U1862" s="2">
        <v>19.975550508440847</v>
      </c>
      <c r="V1862" s="2">
        <v>-3.236275062857203</v>
      </c>
    </row>
    <row r="1863" spans="1:22" ht="15">
      <c r="A1863" s="2">
        <v>1862</v>
      </c>
      <c r="B1863" s="2" t="s">
        <v>78</v>
      </c>
      <c r="C1863" s="2" t="s">
        <v>81</v>
      </c>
      <c r="D1863" s="2">
        <v>1095.0579769094475</v>
      </c>
      <c r="E1863" s="2">
        <v>879.17670716997236</v>
      </c>
      <c r="F1863" s="2">
        <v>388.1207880564034</v>
      </c>
      <c r="G1863" s="2">
        <v>266.97923375293612</v>
      </c>
      <c r="H1863" s="2">
        <v>22.791004730854183</v>
      </c>
      <c r="I1863" s="2">
        <v>0.79109174692537643</v>
      </c>
      <c r="J1863" s="2">
        <v>7</v>
      </c>
      <c r="K1863" s="2">
        <v>197.74805444780282</v>
      </c>
      <c r="L1863" s="2">
        <v>13940</v>
      </c>
      <c r="M1863" s="2">
        <v>1200</v>
      </c>
      <c r="N1863" s="2">
        <v>250.02407532777761</v>
      </c>
      <c r="O1863" s="2">
        <v>2503.7313316947343</v>
      </c>
      <c r="P1863" s="2">
        <v>1095.0579769094475</v>
      </c>
      <c r="Q1863" s="2">
        <v>250.60167694975124</v>
      </c>
      <c r="R1863" s="2">
        <v>2478.4962167511967</v>
      </c>
      <c r="S1863" s="2">
        <v>1088.3737119784771</v>
      </c>
      <c r="T1863" s="2">
        <v>0.57760162197362774</v>
      </c>
      <c r="U1863" s="2">
        <v>-25.23511494353761</v>
      </c>
      <c r="V1863" s="2">
        <v>-6.6842649309703575</v>
      </c>
    </row>
    <row r="1864" spans="1:22" ht="15">
      <c r="A1864" s="2">
        <v>1863</v>
      </c>
      <c r="B1864" s="2" t="s">
        <v>78</v>
      </c>
      <c r="C1864" s="2" t="s">
        <v>81</v>
      </c>
      <c r="D1864" s="2">
        <v>1032.2133249836043</v>
      </c>
      <c r="E1864" s="2">
        <v>1120.7736291107722</v>
      </c>
      <c r="F1864" s="2">
        <v>490.57833254337311</v>
      </c>
      <c r="G1864" s="2">
        <v>232.12746703764424</v>
      </c>
      <c r="H1864" s="2">
        <v>10.735728862695396</v>
      </c>
      <c r="I1864" s="2">
        <v>0.79725032463436951</v>
      </c>
      <c r="J1864" s="2">
        <v>7</v>
      </c>
      <c r="K1864" s="2">
        <v>184.95953136658304</v>
      </c>
      <c r="L1864" s="2">
        <v>11600</v>
      </c>
      <c r="M1864" s="2">
        <v>1195</v>
      </c>
      <c r="N1864" s="2">
        <v>249.98346044366167</v>
      </c>
      <c r="O1864" s="2">
        <v>2495.0915488567575</v>
      </c>
      <c r="P1864" s="2">
        <v>1032.2133249836043</v>
      </c>
      <c r="Q1864" s="2">
        <v>250.84470971240745</v>
      </c>
      <c r="R1864" s="2">
        <v>2548.0820655139414</v>
      </c>
      <c r="S1864" s="2">
        <v>1035.6437177879147</v>
      </c>
      <c r="T1864" s="2">
        <v>0.86124926874578023</v>
      </c>
      <c r="U1864" s="2">
        <v>52.990516657183889</v>
      </c>
      <c r="V1864" s="2">
        <v>3.4303928043104861</v>
      </c>
    </row>
    <row r="1865" spans="1:22" ht="15">
      <c r="A1865" s="2">
        <v>1864</v>
      </c>
      <c r="B1865" s="2" t="s">
        <v>78</v>
      </c>
      <c r="C1865" s="2" t="s">
        <v>81</v>
      </c>
      <c r="D1865" s="2">
        <v>1005.0662276218645</v>
      </c>
      <c r="E1865" s="2">
        <v>1241.0840799100697</v>
      </c>
      <c r="F1865" s="2">
        <v>461.72707146033645</v>
      </c>
      <c r="G1865" s="2">
        <v>203.7810660386458</v>
      </c>
      <c r="H1865" s="2">
        <v>28.940917370375246</v>
      </c>
      <c r="I1865" s="2">
        <v>0.84625269764102995</v>
      </c>
      <c r="J1865" s="2">
        <v>6</v>
      </c>
      <c r="K1865" s="2">
        <v>197.9444655289401</v>
      </c>
      <c r="L1865" s="2">
        <v>13085</v>
      </c>
      <c r="M1865" s="2">
        <v>1200</v>
      </c>
      <c r="N1865" s="2">
        <v>249.9773163392569</v>
      </c>
      <c r="O1865" s="2">
        <v>2504.3131325279837</v>
      </c>
      <c r="P1865" s="2">
        <v>1005.0662276218645</v>
      </c>
      <c r="Q1865" s="2">
        <v>247.74341789481582</v>
      </c>
      <c r="R1865" s="2">
        <v>2562.5997337720451</v>
      </c>
      <c r="S1865" s="2">
        <v>983.88956432427517</v>
      </c>
      <c r="T1865" s="2">
        <v>-2.2338984444410812</v>
      </c>
      <c r="U1865" s="2">
        <v>58.28660124406133</v>
      </c>
      <c r="V1865" s="2">
        <v>-21.176663297589357</v>
      </c>
    </row>
    <row r="1866" spans="1:22" ht="15">
      <c r="A1866" s="2">
        <v>1865</v>
      </c>
      <c r="B1866" s="2" t="s">
        <v>78</v>
      </c>
      <c r="C1866" s="2" t="s">
        <v>81</v>
      </c>
      <c r="D1866" s="2">
        <v>1046.3872099295259</v>
      </c>
      <c r="E1866" s="2">
        <v>626.07860643183812</v>
      </c>
      <c r="F1866" s="2">
        <v>562.80931551009417</v>
      </c>
      <c r="G1866" s="2">
        <v>155.20414289319888</v>
      </c>
      <c r="H1866" s="2">
        <v>28.67703396640718</v>
      </c>
      <c r="I1866" s="2">
        <v>0.81277045690687377</v>
      </c>
      <c r="J1866" s="2">
        <v>7</v>
      </c>
      <c r="K1866" s="2">
        <v>183.91894767149131</v>
      </c>
      <c r="L1866" s="2">
        <v>15910</v>
      </c>
      <c r="M1866" s="2">
        <v>1200</v>
      </c>
      <c r="N1866" s="2">
        <v>249.98539806213222</v>
      </c>
      <c r="O1866" s="2">
        <v>2502.6242287278183</v>
      </c>
      <c r="P1866" s="2">
        <v>1046.3872099295259</v>
      </c>
      <c r="Q1866" s="2">
        <v>245.98468366779497</v>
      </c>
      <c r="R1866" s="2">
        <v>2506.5891028597412</v>
      </c>
      <c r="S1866" s="2">
        <v>1044.6894545048222</v>
      </c>
      <c r="T1866" s="2">
        <v>-4.0007143943372512</v>
      </c>
      <c r="U1866" s="2">
        <v>3.9648741319228975</v>
      </c>
      <c r="V1866" s="2">
        <v>-1.6977554247037006</v>
      </c>
    </row>
    <row r="1867" spans="1:22" ht="15">
      <c r="A1867" s="2">
        <v>1866</v>
      </c>
      <c r="B1867" s="2" t="s">
        <v>78</v>
      </c>
      <c r="C1867" s="2" t="s">
        <v>81</v>
      </c>
      <c r="D1867" s="2">
        <v>1061.5145125077106</v>
      </c>
      <c r="E1867" s="2">
        <v>727.14906933251768</v>
      </c>
      <c r="F1867" s="2">
        <v>570.35377928987145</v>
      </c>
      <c r="G1867" s="2">
        <v>123.06228901259601</v>
      </c>
      <c r="H1867" s="2">
        <v>13.775940243620425</v>
      </c>
      <c r="I1867" s="2">
        <v>0.80313297901768244</v>
      </c>
      <c r="J1867" s="2">
        <v>7</v>
      </c>
      <c r="K1867" s="2">
        <v>188.81671444213677</v>
      </c>
      <c r="L1867" s="2">
        <v>15055</v>
      </c>
      <c r="M1867" s="2">
        <v>1200</v>
      </c>
      <c r="N1867" s="2">
        <v>250.00972211764653</v>
      </c>
      <c r="O1867" s="2">
        <v>2503.0693937792007</v>
      </c>
      <c r="P1867" s="2">
        <v>1061.5145125077106</v>
      </c>
      <c r="Q1867" s="2">
        <v>249.61534923449059</v>
      </c>
      <c r="R1867" s="2">
        <v>2479.8793422143513</v>
      </c>
      <c r="S1867" s="2">
        <v>1073.1101907643401</v>
      </c>
      <c r="T1867" s="2">
        <v>-0.39437288315593833</v>
      </c>
      <c r="U1867" s="2">
        <v>-23.190051564849455</v>
      </c>
      <c r="V1867" s="2">
        <v>11.595678256629526</v>
      </c>
    </row>
    <row r="1868" spans="1:22" ht="15">
      <c r="A1868" s="2">
        <v>1867</v>
      </c>
      <c r="B1868" s="2" t="s">
        <v>78</v>
      </c>
      <c r="C1868" s="2" t="s">
        <v>81</v>
      </c>
      <c r="D1868" s="2">
        <v>1071.4339951751754</v>
      </c>
      <c r="E1868" s="2">
        <v>626.99300373205915</v>
      </c>
      <c r="F1868" s="2">
        <v>401.06540806591511</v>
      </c>
      <c r="G1868" s="2">
        <v>169.2425665515475</v>
      </c>
      <c r="H1868" s="2">
        <v>11.705346287228167</v>
      </c>
      <c r="I1868" s="2">
        <v>0.83047986685065556</v>
      </c>
      <c r="J1868" s="2">
        <v>7</v>
      </c>
      <c r="K1868" s="2">
        <v>184.30549062095969</v>
      </c>
      <c r="L1868" s="2">
        <v>17860</v>
      </c>
      <c r="M1868" s="2">
        <v>1200</v>
      </c>
      <c r="N1868" s="2">
        <v>249.97676453107448</v>
      </c>
      <c r="O1868" s="2">
        <v>2501.7697284551682</v>
      </c>
      <c r="P1868" s="2">
        <v>1071.4339951751754</v>
      </c>
      <c r="Q1868" s="2">
        <v>246.9875804636302</v>
      </c>
      <c r="R1868" s="2">
        <v>2464.0542564186608</v>
      </c>
      <c r="S1868" s="2">
        <v>1089.2405582692436</v>
      </c>
      <c r="T1868" s="2">
        <v>-2.9891840674442847</v>
      </c>
      <c r="U1868" s="2">
        <v>-37.715472036507435</v>
      </c>
      <c r="V1868" s="2">
        <v>17.806563094068224</v>
      </c>
    </row>
    <row r="1869" spans="1:22" ht="15">
      <c r="A1869" s="2">
        <v>1868</v>
      </c>
      <c r="B1869" s="2" t="s">
        <v>78</v>
      </c>
      <c r="C1869" s="2" t="s">
        <v>81</v>
      </c>
      <c r="D1869" s="2">
        <v>965.00967688625678</v>
      </c>
      <c r="E1869" s="2">
        <v>677.26026750169694</v>
      </c>
      <c r="F1869" s="2">
        <v>719.35842735692859</v>
      </c>
      <c r="G1869" s="2">
        <v>99.20217543374747</v>
      </c>
      <c r="H1869" s="2">
        <v>13.287114951293916</v>
      </c>
      <c r="I1869" s="2">
        <v>0.82884299334138634</v>
      </c>
      <c r="J1869" s="2">
        <v>6</v>
      </c>
      <c r="K1869" s="2">
        <v>194.04754270687823</v>
      </c>
      <c r="L1869" s="2">
        <v>16680</v>
      </c>
      <c r="M1869" s="2">
        <v>1200</v>
      </c>
      <c r="N1869" s="2">
        <v>250.00220415375091</v>
      </c>
      <c r="O1869" s="2">
        <v>2502.2635478144102</v>
      </c>
      <c r="P1869" s="2">
        <v>965.00967688625678</v>
      </c>
      <c r="Q1869" s="2">
        <v>247.64199922161939</v>
      </c>
      <c r="R1869" s="2">
        <v>2481.6045286159442</v>
      </c>
      <c r="S1869" s="2">
        <v>974.18221031404096</v>
      </c>
      <c r="T1869" s="2">
        <v>-2.3602049321315235</v>
      </c>
      <c r="U1869" s="2">
        <v>-20.659019198466012</v>
      </c>
      <c r="V1869" s="2">
        <v>9.1725334277841739</v>
      </c>
    </row>
    <row r="1870" spans="1:22" ht="15">
      <c r="A1870" s="2">
        <v>1869</v>
      </c>
      <c r="B1870" s="2" t="s">
        <v>78</v>
      </c>
      <c r="C1870" s="2" t="s">
        <v>81</v>
      </c>
      <c r="D1870" s="2">
        <v>963.75736980699003</v>
      </c>
      <c r="E1870" s="2">
        <v>909.34876267565414</v>
      </c>
      <c r="F1870" s="2">
        <v>720.85346188396215</v>
      </c>
      <c r="G1870" s="2">
        <v>175.66849452676252</v>
      </c>
      <c r="H1870" s="2">
        <v>22.068485427647829</v>
      </c>
      <c r="I1870" s="2">
        <v>0.79286348015302799</v>
      </c>
      <c r="J1870" s="2">
        <v>7</v>
      </c>
      <c r="K1870" s="2">
        <v>173.64858857109718</v>
      </c>
      <c r="L1870" s="2">
        <v>11840</v>
      </c>
      <c r="M1870" s="2">
        <v>1195</v>
      </c>
      <c r="N1870" s="2">
        <v>249.95039971916594</v>
      </c>
      <c r="O1870" s="2">
        <v>2494.8735332356537</v>
      </c>
      <c r="P1870" s="2">
        <v>963.75736980699003</v>
      </c>
      <c r="Q1870" s="2">
        <v>251.6267127823107</v>
      </c>
      <c r="R1870" s="2">
        <v>2486.8865107326151</v>
      </c>
      <c r="S1870" s="2">
        <v>961.79719939321228</v>
      </c>
      <c r="T1870" s="2">
        <v>1.6763130631447609</v>
      </c>
      <c r="U1870" s="2">
        <v>-7.9870225030385882</v>
      </c>
      <c r="V1870" s="2">
        <v>-1.960170413777746</v>
      </c>
    </row>
    <row r="1871" spans="1:22" ht="15">
      <c r="A1871" s="2">
        <v>1870</v>
      </c>
      <c r="B1871" s="2" t="s">
        <v>78</v>
      </c>
      <c r="C1871" s="2" t="s">
        <v>81</v>
      </c>
      <c r="D1871" s="2">
        <v>965.73192795040086</v>
      </c>
      <c r="E1871" s="2">
        <v>1132.0546266390011</v>
      </c>
      <c r="F1871" s="2">
        <v>676.67720960453153</v>
      </c>
      <c r="G1871" s="2">
        <v>127.96510748565197</v>
      </c>
      <c r="H1871" s="2">
        <v>23.800800228957087</v>
      </c>
      <c r="I1871" s="2">
        <v>0.81607372790109367</v>
      </c>
      <c r="J1871" s="2">
        <v>6</v>
      </c>
      <c r="K1871" s="2">
        <v>197.23134788205584</v>
      </c>
      <c r="L1871" s="2">
        <v>12885</v>
      </c>
      <c r="M1871" s="2">
        <v>1200</v>
      </c>
      <c r="N1871" s="2">
        <v>250.0431306627068</v>
      </c>
      <c r="O1871" s="2">
        <v>2504.4633430704312</v>
      </c>
      <c r="P1871" s="2">
        <v>965.73192795040086</v>
      </c>
      <c r="Q1871" s="2">
        <v>250.93636596731227</v>
      </c>
      <c r="R1871" s="2">
        <v>2555.5320086838888</v>
      </c>
      <c r="S1871" s="2">
        <v>959.93437999217178</v>
      </c>
      <c r="T1871" s="2">
        <v>0.89323530460546863</v>
      </c>
      <c r="U1871" s="2">
        <v>51.068665613457597</v>
      </c>
      <c r="V1871" s="2">
        <v>-5.7975479582290745</v>
      </c>
    </row>
    <row r="1872" spans="1:22" ht="15">
      <c r="A1872" s="2">
        <v>1871</v>
      </c>
      <c r="B1872" s="2" t="s">
        <v>78</v>
      </c>
      <c r="C1872" s="2" t="s">
        <v>81</v>
      </c>
      <c r="D1872" s="2">
        <v>1047.1788233378902</v>
      </c>
      <c r="E1872" s="2">
        <v>887.41568970726803</v>
      </c>
      <c r="F1872" s="2">
        <v>568.06410625576973</v>
      </c>
      <c r="G1872" s="2">
        <v>111.807858904358</v>
      </c>
      <c r="H1872" s="2">
        <v>11.111659734509885</v>
      </c>
      <c r="I1872" s="2">
        <v>0.79831434694817294</v>
      </c>
      <c r="J1872" s="2">
        <v>7</v>
      </c>
      <c r="K1872" s="2">
        <v>187.39106385152775</v>
      </c>
      <c r="L1872" s="2">
        <v>13645</v>
      </c>
      <c r="M1872" s="2">
        <v>1200</v>
      </c>
      <c r="N1872" s="2">
        <v>249.99837503977548</v>
      </c>
      <c r="O1872" s="2">
        <v>2503.9234948965145</v>
      </c>
      <c r="P1872" s="2">
        <v>1047.1788233378902</v>
      </c>
      <c r="Q1872" s="2">
        <v>251.25162955930472</v>
      </c>
      <c r="R1872" s="2">
        <v>2505.5828622273543</v>
      </c>
      <c r="S1872" s="2">
        <v>1055.6691916841983</v>
      </c>
      <c r="T1872" s="2">
        <v>1.2532545195292357</v>
      </c>
      <c r="U1872" s="2">
        <v>1.6593673308398138</v>
      </c>
      <c r="V1872" s="2">
        <v>8.4903683463080597</v>
      </c>
    </row>
    <row r="1873" spans="1:22" ht="15">
      <c r="A1873" s="2">
        <v>1872</v>
      </c>
      <c r="B1873" s="2" t="s">
        <v>78</v>
      </c>
      <c r="C1873" s="2" t="s">
        <v>81</v>
      </c>
      <c r="D1873" s="2">
        <v>961.61665468243882</v>
      </c>
      <c r="E1873" s="2">
        <v>806.03042375296354</v>
      </c>
      <c r="F1873" s="2">
        <v>562.0255901478231</v>
      </c>
      <c r="G1873" s="2">
        <v>323.66749648470432</v>
      </c>
      <c r="H1873" s="2">
        <v>25.477081218268722</v>
      </c>
      <c r="I1873" s="2">
        <v>0.80211742683313791</v>
      </c>
      <c r="J1873" s="2">
        <v>6</v>
      </c>
      <c r="K1873" s="2">
        <v>199.80795465302052</v>
      </c>
      <c r="L1873" s="2">
        <v>14750</v>
      </c>
      <c r="M1873" s="2">
        <v>1200</v>
      </c>
      <c r="N1873" s="2">
        <v>250.02887715915392</v>
      </c>
      <c r="O1873" s="2">
        <v>2503.2410236274191</v>
      </c>
      <c r="P1873" s="2">
        <v>961.61665468243882</v>
      </c>
      <c r="Q1873" s="2">
        <v>250.16327216807161</v>
      </c>
      <c r="R1873" s="2">
        <v>2507.481317199904</v>
      </c>
      <c r="S1873" s="2">
        <v>957.93223167263841</v>
      </c>
      <c r="T1873" s="2">
        <v>0.13439500891769285</v>
      </c>
      <c r="U1873" s="2">
        <v>4.2402935724849158</v>
      </c>
      <c r="V1873" s="2">
        <v>-3.6844230098004118</v>
      </c>
    </row>
    <row r="1874" spans="1:22" ht="15">
      <c r="A1874" s="2">
        <v>1873</v>
      </c>
      <c r="B1874" s="2" t="s">
        <v>78</v>
      </c>
      <c r="C1874" s="2" t="s">
        <v>81</v>
      </c>
      <c r="D1874" s="2">
        <v>1026.9325301982462</v>
      </c>
      <c r="E1874" s="2">
        <v>1056.0332042514347</v>
      </c>
      <c r="F1874" s="2">
        <v>579.38510868698359</v>
      </c>
      <c r="G1874" s="2">
        <v>169.04024405637756</v>
      </c>
      <c r="H1874" s="2">
        <v>9.8704342860728502</v>
      </c>
      <c r="I1874" s="2">
        <v>0.84034756622510032</v>
      </c>
      <c r="J1874" s="2">
        <v>7</v>
      </c>
      <c r="K1874" s="2">
        <v>174.5761552332275</v>
      </c>
      <c r="L1874" s="2">
        <v>11850</v>
      </c>
      <c r="M1874" s="2">
        <v>1195</v>
      </c>
      <c r="N1874" s="2">
        <v>249.96557669242125</v>
      </c>
      <c r="O1874" s="2">
        <v>2494.8653470096783</v>
      </c>
      <c r="P1874" s="2">
        <v>1026.9325301982462</v>
      </c>
      <c r="Q1874" s="2">
        <v>252.04331592454864</v>
      </c>
      <c r="R1874" s="2">
        <v>2480.9955412507384</v>
      </c>
      <c r="S1874" s="2">
        <v>1033.7814786098097</v>
      </c>
      <c r="T1874" s="2">
        <v>2.0777392321273851</v>
      </c>
      <c r="U1874" s="2">
        <v>-13.869805758939947</v>
      </c>
      <c r="V1874" s="2">
        <v>6.8489484115634696</v>
      </c>
    </row>
    <row r="1875" spans="1:22" ht="15">
      <c r="A1875" s="2">
        <v>1874</v>
      </c>
      <c r="B1875" s="2" t="s">
        <v>78</v>
      </c>
      <c r="C1875" s="2" t="s">
        <v>81</v>
      </c>
      <c r="D1875" s="2">
        <v>1000.6462026038207</v>
      </c>
      <c r="E1875" s="2">
        <v>1058.4637225838378</v>
      </c>
      <c r="F1875" s="2">
        <v>615.40187383070588</v>
      </c>
      <c r="G1875" s="2">
        <v>172.79077802784741</v>
      </c>
      <c r="H1875" s="2">
        <v>19.335614040959626</v>
      </c>
      <c r="I1875" s="2">
        <v>0.81594780276063839</v>
      </c>
      <c r="J1875" s="2">
        <v>7</v>
      </c>
      <c r="K1875" s="2">
        <v>175.19436541306101</v>
      </c>
      <c r="L1875" s="2">
        <v>11580</v>
      </c>
      <c r="M1875" s="2">
        <v>1195</v>
      </c>
      <c r="N1875" s="2">
        <v>249.98274068000657</v>
      </c>
      <c r="O1875" s="2">
        <v>2495.1099654365416</v>
      </c>
      <c r="P1875" s="2">
        <v>1000.6462026038207</v>
      </c>
      <c r="Q1875" s="2">
        <v>249.25454631817786</v>
      </c>
      <c r="R1875" s="2">
        <v>2552.2995523828949</v>
      </c>
      <c r="S1875" s="2">
        <v>996.56911026069986</v>
      </c>
      <c r="T1875" s="2">
        <v>-0.728194361828713</v>
      </c>
      <c r="U1875" s="2">
        <v>57.189586946353302</v>
      </c>
      <c r="V1875" s="2">
        <v>-4.077092343120853</v>
      </c>
    </row>
    <row r="1876" spans="1:22" ht="15">
      <c r="A1876" s="2">
        <v>1875</v>
      </c>
      <c r="B1876" s="2" t="s">
        <v>79</v>
      </c>
      <c r="C1876" s="2" t="s">
        <v>81</v>
      </c>
      <c r="D1876" s="2">
        <v>998.47148300614208</v>
      </c>
      <c r="E1876" s="2">
        <v>732.86430981243029</v>
      </c>
      <c r="F1876" s="2">
        <v>423.06751869618893</v>
      </c>
      <c r="G1876" s="2">
        <v>83.740601881872863</v>
      </c>
      <c r="H1876" s="2">
        <v>19.824068752117455</v>
      </c>
      <c r="I1876" s="2">
        <v>0.8575599072570913</v>
      </c>
      <c r="J1876" s="2">
        <v>6</v>
      </c>
      <c r="K1876" s="2">
        <v>194.05281476675626</v>
      </c>
      <c r="L1876" s="2">
        <v>20125</v>
      </c>
      <c r="M1876" s="2">
        <v>1200</v>
      </c>
      <c r="N1876" s="2">
        <v>249.98338748331585</v>
      </c>
      <c r="O1876" s="2">
        <v>2500.985469558676</v>
      </c>
      <c r="P1876" s="2">
        <v>998.47148300614208</v>
      </c>
      <c r="Q1876" s="2">
        <v>247.6111542858973</v>
      </c>
      <c r="R1876" s="2">
        <v>2463.2915582574246</v>
      </c>
      <c r="S1876" s="2">
        <v>1006.5169031910641</v>
      </c>
      <c r="T1876" s="2">
        <v>-2.3722331974185522</v>
      </c>
      <c r="U1876" s="2">
        <v>-37.693911301251319</v>
      </c>
      <c r="V1876" s="2">
        <v>8.0454201849220226</v>
      </c>
    </row>
    <row r="1877" spans="1:22" ht="15">
      <c r="A1877" s="2">
        <v>1876</v>
      </c>
      <c r="B1877" s="2" t="s">
        <v>79</v>
      </c>
      <c r="C1877" s="2" t="s">
        <v>81</v>
      </c>
      <c r="D1877" s="2">
        <v>980.99549984326586</v>
      </c>
      <c r="E1877" s="2">
        <v>685.74283481575549</v>
      </c>
      <c r="F1877" s="2">
        <v>408.80977092310786</v>
      </c>
      <c r="G1877" s="2">
        <v>97.733109532855451</v>
      </c>
      <c r="H1877" s="2">
        <v>9.1582709099166095</v>
      </c>
      <c r="I1877" s="2">
        <v>0.80934489564970136</v>
      </c>
      <c r="J1877" s="2">
        <v>7</v>
      </c>
      <c r="K1877" s="2">
        <v>173.15512214458903</v>
      </c>
      <c r="L1877" s="2">
        <v>17935</v>
      </c>
      <c r="M1877" s="2">
        <v>1200</v>
      </c>
      <c r="N1877" s="2">
        <v>249.97495418586635</v>
      </c>
      <c r="O1877" s="2">
        <v>2501.7405336057395</v>
      </c>
      <c r="P1877" s="2">
        <v>980.99549984326586</v>
      </c>
      <c r="Q1877" s="2">
        <v>247.24825463236002</v>
      </c>
      <c r="R1877" s="2">
        <v>2448.6714220467529</v>
      </c>
      <c r="S1877" s="2">
        <v>992.83258396730037</v>
      </c>
      <c r="T1877" s="2">
        <v>-2.7266995535063359</v>
      </c>
      <c r="U1877" s="2">
        <v>-53.069111558986606</v>
      </c>
      <c r="V1877" s="2">
        <v>11.837084124034504</v>
      </c>
    </row>
    <row r="1878" spans="1:22" ht="15">
      <c r="A1878" s="2">
        <v>1877</v>
      </c>
      <c r="B1878" s="2" t="s">
        <v>79</v>
      </c>
      <c r="C1878" s="2" t="s">
        <v>81</v>
      </c>
      <c r="D1878" s="2">
        <v>957.84146641381085</v>
      </c>
      <c r="E1878" s="2">
        <v>1043.2681258651428</v>
      </c>
      <c r="F1878" s="2">
        <v>615.01529794186354</v>
      </c>
      <c r="G1878" s="2">
        <v>257.02116846339777</v>
      </c>
      <c r="H1878" s="2">
        <v>27.311910673975945</v>
      </c>
      <c r="I1878" s="2">
        <v>0.84507121203700086</v>
      </c>
      <c r="J1878" s="2">
        <v>6</v>
      </c>
      <c r="K1878" s="2">
        <v>188.90744605711649</v>
      </c>
      <c r="L1878" s="2">
        <v>13025</v>
      </c>
      <c r="M1878" s="2">
        <v>1200</v>
      </c>
      <c r="N1878" s="2">
        <v>249.96808952924209</v>
      </c>
      <c r="O1878" s="2">
        <v>2504.3566037935921</v>
      </c>
      <c r="P1878" s="2">
        <v>957.84146641381085</v>
      </c>
      <c r="Q1878" s="2">
        <v>251.01254726448803</v>
      </c>
      <c r="R1878" s="2">
        <v>2547.6583382583894</v>
      </c>
      <c r="S1878" s="2">
        <v>939.3996767596833</v>
      </c>
      <c r="T1878" s="2">
        <v>1.0444577352459419</v>
      </c>
      <c r="U1878" s="2">
        <v>43.301734464797391</v>
      </c>
      <c r="V1878" s="2">
        <v>-18.441789654127547</v>
      </c>
    </row>
    <row r="1879" spans="1:22" ht="15">
      <c r="A1879" s="2">
        <v>1878</v>
      </c>
      <c r="B1879" s="2" t="s">
        <v>80</v>
      </c>
      <c r="C1879" s="2" t="s">
        <v>81</v>
      </c>
      <c r="D1879" s="2">
        <v>975.7344153826125</v>
      </c>
      <c r="E1879" s="2">
        <v>1090.4247356345877</v>
      </c>
      <c r="F1879" s="2">
        <v>618.63159658387303</v>
      </c>
      <c r="G1879" s="2">
        <v>144.20685024932027</v>
      </c>
      <c r="H1879" s="2">
        <v>27.045685386750847</v>
      </c>
      <c r="I1879" s="2">
        <v>0.79846960817929358</v>
      </c>
      <c r="J1879" s="2">
        <v>7</v>
      </c>
      <c r="K1879" s="2">
        <v>174.57224337791573</v>
      </c>
      <c r="L1879" s="2">
        <v>11540</v>
      </c>
      <c r="M1879" s="2">
        <v>1195</v>
      </c>
      <c r="N1879" s="2">
        <v>250.01072070719158</v>
      </c>
      <c r="O1879" s="2">
        <v>2495.1482647392909</v>
      </c>
      <c r="P1879" s="2">
        <v>975.7344153826125</v>
      </c>
      <c r="Q1879" s="2">
        <v>249.52385841737831</v>
      </c>
      <c r="R1879" s="2">
        <v>2559.3311675793475</v>
      </c>
      <c r="S1879" s="2">
        <v>968.56729272932478</v>
      </c>
      <c r="T1879" s="2">
        <v>-0.48686228981327417</v>
      </c>
      <c r="U1879" s="2">
        <v>64.182902840056613</v>
      </c>
      <c r="V1879" s="2">
        <v>-7.1671226532877199</v>
      </c>
    </row>
    <row r="1880" spans="1:22" ht="15">
      <c r="A1880" s="2">
        <v>1879</v>
      </c>
      <c r="B1880" s="2" t="s">
        <v>80</v>
      </c>
      <c r="C1880" s="2" t="s">
        <v>81</v>
      </c>
      <c r="D1880" s="2">
        <v>1034.7837602021173</v>
      </c>
      <c r="E1880" s="2">
        <v>920.06270905258134</v>
      </c>
      <c r="F1880" s="2">
        <v>463.3722648024559</v>
      </c>
      <c r="G1880" s="2">
        <v>244.68593565514311</v>
      </c>
      <c r="H1880" s="2">
        <v>22.613576586358249</v>
      </c>
      <c r="I1880" s="2">
        <v>0.84333014707779519</v>
      </c>
      <c r="J1880" s="2">
        <v>7</v>
      </c>
      <c r="K1880" s="2">
        <v>175.28870747675134</v>
      </c>
      <c r="L1880" s="2">
        <v>13135</v>
      </c>
      <c r="M1880" s="2">
        <v>1200</v>
      </c>
      <c r="N1880" s="2">
        <v>249.99546704497939</v>
      </c>
      <c r="O1880" s="2">
        <v>2504.2776174384403</v>
      </c>
      <c r="P1880" s="2">
        <v>1034.7837602021173</v>
      </c>
      <c r="Q1880" s="2">
        <v>252.23236313002758</v>
      </c>
      <c r="R1880" s="2">
        <v>2479.7442543983079</v>
      </c>
      <c r="S1880" s="2">
        <v>1036.395582046636</v>
      </c>
      <c r="T1880" s="2">
        <v>2.2368960850481869</v>
      </c>
      <c r="U1880" s="2">
        <v>-24.533363040132372</v>
      </c>
      <c r="V1880" s="2">
        <v>1.6118218445187722</v>
      </c>
    </row>
    <row r="1881" spans="1:22" ht="15">
      <c r="A1881" s="2">
        <v>1880</v>
      </c>
      <c r="B1881" s="2" t="s">
        <v>80</v>
      </c>
      <c r="C1881" s="2" t="s">
        <v>81</v>
      </c>
      <c r="D1881" s="2">
        <v>1013.2330897147767</v>
      </c>
      <c r="E1881" s="2">
        <v>790.95996683463454</v>
      </c>
      <c r="F1881" s="2">
        <v>745.22437071427703</v>
      </c>
      <c r="G1881" s="2">
        <v>167.55648194346577</v>
      </c>
      <c r="H1881" s="2">
        <v>9.0669067702256143</v>
      </c>
      <c r="I1881" s="2">
        <v>0.83513474379666153</v>
      </c>
      <c r="J1881" s="2">
        <v>7</v>
      </c>
      <c r="K1881" s="2">
        <v>173.32243128446734</v>
      </c>
      <c r="L1881" s="2">
        <v>12550</v>
      </c>
      <c r="M1881" s="2">
        <v>1200</v>
      </c>
      <c r="N1881" s="2">
        <v>249.95517920591936</v>
      </c>
      <c r="O1881" s="2">
        <v>2504.7178160584294</v>
      </c>
      <c r="P1881" s="2">
        <v>1013.2330897147767</v>
      </c>
      <c r="Q1881" s="2">
        <v>249.52098024184016</v>
      </c>
      <c r="R1881" s="2">
        <v>2532.2730309379353</v>
      </c>
      <c r="S1881" s="2">
        <v>1020.9463811797295</v>
      </c>
      <c r="T1881" s="2">
        <v>-0.43419896407920078</v>
      </c>
      <c r="U1881" s="2">
        <v>27.555214879505911</v>
      </c>
      <c r="V1881" s="2">
        <v>7.7132914649528175</v>
      </c>
    </row>
    <row r="1882" spans="1:22" ht="15">
      <c r="A1882" s="2">
        <v>1881</v>
      </c>
      <c r="B1882" s="2" t="s">
        <v>78</v>
      </c>
      <c r="C1882" s="2" t="s">
        <v>81</v>
      </c>
      <c r="D1882" s="2">
        <v>950.92863216996193</v>
      </c>
      <c r="E1882" s="2">
        <v>673.11590783065185</v>
      </c>
      <c r="F1882" s="2">
        <v>356.10830653458834</v>
      </c>
      <c r="G1882" s="2">
        <v>282.10104674333706</v>
      </c>
      <c r="H1882" s="2">
        <v>12.738575277850032</v>
      </c>
      <c r="I1882" s="2">
        <v>0.8542977323126979</v>
      </c>
      <c r="J1882" s="2">
        <v>6</v>
      </c>
      <c r="K1882" s="2">
        <v>185.51858370572035</v>
      </c>
      <c r="L1882" s="2">
        <v>19025</v>
      </c>
      <c r="M1882" s="2">
        <v>1200</v>
      </c>
      <c r="N1882" s="2">
        <v>249.9788231423228</v>
      </c>
      <c r="O1882" s="2">
        <v>2501.342988522827</v>
      </c>
      <c r="P1882" s="2">
        <v>950.92863216996193</v>
      </c>
      <c r="Q1882" s="2">
        <v>249.29211389067297</v>
      </c>
      <c r="R1882" s="2">
        <v>2469.9023703891617</v>
      </c>
      <c r="S1882" s="2">
        <v>965.11340398770392</v>
      </c>
      <c r="T1882" s="2">
        <v>-0.68670925164983032</v>
      </c>
      <c r="U1882" s="2">
        <v>-31.440618133665339</v>
      </c>
      <c r="V1882" s="2">
        <v>14.184771817741989</v>
      </c>
    </row>
    <row r="1883" spans="1:22" ht="15">
      <c r="A1883" s="2">
        <v>1882</v>
      </c>
      <c r="B1883" s="2" t="s">
        <v>78</v>
      </c>
      <c r="C1883" s="2" t="s">
        <v>81</v>
      </c>
      <c r="D1883" s="2">
        <v>1054.7192125231959</v>
      </c>
      <c r="E1883" s="2">
        <v>1174.7532638022676</v>
      </c>
      <c r="F1883" s="2">
        <v>676.07670882716775</v>
      </c>
      <c r="G1883" s="2">
        <v>160.11733158491552</v>
      </c>
      <c r="H1883" s="2">
        <v>17.712856974918395</v>
      </c>
      <c r="I1883" s="2">
        <v>0.80415804550517356</v>
      </c>
      <c r="J1883" s="2">
        <v>7</v>
      </c>
      <c r="K1883" s="2">
        <v>187.36885623390813</v>
      </c>
      <c r="L1883" s="2">
        <v>10635</v>
      </c>
      <c r="M1883" s="2">
        <v>1195</v>
      </c>
      <c r="N1883" s="2">
        <v>250.00780002675194</v>
      </c>
      <c r="O1883" s="2">
        <v>2496.0623509204288</v>
      </c>
      <c r="P1883" s="2">
        <v>1054.7192125231959</v>
      </c>
      <c r="Q1883" s="2">
        <v>251.62893363482789</v>
      </c>
      <c r="R1883" s="2">
        <v>2478.9906608979877</v>
      </c>
      <c r="S1883" s="2">
        <v>1053.3034568648472</v>
      </c>
      <c r="T1883" s="2">
        <v>1.6211336080759509</v>
      </c>
      <c r="U1883" s="2">
        <v>-17.071690022441089</v>
      </c>
      <c r="V1883" s="2">
        <v>-1.4157556583486439</v>
      </c>
    </row>
    <row r="1884" spans="1:22" ht="15">
      <c r="A1884" s="2">
        <v>1883</v>
      </c>
      <c r="B1884" s="2" t="s">
        <v>78</v>
      </c>
      <c r="C1884" s="2" t="s">
        <v>81</v>
      </c>
      <c r="D1884" s="2">
        <v>950.31472824048251</v>
      </c>
      <c r="E1884" s="2">
        <v>1069.883635325823</v>
      </c>
      <c r="F1884" s="2">
        <v>695.55993713438511</v>
      </c>
      <c r="G1884" s="2">
        <v>110.49112594453618</v>
      </c>
      <c r="H1884" s="2">
        <v>12.43782436195761</v>
      </c>
      <c r="I1884" s="2">
        <v>0.79251230920432136</v>
      </c>
      <c r="J1884" s="2">
        <v>6</v>
      </c>
      <c r="K1884" s="2">
        <v>199.85277982508435</v>
      </c>
      <c r="L1884" s="2">
        <v>13300</v>
      </c>
      <c r="M1884" s="2">
        <v>1200</v>
      </c>
      <c r="N1884" s="2">
        <v>249.99863888028156</v>
      </c>
      <c r="O1884" s="2">
        <v>2504.1601637711597</v>
      </c>
      <c r="P1884" s="2">
        <v>950.31472824048251</v>
      </c>
      <c r="Q1884" s="2">
        <v>251.28144876204286</v>
      </c>
      <c r="R1884" s="2">
        <v>2496.5690559203067</v>
      </c>
      <c r="S1884" s="2">
        <v>950.01220362306094</v>
      </c>
      <c r="T1884" s="2">
        <v>1.2828098817612954</v>
      </c>
      <c r="U1884" s="2">
        <v>-7.5911078508529499</v>
      </c>
      <c r="V1884" s="2">
        <v>-0.30252461742156811</v>
      </c>
    </row>
    <row r="1885" spans="1:22" ht="15">
      <c r="A1885" s="2">
        <v>1884</v>
      </c>
      <c r="B1885" s="2" t="s">
        <v>78</v>
      </c>
      <c r="C1885" s="2" t="s">
        <v>81</v>
      </c>
      <c r="D1885" s="2">
        <v>985.97333136713132</v>
      </c>
      <c r="E1885" s="2">
        <v>794.15097082965076</v>
      </c>
      <c r="F1885" s="2">
        <v>564.25501955673099</v>
      </c>
      <c r="G1885" s="2">
        <v>161.78428548853844</v>
      </c>
      <c r="H1885" s="2">
        <v>12.120142634492368</v>
      </c>
      <c r="I1885" s="2">
        <v>0.8014932803064585</v>
      </c>
      <c r="J1885" s="2">
        <v>7</v>
      </c>
      <c r="K1885" s="2">
        <v>175.73863251678259</v>
      </c>
      <c r="L1885" s="2">
        <v>14070</v>
      </c>
      <c r="M1885" s="2">
        <v>1200</v>
      </c>
      <c r="N1885" s="2">
        <v>250.03856913927663</v>
      </c>
      <c r="O1885" s="2">
        <v>2503.6493316339229</v>
      </c>
      <c r="P1885" s="2">
        <v>985.97333136713132</v>
      </c>
      <c r="Q1885" s="2">
        <v>248.723518184965</v>
      </c>
      <c r="R1885" s="2">
        <v>2495.9941251421405</v>
      </c>
      <c r="S1885" s="2">
        <v>997.62855423363396</v>
      </c>
      <c r="T1885" s="2">
        <v>-1.31505095431163</v>
      </c>
      <c r="U1885" s="2">
        <v>-7.6552064917823373</v>
      </c>
      <c r="V1885" s="2">
        <v>11.65522286650264</v>
      </c>
    </row>
    <row r="1886" spans="1:22" ht="15">
      <c r="A1886" s="2">
        <v>1885</v>
      </c>
      <c r="B1886" s="2" t="s">
        <v>78</v>
      </c>
      <c r="C1886" s="2" t="s">
        <v>81</v>
      </c>
      <c r="D1886" s="2">
        <v>979.88938908092678</v>
      </c>
      <c r="E1886" s="2">
        <v>1123.3372107963078</v>
      </c>
      <c r="F1886" s="2">
        <v>426.45840402692556</v>
      </c>
      <c r="G1886" s="2">
        <v>217.11881713243201</v>
      </c>
      <c r="H1886" s="2">
        <v>8.7131832055747509</v>
      </c>
      <c r="I1886" s="2">
        <v>0.84876421954715631</v>
      </c>
      <c r="J1886" s="2">
        <v>6</v>
      </c>
      <c r="K1886" s="2">
        <v>192.41491855922999</v>
      </c>
      <c r="L1886" s="2">
        <v>14120</v>
      </c>
      <c r="M1886" s="2">
        <v>1200</v>
      </c>
      <c r="N1886" s="2">
        <v>249.98750912038389</v>
      </c>
      <c r="O1886" s="2">
        <v>2503.6161962496853</v>
      </c>
      <c r="P1886" s="2">
        <v>979.88938908092678</v>
      </c>
      <c r="Q1886" s="2">
        <v>251.85770100786357</v>
      </c>
      <c r="R1886" s="2">
        <v>2498.4365352635368</v>
      </c>
      <c r="S1886" s="2">
        <v>977.47931499805156</v>
      </c>
      <c r="T1886" s="2">
        <v>1.8701918874796775</v>
      </c>
      <c r="U1886" s="2">
        <v>-5.1796609861485194</v>
      </c>
      <c r="V1886" s="2">
        <v>-2.4100740828752123</v>
      </c>
    </row>
    <row r="1887" spans="1:22" ht="15">
      <c r="A1887" s="2">
        <v>1886</v>
      </c>
      <c r="B1887" s="2" t="s">
        <v>78</v>
      </c>
      <c r="C1887" s="2" t="s">
        <v>81</v>
      </c>
      <c r="D1887" s="2">
        <v>965.29475973220542</v>
      </c>
      <c r="E1887" s="2">
        <v>1013.1982623366639</v>
      </c>
      <c r="F1887" s="2">
        <v>559.88314943388104</v>
      </c>
      <c r="G1887" s="2">
        <v>232.33663748949766</v>
      </c>
      <c r="H1887" s="2">
        <v>25.647009538952261</v>
      </c>
      <c r="I1887" s="2">
        <v>0.85919283609371633</v>
      </c>
      <c r="J1887" s="2">
        <v>6</v>
      </c>
      <c r="K1887" s="2">
        <v>187.24837218942935</v>
      </c>
      <c r="L1887" s="2">
        <v>13820</v>
      </c>
      <c r="M1887" s="2">
        <v>1200</v>
      </c>
      <c r="N1887" s="2">
        <v>250.0084376157825</v>
      </c>
      <c r="O1887" s="2">
        <v>2503.8083138985876</v>
      </c>
      <c r="P1887" s="2">
        <v>965.29475973220542</v>
      </c>
      <c r="Q1887" s="2">
        <v>251.19331564878112</v>
      </c>
      <c r="R1887" s="2">
        <v>2554.1629316309109</v>
      </c>
      <c r="S1887" s="2">
        <v>951.76577880333048</v>
      </c>
      <c r="T1887" s="2">
        <v>1.1848780329986255</v>
      </c>
      <c r="U1887" s="2">
        <v>50.354617732323277</v>
      </c>
      <c r="V1887" s="2">
        <v>-13.528980928874944</v>
      </c>
    </row>
    <row r="1888" spans="1:22" ht="15">
      <c r="A1888" s="2">
        <v>1887</v>
      </c>
      <c r="B1888" s="2" t="s">
        <v>78</v>
      </c>
      <c r="C1888" s="2" t="s">
        <v>81</v>
      </c>
      <c r="D1888" s="2">
        <v>960.48671940807253</v>
      </c>
      <c r="E1888" s="2">
        <v>998.80931071238592</v>
      </c>
      <c r="F1888" s="2">
        <v>424.68167170882225</v>
      </c>
      <c r="G1888" s="2">
        <v>82.517697808798403</v>
      </c>
      <c r="H1888" s="2">
        <v>15.036672136746347</v>
      </c>
      <c r="I1888" s="2">
        <v>0.82144245082279665</v>
      </c>
      <c r="J1888" s="2">
        <v>6</v>
      </c>
      <c r="K1888" s="2">
        <v>194.87807057086033</v>
      </c>
      <c r="L1888" s="2">
        <v>16565</v>
      </c>
      <c r="M1888" s="2">
        <v>1200</v>
      </c>
      <c r="N1888" s="2">
        <v>249.96959437267591</v>
      </c>
      <c r="O1888" s="2">
        <v>2502.3143809108751</v>
      </c>
      <c r="P1888" s="2">
        <v>960.48671940807253</v>
      </c>
      <c r="Q1888" s="2">
        <v>247.52251028917755</v>
      </c>
      <c r="R1888" s="2">
        <v>2482.2044219624127</v>
      </c>
      <c r="S1888" s="2">
        <v>968.18489174912065</v>
      </c>
      <c r="T1888" s="2">
        <v>-2.4470840834983676</v>
      </c>
      <c r="U1888" s="2">
        <v>-20.109958948462463</v>
      </c>
      <c r="V1888" s="2">
        <v>7.6981723410481209</v>
      </c>
    </row>
    <row r="1889" spans="1:22" ht="15">
      <c r="A1889" s="2">
        <v>1888</v>
      </c>
      <c r="B1889" s="2" t="s">
        <v>78</v>
      </c>
      <c r="C1889" s="2" t="s">
        <v>81</v>
      </c>
      <c r="D1889" s="2">
        <v>1004.0015121805482</v>
      </c>
      <c r="E1889" s="2">
        <v>610.71426570415497</v>
      </c>
      <c r="F1889" s="2">
        <v>514.04024055227637</v>
      </c>
      <c r="G1889" s="2">
        <v>314.89529185462743</v>
      </c>
      <c r="H1889" s="2">
        <v>20.732835890259594</v>
      </c>
      <c r="I1889" s="2">
        <v>0.82453459466807544</v>
      </c>
      <c r="J1889" s="2">
        <v>7</v>
      </c>
      <c r="K1889" s="2">
        <v>173.95120639189517</v>
      </c>
      <c r="L1889" s="2">
        <v>14855</v>
      </c>
      <c r="M1889" s="2">
        <v>1200</v>
      </c>
      <c r="N1889" s="2">
        <v>250.00272992004432</v>
      </c>
      <c r="O1889" s="2">
        <v>2503.1804894047641</v>
      </c>
      <c r="P1889" s="2">
        <v>1004.0015121805482</v>
      </c>
      <c r="Q1889" s="2">
        <v>251.05958333414807</v>
      </c>
      <c r="R1889" s="2">
        <v>2438.0235618997403</v>
      </c>
      <c r="S1889" s="2">
        <v>1011.3052579609108</v>
      </c>
      <c r="T1889" s="2">
        <v>1.056853414103756</v>
      </c>
      <c r="U1889" s="2">
        <v>-65.156927505023759</v>
      </c>
      <c r="V1889" s="2">
        <v>7.3037457803626467</v>
      </c>
    </row>
    <row r="1890" spans="1:22" ht="15">
      <c r="A1890" s="2">
        <v>1889</v>
      </c>
      <c r="B1890" s="2" t="s">
        <v>78</v>
      </c>
      <c r="C1890" s="2" t="s">
        <v>81</v>
      </c>
      <c r="D1890" s="2">
        <v>955.9189080260694</v>
      </c>
      <c r="E1890" s="2">
        <v>841.76658609649166</v>
      </c>
      <c r="F1890" s="2">
        <v>737.79473546892405</v>
      </c>
      <c r="G1890" s="2">
        <v>159.05224995920435</v>
      </c>
      <c r="H1890" s="2">
        <v>8.4734697286039591</v>
      </c>
      <c r="I1890" s="2">
        <v>0.79443386334227406</v>
      </c>
      <c r="J1890" s="2">
        <v>7</v>
      </c>
      <c r="K1890" s="2">
        <v>171.89579939254014</v>
      </c>
      <c r="L1890" s="2">
        <v>12300</v>
      </c>
      <c r="M1890" s="2">
        <v>1200</v>
      </c>
      <c r="N1890" s="2">
        <v>249.99023504854097</v>
      </c>
      <c r="O1890" s="2">
        <v>2504.9208173225593</v>
      </c>
      <c r="P1890" s="2">
        <v>955.9189080260694</v>
      </c>
      <c r="Q1890" s="2">
        <v>253.74888717197942</v>
      </c>
      <c r="R1890" s="2">
        <v>2535.5206701650259</v>
      </c>
      <c r="S1890" s="2">
        <v>962.97904944723871</v>
      </c>
      <c r="T1890" s="2">
        <v>3.758652123438452</v>
      </c>
      <c r="U1890" s="2">
        <v>30.599852842466589</v>
      </c>
      <c r="V1890" s="2">
        <v>7.0601414211693054</v>
      </c>
    </row>
    <row r="1891" spans="1:22" ht="15">
      <c r="A1891" s="2">
        <v>1890</v>
      </c>
      <c r="B1891" s="2" t="s">
        <v>78</v>
      </c>
      <c r="C1891" s="2" t="s">
        <v>81</v>
      </c>
      <c r="D1891" s="2">
        <v>983.21792870992795</v>
      </c>
      <c r="E1891" s="2">
        <v>635.51638454664499</v>
      </c>
      <c r="F1891" s="2">
        <v>696.72719174996018</v>
      </c>
      <c r="G1891" s="2">
        <v>188.29674475826323</v>
      </c>
      <c r="H1891" s="2">
        <v>25.431545235682279</v>
      </c>
      <c r="I1891" s="2">
        <v>0.853722016424872</v>
      </c>
      <c r="J1891" s="2">
        <v>6</v>
      </c>
      <c r="K1891" s="2">
        <v>191.94732199975846</v>
      </c>
      <c r="L1891" s="2">
        <v>16410</v>
      </c>
      <c r="M1891" s="2">
        <v>1200</v>
      </c>
      <c r="N1891" s="2">
        <v>250.02024720487907</v>
      </c>
      <c r="O1891" s="2">
        <v>2502.3868879859351</v>
      </c>
      <c r="P1891" s="2">
        <v>983.21792870992795</v>
      </c>
      <c r="Q1891" s="2">
        <v>248.3343496628793</v>
      </c>
      <c r="R1891" s="2">
        <v>2469.488647395086</v>
      </c>
      <c r="S1891" s="2">
        <v>983.01902522736964</v>
      </c>
      <c r="T1891" s="2">
        <v>-1.6858975419997648</v>
      </c>
      <c r="U1891" s="2">
        <v>-32.898240590849127</v>
      </c>
      <c r="V1891" s="2">
        <v>-0.19890348255830759</v>
      </c>
    </row>
    <row r="1892" spans="1:22" ht="15">
      <c r="A1892" s="2">
        <v>1891</v>
      </c>
      <c r="B1892" s="2" t="s">
        <v>78</v>
      </c>
      <c r="C1892" s="2" t="s">
        <v>81</v>
      </c>
      <c r="D1892" s="2">
        <v>966.12684351857752</v>
      </c>
      <c r="E1892" s="2">
        <v>685.01114338869229</v>
      </c>
      <c r="F1892" s="2">
        <v>520.39584331214428</v>
      </c>
      <c r="G1892" s="2">
        <v>227.19771005911753</v>
      </c>
      <c r="H1892" s="2">
        <v>14.80707683134824</v>
      </c>
      <c r="I1892" s="2">
        <v>0.80513334878487519</v>
      </c>
      <c r="J1892" s="2">
        <v>6</v>
      </c>
      <c r="K1892" s="2">
        <v>199.99313260274985</v>
      </c>
      <c r="L1892" s="2">
        <v>17415</v>
      </c>
      <c r="M1892" s="2">
        <v>1200</v>
      </c>
      <c r="N1892" s="2">
        <v>249.98737997206049</v>
      </c>
      <c r="O1892" s="2">
        <v>2501.9481243949531</v>
      </c>
      <c r="P1892" s="2">
        <v>966.12684351857752</v>
      </c>
      <c r="Q1892" s="2">
        <v>247.36669487929794</v>
      </c>
      <c r="R1892" s="2">
        <v>2462.0236696063785</v>
      </c>
      <c r="S1892" s="2">
        <v>978.42679382678989</v>
      </c>
      <c r="T1892" s="2">
        <v>-2.6206850927625567</v>
      </c>
      <c r="U1892" s="2">
        <v>-39.924454788574621</v>
      </c>
      <c r="V1892" s="2">
        <v>12.299950308212374</v>
      </c>
    </row>
    <row r="1893" spans="1:22" ht="15">
      <c r="A1893" s="2">
        <v>1892</v>
      </c>
      <c r="B1893" s="2" t="s">
        <v>78</v>
      </c>
      <c r="C1893" s="2" t="s">
        <v>81</v>
      </c>
      <c r="D1893" s="2">
        <v>1090.9282598062418</v>
      </c>
      <c r="E1893" s="2">
        <v>1020.6114493776113</v>
      </c>
      <c r="F1893" s="2">
        <v>458.44273893162608</v>
      </c>
      <c r="G1893" s="2">
        <v>170.27959627564996</v>
      </c>
      <c r="H1893" s="2">
        <v>25.952679313253611</v>
      </c>
      <c r="I1893" s="2">
        <v>0.79231441913172607</v>
      </c>
      <c r="J1893" s="2">
        <v>7</v>
      </c>
      <c r="K1893" s="2">
        <v>196.69829362543035</v>
      </c>
      <c r="L1893" s="2">
        <v>12965</v>
      </c>
      <c r="M1893" s="2">
        <v>1200</v>
      </c>
      <c r="N1893" s="2">
        <v>249.97502727491897</v>
      </c>
      <c r="O1893" s="2">
        <v>2504.4011018268257</v>
      </c>
      <c r="P1893" s="2">
        <v>1090.9282598062418</v>
      </c>
      <c r="Q1893" s="2">
        <v>249.71300974209475</v>
      </c>
      <c r="R1893" s="2">
        <v>2495.4215835097866</v>
      </c>
      <c r="S1893" s="2">
        <v>1087.2654991777438</v>
      </c>
      <c r="T1893" s="2">
        <v>-0.26201753282421691</v>
      </c>
      <c r="U1893" s="2">
        <v>-8.9795183170390374</v>
      </c>
      <c r="V1893" s="2">
        <v>-3.6627606284980629</v>
      </c>
    </row>
    <row r="1894" spans="1:22" ht="15">
      <c r="A1894" s="2">
        <v>1893</v>
      </c>
      <c r="B1894" s="2" t="s">
        <v>78</v>
      </c>
      <c r="C1894" s="2" t="s">
        <v>81</v>
      </c>
      <c r="D1894" s="2">
        <v>961.69349239207804</v>
      </c>
      <c r="E1894" s="2">
        <v>1231.9478517281823</v>
      </c>
      <c r="F1894" s="2">
        <v>412.36432921141386</v>
      </c>
      <c r="G1894" s="2">
        <v>254.69238612102345</v>
      </c>
      <c r="H1894" s="2">
        <v>21.466207899153233</v>
      </c>
      <c r="I1894" s="2">
        <v>0.83103537911782044</v>
      </c>
      <c r="J1894" s="2">
        <v>6</v>
      </c>
      <c r="K1894" s="2">
        <v>192.87054770418976</v>
      </c>
      <c r="L1894" s="2">
        <v>13140</v>
      </c>
      <c r="M1894" s="2">
        <v>1200</v>
      </c>
      <c r="N1894" s="2">
        <v>250.02882688664715</v>
      </c>
      <c r="O1894" s="2">
        <v>2504.2752731878054</v>
      </c>
      <c r="P1894" s="2">
        <v>961.69349239207804</v>
      </c>
      <c r="Q1894" s="2">
        <v>251.43643402175138</v>
      </c>
      <c r="R1894" s="2">
        <v>2538.7888562701855</v>
      </c>
      <c r="S1894" s="2">
        <v>956.95995626661079</v>
      </c>
      <c r="T1894" s="2">
        <v>1.4076071351042287</v>
      </c>
      <c r="U1894" s="2">
        <v>34.513583082380137</v>
      </c>
      <c r="V1894" s="2">
        <v>-4.7335361254672534</v>
      </c>
    </row>
    <row r="1895" spans="1:22" ht="15">
      <c r="A1895" s="2">
        <v>1894</v>
      </c>
      <c r="B1895" s="2" t="s">
        <v>78</v>
      </c>
      <c r="C1895" s="2" t="s">
        <v>81</v>
      </c>
      <c r="D1895" s="2">
        <v>980.60846804874018</v>
      </c>
      <c r="E1895" s="2">
        <v>797.9857757454738</v>
      </c>
      <c r="F1895" s="2">
        <v>643.42579515650868</v>
      </c>
      <c r="G1895" s="2">
        <v>246.31879797205329</v>
      </c>
      <c r="H1895" s="2">
        <v>17.346605418715626</v>
      </c>
      <c r="I1895" s="2">
        <v>0.82683935509528972</v>
      </c>
      <c r="J1895" s="2">
        <v>6</v>
      </c>
      <c r="K1895" s="2">
        <v>197.66202910836878</v>
      </c>
      <c r="L1895" s="2">
        <v>14785</v>
      </c>
      <c r="M1895" s="2">
        <v>1200</v>
      </c>
      <c r="N1895" s="2">
        <v>250.03040510344948</v>
      </c>
      <c r="O1895" s="2">
        <v>2503.2210994485336</v>
      </c>
      <c r="P1895" s="2">
        <v>980.60846804874018</v>
      </c>
      <c r="Q1895" s="2">
        <v>251.65297643527737</v>
      </c>
      <c r="R1895" s="2">
        <v>2506.7608749122419</v>
      </c>
      <c r="S1895" s="2">
        <v>987.0726469885833</v>
      </c>
      <c r="T1895" s="2">
        <v>1.6225713318278849</v>
      </c>
      <c r="U1895" s="2">
        <v>3.5397754637083381</v>
      </c>
      <c r="V1895" s="2">
        <v>6.4641789398431229</v>
      </c>
    </row>
    <row r="1896" spans="1:22" ht="15">
      <c r="A1896" s="2">
        <v>1895</v>
      </c>
      <c r="B1896" s="2" t="s">
        <v>79</v>
      </c>
      <c r="C1896" s="2" t="s">
        <v>81</v>
      </c>
      <c r="D1896" s="2">
        <v>1038.3028033422306</v>
      </c>
      <c r="E1896" s="2">
        <v>1072.9548301664181</v>
      </c>
      <c r="F1896" s="2">
        <v>591.3088858127594</v>
      </c>
      <c r="G1896" s="2">
        <v>309.7404202981852</v>
      </c>
      <c r="H1896" s="2">
        <v>28.426017033867538</v>
      </c>
      <c r="I1896" s="2">
        <v>0.81289888925617559</v>
      </c>
      <c r="J1896" s="2">
        <v>7</v>
      </c>
      <c r="K1896" s="2">
        <v>182.46915313386387</v>
      </c>
      <c r="L1896" s="2">
        <v>10835</v>
      </c>
      <c r="M1896" s="2">
        <v>1195</v>
      </c>
      <c r="N1896" s="2">
        <v>250.03041638046082</v>
      </c>
      <c r="O1896" s="2">
        <v>2495.8481934077722</v>
      </c>
      <c r="P1896" s="2">
        <v>1038.3028033422306</v>
      </c>
      <c r="Q1896" s="2">
        <v>249.11611764114321</v>
      </c>
      <c r="R1896" s="2">
        <v>2471.5349407303115</v>
      </c>
      <c r="S1896" s="2">
        <v>1020.8052909870806</v>
      </c>
      <c r="T1896" s="2">
        <v>-0.91429873931761563</v>
      </c>
      <c r="U1896" s="2">
        <v>-24.313252677460696</v>
      </c>
      <c r="V1896" s="2">
        <v>-17.497512355149979</v>
      </c>
    </row>
    <row r="1897" spans="1:22" ht="15">
      <c r="A1897" s="2">
        <v>1896</v>
      </c>
      <c r="B1897" s="2" t="s">
        <v>79</v>
      </c>
      <c r="C1897" s="2" t="s">
        <v>81</v>
      </c>
      <c r="D1897" s="2">
        <v>1016.5668615023606</v>
      </c>
      <c r="E1897" s="2">
        <v>992.39378804340959</v>
      </c>
      <c r="F1897" s="2">
        <v>456.76131611689925</v>
      </c>
      <c r="G1897" s="2">
        <v>188.83541929069906</v>
      </c>
      <c r="H1897" s="2">
        <v>15.507442278321832</v>
      </c>
      <c r="I1897" s="2">
        <v>0.79175578788854184</v>
      </c>
      <c r="J1897" s="2">
        <v>7</v>
      </c>
      <c r="K1897" s="2">
        <v>183.41998830821777</v>
      </c>
      <c r="L1897" s="2">
        <v>13055</v>
      </c>
      <c r="M1897" s="2">
        <v>1200</v>
      </c>
      <c r="N1897" s="2">
        <v>249.97892009087343</v>
      </c>
      <c r="O1897" s="2">
        <v>2504.3350704351128</v>
      </c>
      <c r="P1897" s="2">
        <v>1016.5668615023606</v>
      </c>
      <c r="Q1897" s="2">
        <v>253.92307642777831</v>
      </c>
      <c r="R1897" s="2">
        <v>2481.3176125753084</v>
      </c>
      <c r="S1897" s="2">
        <v>1016.0458431303365</v>
      </c>
      <c r="T1897" s="2">
        <v>3.9441563369048822</v>
      </c>
      <c r="U1897" s="2">
        <v>-23.017457859804381</v>
      </c>
      <c r="V1897" s="2">
        <v>-0.52101837202405932</v>
      </c>
    </row>
    <row r="1898" spans="1:22" ht="15">
      <c r="A1898" s="2">
        <v>1897</v>
      </c>
      <c r="B1898" s="2" t="s">
        <v>79</v>
      </c>
      <c r="C1898" s="2" t="s">
        <v>81</v>
      </c>
      <c r="D1898" s="2">
        <v>972.80307319015265</v>
      </c>
      <c r="E1898" s="2">
        <v>690.18548395251855</v>
      </c>
      <c r="F1898" s="2">
        <v>716.84322971850634</v>
      </c>
      <c r="G1898" s="2">
        <v>218.35899118566886</v>
      </c>
      <c r="H1898" s="2">
        <v>13.176188042387366</v>
      </c>
      <c r="I1898" s="2">
        <v>0.84598329619737345</v>
      </c>
      <c r="J1898" s="2">
        <v>6</v>
      </c>
      <c r="K1898" s="2">
        <v>191.65135560060187</v>
      </c>
      <c r="L1898" s="2">
        <v>15350</v>
      </c>
      <c r="M1898" s="2">
        <v>1200</v>
      </c>
      <c r="N1898" s="2">
        <v>249.99630536667101</v>
      </c>
      <c r="O1898" s="2">
        <v>2502.9100344921521</v>
      </c>
      <c r="P1898" s="2">
        <v>972.80307319015265</v>
      </c>
      <c r="Q1898" s="2">
        <v>248.57553299151098</v>
      </c>
      <c r="R1898" s="2">
        <v>2518.4307115234783</v>
      </c>
      <c r="S1898" s="2">
        <v>982.10254364380864</v>
      </c>
      <c r="T1898" s="2">
        <v>-1.420772375160027</v>
      </c>
      <c r="U1898" s="2">
        <v>15.520677031326159</v>
      </c>
      <c r="V1898" s="2">
        <v>9.2994704536559993</v>
      </c>
    </row>
    <row r="1899" spans="1:22" ht="15">
      <c r="A1899" s="2">
        <v>1898</v>
      </c>
      <c r="B1899" s="2" t="s">
        <v>80</v>
      </c>
      <c r="C1899" s="2" t="s">
        <v>81</v>
      </c>
      <c r="D1899" s="2">
        <v>1065.8019085065462</v>
      </c>
      <c r="E1899" s="2">
        <v>1064.3905703211203</v>
      </c>
      <c r="F1899" s="2">
        <v>422.31258163228631</v>
      </c>
      <c r="G1899" s="2">
        <v>201.48041906766593</v>
      </c>
      <c r="H1899" s="2">
        <v>8.3137727868743241</v>
      </c>
      <c r="I1899" s="2">
        <v>0.81495044168550523</v>
      </c>
      <c r="J1899" s="2">
        <v>7</v>
      </c>
      <c r="K1899" s="2">
        <v>186.83027545335366</v>
      </c>
      <c r="L1899" s="2">
        <v>12670</v>
      </c>
      <c r="M1899" s="2">
        <v>1200</v>
      </c>
      <c r="N1899" s="2">
        <v>250.04094720766321</v>
      </c>
      <c r="O1899" s="2">
        <v>2504.6272542036277</v>
      </c>
      <c r="P1899" s="2">
        <v>1065.8019085065462</v>
      </c>
      <c r="Q1899" s="2">
        <v>249.03189890258696</v>
      </c>
      <c r="R1899" s="2">
        <v>2549.7820467530219</v>
      </c>
      <c r="S1899" s="2">
        <v>1064.5450395088176</v>
      </c>
      <c r="T1899" s="2">
        <v>-1.0090483050762487</v>
      </c>
      <c r="U1899" s="2">
        <v>45.154792549394188</v>
      </c>
      <c r="V1899" s="2">
        <v>-1.2568689977285885</v>
      </c>
    </row>
    <row r="1900" spans="1:22" ht="15">
      <c r="A1900" s="2">
        <v>1899</v>
      </c>
      <c r="B1900" s="2" t="s">
        <v>80</v>
      </c>
      <c r="C1900" s="2" t="s">
        <v>81</v>
      </c>
      <c r="D1900" s="2">
        <v>1054.2817569104955</v>
      </c>
      <c r="E1900" s="2">
        <v>932.9370996565558</v>
      </c>
      <c r="F1900" s="2">
        <v>398.76923747360706</v>
      </c>
      <c r="G1900" s="2">
        <v>148.39559058425948</v>
      </c>
      <c r="H1900" s="2">
        <v>28.190214679576457</v>
      </c>
      <c r="I1900" s="2">
        <v>0.82271869173971934</v>
      </c>
      <c r="J1900" s="2">
        <v>7</v>
      </c>
      <c r="K1900" s="2">
        <v>183.06582926924762</v>
      </c>
      <c r="L1900" s="2">
        <v>14450</v>
      </c>
      <c r="M1900" s="2">
        <v>1200</v>
      </c>
      <c r="N1900" s="2">
        <v>250.02013946006562</v>
      </c>
      <c r="O1900" s="2">
        <v>2503.4159693416109</v>
      </c>
      <c r="P1900" s="2">
        <v>1054.2817569104955</v>
      </c>
      <c r="Q1900" s="2">
        <v>248.89508699823998</v>
      </c>
      <c r="R1900" s="2">
        <v>2472.9985082568364</v>
      </c>
      <c r="S1900" s="2">
        <v>1043.4606418791777</v>
      </c>
      <c r="T1900" s="2">
        <v>-1.1250524618256463</v>
      </c>
      <c r="U1900" s="2">
        <v>-30.417461084774459</v>
      </c>
      <c r="V1900" s="2">
        <v>-10.821115031317731</v>
      </c>
    </row>
    <row r="1901" spans="1:22" ht="15">
      <c r="A1901" s="2">
        <v>1900</v>
      </c>
      <c r="B1901" s="2" t="s">
        <v>80</v>
      </c>
      <c r="C1901" s="2" t="s">
        <v>81</v>
      </c>
      <c r="D1901" s="2">
        <v>981.09769284492359</v>
      </c>
      <c r="E1901" s="2">
        <v>697.90253355167806</v>
      </c>
      <c r="F1901" s="2">
        <v>668.83340878412127</v>
      </c>
      <c r="G1901" s="2">
        <v>251.36473662685603</v>
      </c>
      <c r="H1901" s="2">
        <v>25.358071345370263</v>
      </c>
      <c r="I1901" s="2">
        <v>0.8501352431252599</v>
      </c>
      <c r="J1901" s="2">
        <v>6</v>
      </c>
      <c r="K1901" s="2">
        <v>192.34149326606368</v>
      </c>
      <c r="L1901" s="2">
        <v>15420</v>
      </c>
      <c r="M1901" s="2">
        <v>1200</v>
      </c>
      <c r="N1901" s="2">
        <v>250.01071909106003</v>
      </c>
      <c r="O1901" s="2">
        <v>2502.8736751477522</v>
      </c>
      <c r="P1901" s="2">
        <v>981.09769284492359</v>
      </c>
      <c r="Q1901" s="2">
        <v>251.10449034691371</v>
      </c>
      <c r="R1901" s="2">
        <v>2467.5213926763172</v>
      </c>
      <c r="S1901" s="2">
        <v>970.84807823494248</v>
      </c>
      <c r="T1901" s="2">
        <v>1.0937712558536816</v>
      </c>
      <c r="U1901" s="2">
        <v>-35.352282471435046</v>
      </c>
      <c r="V1901" s="2">
        <v>-10.249614609981109</v>
      </c>
    </row>
    <row r="1902" spans="1:22" ht="15">
      <c r="A1902" s="2">
        <v>1901</v>
      </c>
      <c r="B1902" s="2" t="s">
        <v>78</v>
      </c>
      <c r="C1902" s="2" t="s">
        <v>81</v>
      </c>
      <c r="D1902" s="2">
        <v>1015.8536260481924</v>
      </c>
      <c r="E1902" s="2">
        <v>1216.668274521362</v>
      </c>
      <c r="F1902" s="2">
        <v>388.82575538009405</v>
      </c>
      <c r="G1902" s="2">
        <v>164.31327511789277</v>
      </c>
      <c r="H1902" s="2">
        <v>17.968869123607874</v>
      </c>
      <c r="I1902" s="2">
        <v>0.79977285526925701</v>
      </c>
      <c r="J1902" s="2">
        <v>7</v>
      </c>
      <c r="K1902" s="2">
        <v>181.45395360968516</v>
      </c>
      <c r="L1902" s="2">
        <v>12085</v>
      </c>
      <c r="M1902" s="2">
        <v>1200</v>
      </c>
      <c r="N1902" s="2">
        <v>250.02758118334324</v>
      </c>
      <c r="O1902" s="2">
        <v>2505.1024022839788</v>
      </c>
      <c r="P1902" s="2">
        <v>1015.8536260481924</v>
      </c>
      <c r="Q1902" s="2">
        <v>249.73183558393956</v>
      </c>
      <c r="R1902" s="2">
        <v>2572.8880263053125</v>
      </c>
      <c r="S1902" s="2">
        <v>1010.9579530830285</v>
      </c>
      <c r="T1902" s="2">
        <v>-0.29574559940368772</v>
      </c>
      <c r="U1902" s="2">
        <v>67.78562402133366</v>
      </c>
      <c r="V1902" s="2">
        <v>-4.8956729651638398</v>
      </c>
    </row>
    <row r="1903" spans="1:22" ht="15">
      <c r="A1903" s="2">
        <v>1902</v>
      </c>
      <c r="B1903" s="2" t="s">
        <v>78</v>
      </c>
      <c r="C1903" s="2" t="s">
        <v>81</v>
      </c>
      <c r="D1903" s="2">
        <v>1079.5989526552148</v>
      </c>
      <c r="E1903" s="2">
        <v>739.00734193157405</v>
      </c>
      <c r="F1903" s="2">
        <v>472.62943731620908</v>
      </c>
      <c r="G1903" s="2">
        <v>241.60997003316879</v>
      </c>
      <c r="H1903" s="2">
        <v>20.706007907632738</v>
      </c>
      <c r="I1903" s="2">
        <v>0.83774619750212886</v>
      </c>
      <c r="J1903" s="2">
        <v>7</v>
      </c>
      <c r="K1903" s="2">
        <v>184.09922034590423</v>
      </c>
      <c r="L1903" s="2">
        <v>14715</v>
      </c>
      <c r="M1903" s="2">
        <v>1200</v>
      </c>
      <c r="N1903" s="2">
        <v>249.98552758191173</v>
      </c>
      <c r="O1903" s="2">
        <v>2503.2596399769141</v>
      </c>
      <c r="P1903" s="2">
        <v>1079.5989526552148</v>
      </c>
      <c r="Q1903" s="2">
        <v>249.67976442978031</v>
      </c>
      <c r="R1903" s="2">
        <v>2525.0640253266301</v>
      </c>
      <c r="S1903" s="2">
        <v>1077.6384495447901</v>
      </c>
      <c r="T1903" s="2">
        <v>-0.30576315213141925</v>
      </c>
      <c r="U1903" s="2">
        <v>21.804385349716085</v>
      </c>
      <c r="V1903" s="2">
        <v>-1.9605031104247246</v>
      </c>
    </row>
    <row r="1904" spans="1:22" ht="15">
      <c r="A1904" s="2">
        <v>1903</v>
      </c>
      <c r="B1904" s="2" t="s">
        <v>78</v>
      </c>
      <c r="C1904" s="2" t="s">
        <v>81</v>
      </c>
      <c r="D1904" s="2">
        <v>1052.5809766957536</v>
      </c>
      <c r="E1904" s="2">
        <v>754.46034605847672</v>
      </c>
      <c r="F1904" s="2">
        <v>541.36441126465797</v>
      </c>
      <c r="G1904" s="2">
        <v>168.17968372022733</v>
      </c>
      <c r="H1904" s="2">
        <v>16.541403605602682</v>
      </c>
      <c r="I1904" s="2">
        <v>0.84418671747436747</v>
      </c>
      <c r="J1904" s="2">
        <v>7</v>
      </c>
      <c r="K1904" s="2">
        <v>178.12257388555983</v>
      </c>
      <c r="L1904" s="2">
        <v>14610</v>
      </c>
      <c r="M1904" s="2">
        <v>1200</v>
      </c>
      <c r="N1904" s="2">
        <v>250.03897372699535</v>
      </c>
      <c r="O1904" s="2">
        <v>2503.3222626522015</v>
      </c>
      <c r="P1904" s="2">
        <v>1052.5809766957536</v>
      </c>
      <c r="Q1904" s="2">
        <v>248.79523982307376</v>
      </c>
      <c r="R1904" s="2">
        <v>2495.3454098820916</v>
      </c>
      <c r="S1904" s="2">
        <v>1059.5642934357147</v>
      </c>
      <c r="T1904" s="2">
        <v>-1.2437339039215942</v>
      </c>
      <c r="U1904" s="2">
        <v>-7.9768527701098719</v>
      </c>
      <c r="V1904" s="2">
        <v>6.9833167399610829</v>
      </c>
    </row>
    <row r="1905" spans="1:22" ht="15">
      <c r="A1905" s="2">
        <v>1904</v>
      </c>
      <c r="B1905" s="2" t="s">
        <v>78</v>
      </c>
      <c r="C1905" s="2" t="s">
        <v>81</v>
      </c>
      <c r="D1905" s="2">
        <v>964.61350581375882</v>
      </c>
      <c r="E1905" s="2">
        <v>1168.4243189170957</v>
      </c>
      <c r="F1905" s="2">
        <v>591.77825292572379</v>
      </c>
      <c r="G1905" s="2">
        <v>105.54898720700294</v>
      </c>
      <c r="H1905" s="2">
        <v>28.851400220301002</v>
      </c>
      <c r="I1905" s="2">
        <v>0.85409833795391021</v>
      </c>
      <c r="J1905" s="2">
        <v>6</v>
      </c>
      <c r="K1905" s="2">
        <v>188.23232699500002</v>
      </c>
      <c r="L1905" s="2">
        <v>13375</v>
      </c>
      <c r="M1905" s="2">
        <v>1200</v>
      </c>
      <c r="N1905" s="2">
        <v>250.04411005975803</v>
      </c>
      <c r="O1905" s="2">
        <v>2504.1093539790345</v>
      </c>
      <c r="P1905" s="2">
        <v>964.61350581375882</v>
      </c>
      <c r="Q1905" s="2">
        <v>247.14308706329319</v>
      </c>
      <c r="R1905" s="2">
        <v>2546.7713114842259</v>
      </c>
      <c r="S1905" s="2">
        <v>955.65986170160011</v>
      </c>
      <c r="T1905" s="2">
        <v>-2.9010229964648317</v>
      </c>
      <c r="U1905" s="2">
        <v>42.661957505191367</v>
      </c>
      <c r="V1905" s="2">
        <v>-8.9536441121587131</v>
      </c>
    </row>
    <row r="1906" spans="1:22" ht="15">
      <c r="A1906" s="2">
        <v>1905</v>
      </c>
      <c r="B1906" s="2" t="s">
        <v>78</v>
      </c>
      <c r="C1906" s="2" t="s">
        <v>81</v>
      </c>
      <c r="D1906" s="2">
        <v>1099.9582600779831</v>
      </c>
      <c r="E1906" s="2">
        <v>635.82150352885947</v>
      </c>
      <c r="F1906" s="2">
        <v>437.14188132435083</v>
      </c>
      <c r="G1906" s="2">
        <v>289.02412763098255</v>
      </c>
      <c r="H1906" s="2">
        <v>25.165451990440488</v>
      </c>
      <c r="I1906" s="2">
        <v>0.80644326522247867</v>
      </c>
      <c r="J1906" s="2">
        <v>7</v>
      </c>
      <c r="K1906" s="2">
        <v>194.85176586291456</v>
      </c>
      <c r="L1906" s="2">
        <v>15700</v>
      </c>
      <c r="M1906" s="2">
        <v>1200</v>
      </c>
      <c r="N1906" s="2">
        <v>249.97013213450117</v>
      </c>
      <c r="O1906" s="2">
        <v>2502.7284017076727</v>
      </c>
      <c r="P1906" s="2">
        <v>1099.9582600779831</v>
      </c>
      <c r="Q1906" s="2">
        <v>247.21419597973156</v>
      </c>
      <c r="R1906" s="2">
        <v>2432.9754416719279</v>
      </c>
      <c r="S1906" s="2">
        <v>1105.0909255806782</v>
      </c>
      <c r="T1906" s="2">
        <v>-2.7559361547696142</v>
      </c>
      <c r="U1906" s="2">
        <v>-69.752960035744763</v>
      </c>
      <c r="V1906" s="2">
        <v>5.1326655026950903</v>
      </c>
    </row>
    <row r="1907" spans="1:22" ht="15">
      <c r="A1907" s="2">
        <v>1906</v>
      </c>
      <c r="B1907" s="2" t="s">
        <v>78</v>
      </c>
      <c r="C1907" s="2" t="s">
        <v>81</v>
      </c>
      <c r="D1907" s="2">
        <v>1050.2550989040174</v>
      </c>
      <c r="E1907" s="2">
        <v>833.62475682515651</v>
      </c>
      <c r="F1907" s="2">
        <v>474.18373906984925</v>
      </c>
      <c r="G1907" s="2">
        <v>225.43901872821152</v>
      </c>
      <c r="H1907" s="2">
        <v>24.866570115555078</v>
      </c>
      <c r="I1907" s="2">
        <v>0.84350255819503217</v>
      </c>
      <c r="J1907" s="2">
        <v>7</v>
      </c>
      <c r="K1907" s="2">
        <v>177.87313297736665</v>
      </c>
      <c r="L1907" s="2">
        <v>13950</v>
      </c>
      <c r="M1907" s="2">
        <v>1200</v>
      </c>
      <c r="N1907" s="2">
        <v>250.03563665219738</v>
      </c>
      <c r="O1907" s="2">
        <v>2503.7253404321245</v>
      </c>
      <c r="P1907" s="2">
        <v>1050.2550989040174</v>
      </c>
      <c r="Q1907" s="2">
        <v>249.88451892077612</v>
      </c>
      <c r="R1907" s="2">
        <v>2505.8314128171055</v>
      </c>
      <c r="S1907" s="2">
        <v>1044.4744770700395</v>
      </c>
      <c r="T1907" s="2">
        <v>-0.15111773142126594</v>
      </c>
      <c r="U1907" s="2">
        <v>2.1060723849809619</v>
      </c>
      <c r="V1907" s="2">
        <v>-5.7806218339778752</v>
      </c>
    </row>
    <row r="1908" spans="1:22" ht="15">
      <c r="A1908" s="2">
        <v>1907</v>
      </c>
      <c r="B1908" s="2" t="s">
        <v>78</v>
      </c>
      <c r="C1908" s="2" t="s">
        <v>81</v>
      </c>
      <c r="D1908" s="2">
        <v>1062.5790556659922</v>
      </c>
      <c r="E1908" s="2">
        <v>764.85140357399359</v>
      </c>
      <c r="F1908" s="2">
        <v>741.37119017541409</v>
      </c>
      <c r="G1908" s="2">
        <v>95.471200167667121</v>
      </c>
      <c r="H1908" s="2">
        <v>8.7458949806168675</v>
      </c>
      <c r="I1908" s="2">
        <v>0.84738761220825842</v>
      </c>
      <c r="J1908" s="2">
        <v>7</v>
      </c>
      <c r="K1908" s="2">
        <v>179.13526910867583</v>
      </c>
      <c r="L1908" s="2">
        <v>13350</v>
      </c>
      <c r="M1908" s="2">
        <v>1200</v>
      </c>
      <c r="N1908" s="2">
        <v>249.96293138641613</v>
      </c>
      <c r="O1908" s="2">
        <v>2504.1237799131495</v>
      </c>
      <c r="P1908" s="2">
        <v>1062.5790556659922</v>
      </c>
      <c r="Q1908" s="2">
        <v>249.46845272259586</v>
      </c>
      <c r="R1908" s="2">
        <v>2519.3417234495537</v>
      </c>
      <c r="S1908" s="2">
        <v>1066.8983029982771</v>
      </c>
      <c r="T1908" s="2">
        <v>-0.49447866382027428</v>
      </c>
      <c r="U1908" s="2">
        <v>15.217943536404164</v>
      </c>
      <c r="V1908" s="2">
        <v>4.319247332284931</v>
      </c>
    </row>
    <row r="1909" spans="1:22" ht="15">
      <c r="A1909" s="2">
        <v>1908</v>
      </c>
      <c r="B1909" s="2" t="s">
        <v>78</v>
      </c>
      <c r="C1909" s="2" t="s">
        <v>81</v>
      </c>
      <c r="D1909" s="2">
        <v>1088.1393262534402</v>
      </c>
      <c r="E1909" s="2">
        <v>805.58288195170462</v>
      </c>
      <c r="F1909" s="2">
        <v>534.63067291304469</v>
      </c>
      <c r="G1909" s="2">
        <v>120.78610928263515</v>
      </c>
      <c r="H1909" s="2">
        <v>13.066219090949744</v>
      </c>
      <c r="I1909" s="2">
        <v>0.82667318621650343</v>
      </c>
      <c r="J1909" s="2">
        <v>7</v>
      </c>
      <c r="K1909" s="2">
        <v>188.04102730187182</v>
      </c>
      <c r="L1909" s="2">
        <v>14640</v>
      </c>
      <c r="M1909" s="2">
        <v>1200</v>
      </c>
      <c r="N1909" s="2">
        <v>250.03808627814323</v>
      </c>
      <c r="O1909" s="2">
        <v>2503.3047712449347</v>
      </c>
      <c r="P1909" s="2">
        <v>1088.1393262534402</v>
      </c>
      <c r="Q1909" s="2">
        <v>249.39498238416107</v>
      </c>
      <c r="R1909" s="2">
        <v>2454.8201360352014</v>
      </c>
      <c r="S1909" s="2">
        <v>1102.1760373023826</v>
      </c>
      <c r="T1909" s="2">
        <v>-0.64310389398215762</v>
      </c>
      <c r="U1909" s="2">
        <v>-48.484635209733369</v>
      </c>
      <c r="V1909" s="2">
        <v>14.036711048942379</v>
      </c>
    </row>
    <row r="1910" spans="1:22" ht="15">
      <c r="A1910" s="2">
        <v>1909</v>
      </c>
      <c r="B1910" s="2" t="s">
        <v>78</v>
      </c>
      <c r="C1910" s="2" t="s">
        <v>81</v>
      </c>
      <c r="D1910" s="2">
        <v>1045.835728617385</v>
      </c>
      <c r="E1910" s="2">
        <v>823.54387788800523</v>
      </c>
      <c r="F1910" s="2">
        <v>397.25274723023176</v>
      </c>
      <c r="G1910" s="2">
        <v>250.94411916332319</v>
      </c>
      <c r="H1910" s="2">
        <v>14.069124490022659</v>
      </c>
      <c r="I1910" s="2">
        <v>0.83020306935766719</v>
      </c>
      <c r="J1910" s="2">
        <v>7</v>
      </c>
      <c r="K1910" s="2">
        <v>179.96211963392696</v>
      </c>
      <c r="L1910" s="2">
        <v>14530</v>
      </c>
      <c r="M1910" s="2">
        <v>1200</v>
      </c>
      <c r="N1910" s="2">
        <v>249.98384309355743</v>
      </c>
      <c r="O1910" s="2">
        <v>2503.3672972206118</v>
      </c>
      <c r="P1910" s="2">
        <v>1045.835728617385</v>
      </c>
      <c r="Q1910" s="2">
        <v>248.27194386833483</v>
      </c>
      <c r="R1910" s="2">
        <v>2487.642840259582</v>
      </c>
      <c r="S1910" s="2">
        <v>1047.9204989561138</v>
      </c>
      <c r="T1910" s="2">
        <v>-1.7118992252225951</v>
      </c>
      <c r="U1910" s="2">
        <v>-15.724456961029773</v>
      </c>
      <c r="V1910" s="2">
        <v>2.0847703387287311</v>
      </c>
    </row>
    <row r="1911" spans="1:22" ht="15">
      <c r="A1911" s="2">
        <v>1910</v>
      </c>
      <c r="B1911" s="2" t="s">
        <v>78</v>
      </c>
      <c r="C1911" s="2" t="s">
        <v>81</v>
      </c>
      <c r="D1911" s="2">
        <v>997.05424989806488</v>
      </c>
      <c r="E1911" s="2">
        <v>863.12768028583378</v>
      </c>
      <c r="F1911" s="2">
        <v>599.52120603993535</v>
      </c>
      <c r="G1911" s="2">
        <v>317.44425782933831</v>
      </c>
      <c r="H1911" s="2">
        <v>26.680672785732895</v>
      </c>
      <c r="I1911" s="2">
        <v>0.80292507824953652</v>
      </c>
      <c r="J1911" s="2">
        <v>7</v>
      </c>
      <c r="K1911" s="2">
        <v>177.39677744844619</v>
      </c>
      <c r="L1911" s="2">
        <v>12015</v>
      </c>
      <c r="M1911" s="2">
        <v>1200</v>
      </c>
      <c r="N1911" s="2">
        <v>250.02426781273709</v>
      </c>
      <c r="O1911" s="2">
        <v>2505.1622782107556</v>
      </c>
      <c r="P1911" s="2">
        <v>997.05424989806488</v>
      </c>
      <c r="Q1911" s="2">
        <v>251.02476622678583</v>
      </c>
      <c r="R1911" s="2">
        <v>2469.3224666471888</v>
      </c>
      <c r="S1911" s="2">
        <v>985.51581927210896</v>
      </c>
      <c r="T1911" s="2">
        <v>1.0004984140487352</v>
      </c>
      <c r="U1911" s="2">
        <v>-35.839811563566855</v>
      </c>
      <c r="V1911" s="2">
        <v>-11.538430625955925</v>
      </c>
    </row>
    <row r="1912" spans="1:22" ht="15">
      <c r="A1912" s="2">
        <v>1911</v>
      </c>
      <c r="B1912" s="2" t="s">
        <v>78</v>
      </c>
      <c r="C1912" s="2" t="s">
        <v>81</v>
      </c>
      <c r="D1912" s="2">
        <v>1001.6564102144912</v>
      </c>
      <c r="E1912" s="2">
        <v>1127.0307114464231</v>
      </c>
      <c r="F1912" s="2">
        <v>564.4089475274086</v>
      </c>
      <c r="G1912" s="2">
        <v>297.38140558591112</v>
      </c>
      <c r="H1912" s="2">
        <v>16.197189609520137</v>
      </c>
      <c r="I1912" s="2">
        <v>0.82254453334724531</v>
      </c>
      <c r="J1912" s="2">
        <v>7</v>
      </c>
      <c r="K1912" s="2">
        <v>173.96477283179024</v>
      </c>
      <c r="L1912" s="2">
        <v>10755</v>
      </c>
      <c r="M1912" s="2">
        <v>1195</v>
      </c>
      <c r="N1912" s="2">
        <v>250.04686683652159</v>
      </c>
      <c r="O1912" s="2">
        <v>2495.9340863260936</v>
      </c>
      <c r="P1912" s="2">
        <v>1001.6564102144912</v>
      </c>
      <c r="Q1912" s="2">
        <v>251.82558803484147</v>
      </c>
      <c r="R1912" s="2">
        <v>2532.1130193486943</v>
      </c>
      <c r="S1912" s="2">
        <v>993.6608099956261</v>
      </c>
      <c r="T1912" s="2">
        <v>1.7787211983198858</v>
      </c>
      <c r="U1912" s="2">
        <v>36.178933022600631</v>
      </c>
      <c r="V1912" s="2">
        <v>-7.9956002188650928</v>
      </c>
    </row>
    <row r="1913" spans="1:22" ht="15">
      <c r="A1913" s="2">
        <v>1912</v>
      </c>
      <c r="B1913" s="2" t="s">
        <v>78</v>
      </c>
      <c r="C1913" s="2" t="s">
        <v>81</v>
      </c>
      <c r="D1913" s="2">
        <v>1019.7207107092254</v>
      </c>
      <c r="E1913" s="2">
        <v>822.74836702272296</v>
      </c>
      <c r="F1913" s="2">
        <v>737.11549555882812</v>
      </c>
      <c r="G1913" s="2">
        <v>276.67015469167382</v>
      </c>
      <c r="H1913" s="2">
        <v>25.446453338023275</v>
      </c>
      <c r="I1913" s="2">
        <v>0.85025080916471785</v>
      </c>
      <c r="J1913" s="2">
        <v>6</v>
      </c>
      <c r="K1913" s="2">
        <v>199.8862570349475</v>
      </c>
      <c r="L1913" s="2">
        <v>13585</v>
      </c>
      <c r="M1913" s="2">
        <v>1200</v>
      </c>
      <c r="N1913" s="2">
        <v>249.99278423090357</v>
      </c>
      <c r="O1913" s="2">
        <v>2503.963570132586</v>
      </c>
      <c r="P1913" s="2">
        <v>1019.7207107092254</v>
      </c>
      <c r="Q1913" s="2">
        <v>252.43502911749036</v>
      </c>
      <c r="R1913" s="2">
        <v>2530.0029845677791</v>
      </c>
      <c r="S1913" s="2">
        <v>1014.3152151119951</v>
      </c>
      <c r="T1913" s="2">
        <v>2.4422448865867921</v>
      </c>
      <c r="U1913" s="2">
        <v>26.039414435193066</v>
      </c>
      <c r="V1913" s="2">
        <v>-5.4054955972302423</v>
      </c>
    </row>
    <row r="1914" spans="1:22" ht="15">
      <c r="A1914" s="2">
        <v>1913</v>
      </c>
      <c r="B1914" s="2" t="s">
        <v>78</v>
      </c>
      <c r="C1914" s="2" t="s">
        <v>81</v>
      </c>
      <c r="D1914" s="2">
        <v>974.23511184751987</v>
      </c>
      <c r="E1914" s="2">
        <v>751.48548543220386</v>
      </c>
      <c r="F1914" s="2">
        <v>522.97429013997316</v>
      </c>
      <c r="G1914" s="2">
        <v>157.95151747995988</v>
      </c>
      <c r="H1914" s="2">
        <v>13.161228461191058</v>
      </c>
      <c r="I1914" s="2">
        <v>0.85681137097300963</v>
      </c>
      <c r="J1914" s="2">
        <v>6</v>
      </c>
      <c r="K1914" s="2">
        <v>189.50789420180115</v>
      </c>
      <c r="L1914" s="2">
        <v>17420</v>
      </c>
      <c r="M1914" s="2">
        <v>1200</v>
      </c>
      <c r="N1914" s="2">
        <v>250.02536220344271</v>
      </c>
      <c r="O1914" s="2">
        <v>2501.9471593878129</v>
      </c>
      <c r="P1914" s="2">
        <v>974.23511184751987</v>
      </c>
      <c r="Q1914" s="2">
        <v>247.67617738497367</v>
      </c>
      <c r="R1914" s="2">
        <v>2454.0611204949082</v>
      </c>
      <c r="S1914" s="2">
        <v>986.02069785279048</v>
      </c>
      <c r="T1914" s="2">
        <v>-2.3491848184690411</v>
      </c>
      <c r="U1914" s="2">
        <v>-47.886038892904708</v>
      </c>
      <c r="V1914" s="2">
        <v>11.785586005270602</v>
      </c>
    </row>
    <row r="1915" spans="1:22" ht="15">
      <c r="A1915" s="2">
        <v>1914</v>
      </c>
      <c r="B1915" s="2" t="s">
        <v>78</v>
      </c>
      <c r="C1915" s="2" t="s">
        <v>81</v>
      </c>
      <c r="D1915" s="2">
        <v>1059.8100552917458</v>
      </c>
      <c r="E1915" s="2">
        <v>676.67698620352894</v>
      </c>
      <c r="F1915" s="2">
        <v>450.86437622085214</v>
      </c>
      <c r="G1915" s="2">
        <v>186.41012690030038</v>
      </c>
      <c r="H1915" s="2">
        <v>19.043622982222587</v>
      </c>
      <c r="I1915" s="2">
        <v>0.80825720735359941</v>
      </c>
      <c r="J1915" s="2">
        <v>7</v>
      </c>
      <c r="K1915" s="2">
        <v>187.31838713318609</v>
      </c>
      <c r="L1915" s="2">
        <v>16275</v>
      </c>
      <c r="M1915" s="2">
        <v>1200</v>
      </c>
      <c r="N1915" s="2">
        <v>249.98586105838521</v>
      </c>
      <c r="O1915" s="2">
        <v>2502.4487744096568</v>
      </c>
      <c r="P1915" s="2">
        <v>1059.8100552917458</v>
      </c>
      <c r="Q1915" s="2">
        <v>245.85940245596856</v>
      </c>
      <c r="R1915" s="2">
        <v>2488.8657461781263</v>
      </c>
      <c r="S1915" s="2">
        <v>1071.352058997941</v>
      </c>
      <c r="T1915" s="2">
        <v>-4.1264586024166476</v>
      </c>
      <c r="U1915" s="2">
        <v>-13.583028231530534</v>
      </c>
      <c r="V1915" s="2">
        <v>11.542003706195146</v>
      </c>
    </row>
    <row r="1916" spans="1:22" ht="15">
      <c r="A1916" s="2">
        <v>1915</v>
      </c>
      <c r="B1916" s="2" t="s">
        <v>79</v>
      </c>
      <c r="C1916" s="2" t="s">
        <v>81</v>
      </c>
      <c r="D1916" s="2">
        <v>970.3338299645111</v>
      </c>
      <c r="E1916" s="2">
        <v>832.83811962464824</v>
      </c>
      <c r="F1916" s="2">
        <v>703.54609228670597</v>
      </c>
      <c r="G1916" s="2">
        <v>82.306698996108025</v>
      </c>
      <c r="H1916" s="2">
        <v>18.310387113131583</v>
      </c>
      <c r="I1916" s="2">
        <v>0.82278221147833397</v>
      </c>
      <c r="J1916" s="2">
        <v>6</v>
      </c>
      <c r="K1916" s="2">
        <v>196.55542224656344</v>
      </c>
      <c r="L1916" s="2">
        <v>15415</v>
      </c>
      <c r="M1916" s="2">
        <v>1200</v>
      </c>
      <c r="N1916" s="2">
        <v>250.02065958945224</v>
      </c>
      <c r="O1916" s="2">
        <v>2502.8766201690632</v>
      </c>
      <c r="P1916" s="2">
        <v>970.3338299645111</v>
      </c>
      <c r="Q1916" s="2">
        <v>247.8640597392104</v>
      </c>
      <c r="R1916" s="2">
        <v>2481.8552967091587</v>
      </c>
      <c r="S1916" s="2">
        <v>974.63666941669351</v>
      </c>
      <c r="T1916" s="2">
        <v>-2.1565998502418324</v>
      </c>
      <c r="U1916" s="2">
        <v>-21.021323459904579</v>
      </c>
      <c r="V1916" s="2">
        <v>4.3028394521824112</v>
      </c>
    </row>
    <row r="1917" spans="1:22" ht="15">
      <c r="A1917" s="2">
        <v>1916</v>
      </c>
      <c r="B1917" s="2" t="s">
        <v>79</v>
      </c>
      <c r="C1917" s="2" t="s">
        <v>81</v>
      </c>
      <c r="D1917" s="2">
        <v>996.67411263799295</v>
      </c>
      <c r="E1917" s="2">
        <v>655.24545493535697</v>
      </c>
      <c r="F1917" s="2">
        <v>438.81258917972445</v>
      </c>
      <c r="G1917" s="2">
        <v>123.39473124127835</v>
      </c>
      <c r="H1917" s="2">
        <v>23.315201621036977</v>
      </c>
      <c r="I1917" s="2">
        <v>0.85100102901458741</v>
      </c>
      <c r="J1917" s="2">
        <v>6</v>
      </c>
      <c r="K1917" s="2">
        <v>195.19641744579459</v>
      </c>
      <c r="L1917" s="2">
        <v>20495</v>
      </c>
      <c r="M1917" s="2">
        <v>1200</v>
      </c>
      <c r="N1917" s="2">
        <v>250.0163759931126</v>
      </c>
      <c r="O1917" s="2">
        <v>2500.8746023679178</v>
      </c>
      <c r="P1917" s="2">
        <v>996.67411263799295</v>
      </c>
      <c r="Q1917" s="2">
        <v>246.19497573308854</v>
      </c>
      <c r="R1917" s="2">
        <v>2479.0113397486384</v>
      </c>
      <c r="S1917" s="2">
        <v>1003.838820171038</v>
      </c>
      <c r="T1917" s="2">
        <v>-3.8214002600240633</v>
      </c>
      <c r="U1917" s="2">
        <v>-21.86326261927934</v>
      </c>
      <c r="V1917" s="2">
        <v>7.1647075330450889</v>
      </c>
    </row>
    <row r="1918" spans="1:22" ht="15">
      <c r="A1918" s="2">
        <v>1917</v>
      </c>
      <c r="B1918" s="2" t="s">
        <v>79</v>
      </c>
      <c r="C1918" s="2" t="s">
        <v>81</v>
      </c>
      <c r="D1918" s="2">
        <v>1002.9054212849587</v>
      </c>
      <c r="E1918" s="2">
        <v>1171.0230146418326</v>
      </c>
      <c r="F1918" s="2">
        <v>495.77900227159262</v>
      </c>
      <c r="G1918" s="2">
        <v>135.11456989916041</v>
      </c>
      <c r="H1918" s="2">
        <v>20.186098601669073</v>
      </c>
      <c r="I1918" s="2">
        <v>0.80580866832518949</v>
      </c>
      <c r="J1918" s="2">
        <v>7</v>
      </c>
      <c r="K1918" s="2">
        <v>177.79928247543987</v>
      </c>
      <c r="L1918" s="2">
        <v>11870</v>
      </c>
      <c r="M1918" s="2">
        <v>1195</v>
      </c>
      <c r="N1918" s="2">
        <v>250.0349933032025</v>
      </c>
      <c r="O1918" s="2">
        <v>2494.85061134834</v>
      </c>
      <c r="P1918" s="2">
        <v>1002.9054212849587</v>
      </c>
      <c r="Q1918" s="2">
        <v>250.35620318443887</v>
      </c>
      <c r="R1918" s="2">
        <v>2535.4042478587667</v>
      </c>
      <c r="S1918" s="2">
        <v>1004.3826507483604</v>
      </c>
      <c r="T1918" s="2">
        <v>0.32120988123637062</v>
      </c>
      <c r="U1918" s="2">
        <v>40.553636510426713</v>
      </c>
      <c r="V1918" s="2">
        <v>1.4772294634017271</v>
      </c>
    </row>
    <row r="1919" spans="1:22" ht="15">
      <c r="A1919" s="2">
        <v>1918</v>
      </c>
      <c r="B1919" s="2" t="s">
        <v>80</v>
      </c>
      <c r="C1919" s="2" t="s">
        <v>81</v>
      </c>
      <c r="D1919" s="2">
        <v>1019.1387388971634</v>
      </c>
      <c r="E1919" s="2">
        <v>794.01631976943463</v>
      </c>
      <c r="F1919" s="2">
        <v>638.06670801714063</v>
      </c>
      <c r="G1919" s="2">
        <v>287.24338758736849</v>
      </c>
      <c r="H1919" s="2">
        <v>17.569195481482893</v>
      </c>
      <c r="I1919" s="2">
        <v>0.84187098864000298</v>
      </c>
      <c r="J1919" s="2">
        <v>7</v>
      </c>
      <c r="K1919" s="2">
        <v>172.93771893609883</v>
      </c>
      <c r="L1919" s="2">
        <v>12440</v>
      </c>
      <c r="M1919" s="2">
        <v>1200</v>
      </c>
      <c r="N1919" s="2">
        <v>250.03105807085367</v>
      </c>
      <c r="O1919" s="2">
        <v>2504.8085429291746</v>
      </c>
      <c r="P1919" s="2">
        <v>1019.1387388971634</v>
      </c>
      <c r="Q1919" s="2">
        <v>252.60950187354297</v>
      </c>
      <c r="R1919" s="2">
        <v>2515.2355297497302</v>
      </c>
      <c r="S1919" s="2">
        <v>1013.0571702700132</v>
      </c>
      <c r="T1919" s="2">
        <v>2.5784438026892929</v>
      </c>
      <c r="U1919" s="2">
        <v>10.426986820555612</v>
      </c>
      <c r="V1919" s="2">
        <v>-6.0815686271502045</v>
      </c>
    </row>
    <row r="1920" spans="1:22" ht="15">
      <c r="A1920" s="2">
        <v>1919</v>
      </c>
      <c r="B1920" s="2" t="s">
        <v>80</v>
      </c>
      <c r="C1920" s="2" t="s">
        <v>81</v>
      </c>
      <c r="D1920" s="2">
        <v>963.37782444898039</v>
      </c>
      <c r="E1920" s="2">
        <v>1070.821585052181</v>
      </c>
      <c r="F1920" s="2">
        <v>659.1096393764019</v>
      </c>
      <c r="G1920" s="2">
        <v>90.56887157028541</v>
      </c>
      <c r="H1920" s="2">
        <v>26.477141982875764</v>
      </c>
      <c r="I1920" s="2">
        <v>0.85984899626811973</v>
      </c>
      <c r="J1920" s="2">
        <v>6</v>
      </c>
      <c r="K1920" s="2">
        <v>186.73391658112689</v>
      </c>
      <c r="L1920" s="2">
        <v>13705</v>
      </c>
      <c r="M1920" s="2">
        <v>1200</v>
      </c>
      <c r="N1920" s="2">
        <v>249.9992093837497</v>
      </c>
      <c r="O1920" s="2">
        <v>2503.8835672789955</v>
      </c>
      <c r="P1920" s="2">
        <v>963.37782444898039</v>
      </c>
      <c r="Q1920" s="2">
        <v>249.89959915668305</v>
      </c>
      <c r="R1920" s="2">
        <v>2477.2546708036716</v>
      </c>
      <c r="S1920" s="2">
        <v>947.62512290146196</v>
      </c>
      <c r="T1920" s="2">
        <v>-9.9610227066648349E-2</v>
      </c>
      <c r="U1920" s="2">
        <v>-26.628896475323927</v>
      </c>
      <c r="V1920" s="2">
        <v>-15.752701547518427</v>
      </c>
    </row>
    <row r="1921" spans="1:22" ht="15">
      <c r="A1921" s="2">
        <v>1920</v>
      </c>
      <c r="B1921" s="2" t="s">
        <v>80</v>
      </c>
      <c r="C1921" s="2" t="s">
        <v>81</v>
      </c>
      <c r="D1921" s="2">
        <v>1072.5931079941802</v>
      </c>
      <c r="E1921" s="2">
        <v>940.14157094061375</v>
      </c>
      <c r="F1921" s="2">
        <v>504.96252765879035</v>
      </c>
      <c r="G1921" s="2">
        <v>264.86152321565896</v>
      </c>
      <c r="H1921" s="2">
        <v>24.363383339252323</v>
      </c>
      <c r="I1921" s="2">
        <v>0.82769265937618919</v>
      </c>
      <c r="J1921" s="2">
        <v>7</v>
      </c>
      <c r="K1921" s="2">
        <v>185.12618798841973</v>
      </c>
      <c r="L1921" s="2">
        <v>12505</v>
      </c>
      <c r="M1921" s="2">
        <v>1200</v>
      </c>
      <c r="N1921" s="2">
        <v>249.96925498595942</v>
      </c>
      <c r="O1921" s="2">
        <v>2504.7540518777096</v>
      </c>
      <c r="P1921" s="2">
        <v>1072.5931079941802</v>
      </c>
      <c r="Q1921" s="2">
        <v>248.11513100066099</v>
      </c>
      <c r="R1921" s="2">
        <v>2481.3207969885893</v>
      </c>
      <c r="S1921" s="2">
        <v>1063.5783339124362</v>
      </c>
      <c r="T1921" s="2">
        <v>-1.854123985298429</v>
      </c>
      <c r="U1921" s="2">
        <v>-23.433254889120235</v>
      </c>
      <c r="V1921" s="2">
        <v>-9.0147740817440081</v>
      </c>
    </row>
    <row r="1922" spans="1:22" ht="15">
      <c r="A1922" s="2">
        <v>1921</v>
      </c>
      <c r="B1922" s="2" t="s">
        <v>78</v>
      </c>
      <c r="C1922" s="2" t="s">
        <v>81</v>
      </c>
      <c r="D1922" s="2">
        <v>988.82887614890933</v>
      </c>
      <c r="E1922" s="2">
        <v>1122.0884899958037</v>
      </c>
      <c r="F1922" s="2">
        <v>532.92581383138895</v>
      </c>
      <c r="G1922" s="2">
        <v>257.93430114397779</v>
      </c>
      <c r="H1922" s="2">
        <v>21.343323210254312</v>
      </c>
      <c r="I1922" s="2">
        <v>0.79719104896532378</v>
      </c>
      <c r="J1922" s="2">
        <v>7</v>
      </c>
      <c r="K1922" s="2">
        <v>177.19876333862015</v>
      </c>
      <c r="L1922" s="2">
        <v>11180</v>
      </c>
      <c r="M1922" s="2">
        <v>1195</v>
      </c>
      <c r="N1922" s="2">
        <v>250.01185687700371</v>
      </c>
      <c r="O1922" s="2">
        <v>2495.4942578508444</v>
      </c>
      <c r="P1922" s="2">
        <v>988.82887614890933</v>
      </c>
      <c r="Q1922" s="2">
        <v>252.05486951868886</v>
      </c>
      <c r="R1922" s="2">
        <v>2478.0137402594141</v>
      </c>
      <c r="S1922" s="2">
        <v>980.98114805738953</v>
      </c>
      <c r="T1922" s="2">
        <v>2.0430126416851522</v>
      </c>
      <c r="U1922" s="2">
        <v>-17.480517591430271</v>
      </c>
      <c r="V1922" s="2">
        <v>-7.847728091519798</v>
      </c>
    </row>
    <row r="1923" spans="1:22" ht="15">
      <c r="A1923" s="2">
        <v>1922</v>
      </c>
      <c r="B1923" s="2" t="s">
        <v>78</v>
      </c>
      <c r="C1923" s="2" t="s">
        <v>81</v>
      </c>
      <c r="D1923" s="2">
        <v>1009.8471602075733</v>
      </c>
      <c r="E1923" s="2">
        <v>728.9370632963255</v>
      </c>
      <c r="F1923" s="2">
        <v>453.83230680599809</v>
      </c>
      <c r="G1923" s="2">
        <v>308.07090193964541</v>
      </c>
      <c r="H1923" s="2">
        <v>10.381991170812398</v>
      </c>
      <c r="I1923" s="2">
        <v>0.8060589288035408</v>
      </c>
      <c r="J1923" s="2">
        <v>7</v>
      </c>
      <c r="K1923" s="2">
        <v>178.97435891416632</v>
      </c>
      <c r="L1923" s="2">
        <v>14345</v>
      </c>
      <c r="M1923" s="2">
        <v>1200</v>
      </c>
      <c r="N1923" s="2">
        <v>250.00376810983224</v>
      </c>
      <c r="O1923" s="2">
        <v>2503.4784793916106</v>
      </c>
      <c r="P1923" s="2">
        <v>1009.8471602075733</v>
      </c>
      <c r="Q1923" s="2">
        <v>250.03902185129115</v>
      </c>
      <c r="R1923" s="2">
        <v>2499.6485636575203</v>
      </c>
      <c r="S1923" s="2">
        <v>1023.0245504041294</v>
      </c>
      <c r="T1923" s="2">
        <v>3.5253741458916465E-2</v>
      </c>
      <c r="U1923" s="2">
        <v>-3.8299157340902639</v>
      </c>
      <c r="V1923" s="2">
        <v>13.177390196556075</v>
      </c>
    </row>
    <row r="1924" spans="1:22" ht="15">
      <c r="A1924" s="2">
        <v>1923</v>
      </c>
      <c r="B1924" s="2" t="s">
        <v>78</v>
      </c>
      <c r="C1924" s="2" t="s">
        <v>81</v>
      </c>
      <c r="D1924" s="2">
        <v>1002.341516665183</v>
      </c>
      <c r="E1924" s="2">
        <v>809.89500858122483</v>
      </c>
      <c r="F1924" s="2">
        <v>745.44790498912334</v>
      </c>
      <c r="G1924" s="2">
        <v>216.54950604541227</v>
      </c>
      <c r="H1924" s="2">
        <v>19.049916510470212</v>
      </c>
      <c r="I1924" s="2">
        <v>0.82014163673622542</v>
      </c>
      <c r="J1924" s="2">
        <v>7</v>
      </c>
      <c r="K1924" s="2">
        <v>174.59380041686225</v>
      </c>
      <c r="L1924" s="2">
        <v>12070</v>
      </c>
      <c r="M1924" s="2">
        <v>1200</v>
      </c>
      <c r="N1924" s="2">
        <v>250.0114788577705</v>
      </c>
      <c r="O1924" s="2">
        <v>2505.1145401530671</v>
      </c>
      <c r="P1924" s="2">
        <v>1002.341516665183</v>
      </c>
      <c r="Q1924" s="2">
        <v>248.25448172615799</v>
      </c>
      <c r="R1924" s="2">
        <v>2503.0851039920694</v>
      </c>
      <c r="S1924" s="2">
        <v>997.10216281688736</v>
      </c>
      <c r="T1924" s="2">
        <v>-1.7569971316125077</v>
      </c>
      <c r="U1924" s="2">
        <v>-2.0294361609976477</v>
      </c>
      <c r="V1924" s="2">
        <v>-5.2393538482956501</v>
      </c>
    </row>
    <row r="1925" spans="1:22" ht="15">
      <c r="A1925" s="2">
        <v>1924</v>
      </c>
      <c r="B1925" s="2" t="s">
        <v>78</v>
      </c>
      <c r="C1925" s="2" t="s">
        <v>81</v>
      </c>
      <c r="D1925" s="2">
        <v>1085.2042301907204</v>
      </c>
      <c r="E1925" s="2">
        <v>628.89642086811364</v>
      </c>
      <c r="F1925" s="2">
        <v>515.16287950798869</v>
      </c>
      <c r="G1925" s="2">
        <v>227.77514000888914</v>
      </c>
      <c r="H1925" s="2">
        <v>27.706745467614383</v>
      </c>
      <c r="I1925" s="2">
        <v>0.79538674255833031</v>
      </c>
      <c r="J1925" s="2">
        <v>7</v>
      </c>
      <c r="K1925" s="2">
        <v>194.91043469355071</v>
      </c>
      <c r="L1925" s="2">
        <v>15590</v>
      </c>
      <c r="M1925" s="2">
        <v>1200</v>
      </c>
      <c r="N1925" s="2">
        <v>250.01337842993169</v>
      </c>
      <c r="O1925" s="2">
        <v>2502.7857226443689</v>
      </c>
      <c r="P1925" s="2">
        <v>1085.2042301907204</v>
      </c>
      <c r="Q1925" s="2">
        <v>245.53912082013704</v>
      </c>
      <c r="R1925" s="2">
        <v>2519.1130605335361</v>
      </c>
      <c r="S1925" s="2">
        <v>1076.8676079872312</v>
      </c>
      <c r="T1925" s="2">
        <v>-4.4742576097946483</v>
      </c>
      <c r="U1925" s="2">
        <v>16.327337889167211</v>
      </c>
      <c r="V1925" s="2">
        <v>-8.3366222034892417</v>
      </c>
    </row>
    <row r="1926" spans="1:22" ht="15">
      <c r="A1926" s="2">
        <v>1925</v>
      </c>
      <c r="B1926" s="2" t="s">
        <v>78</v>
      </c>
      <c r="C1926" s="2" t="s">
        <v>81</v>
      </c>
      <c r="D1926" s="2">
        <v>1039.9366016034037</v>
      </c>
      <c r="E1926" s="2">
        <v>1064.5077729481272</v>
      </c>
      <c r="F1926" s="2">
        <v>475.66810082644224</v>
      </c>
      <c r="G1926" s="2">
        <v>198.72207681881264</v>
      </c>
      <c r="H1926" s="2">
        <v>23.3061768040061</v>
      </c>
      <c r="I1926" s="2">
        <v>0.79362149344990029</v>
      </c>
      <c r="J1926" s="2">
        <v>7</v>
      </c>
      <c r="K1926" s="2">
        <v>187.19549921943684</v>
      </c>
      <c r="L1926" s="2">
        <v>12300</v>
      </c>
      <c r="M1926" s="2">
        <v>1200</v>
      </c>
      <c r="N1926" s="2">
        <v>250.03148468107756</v>
      </c>
      <c r="O1926" s="2">
        <v>2504.9224727499941</v>
      </c>
      <c r="P1926" s="2">
        <v>1039.9366016034037</v>
      </c>
      <c r="Q1926" s="2">
        <v>249.58207343247605</v>
      </c>
      <c r="R1926" s="2">
        <v>2547.3825884679763</v>
      </c>
      <c r="S1926" s="2">
        <v>1032.1034294088283</v>
      </c>
      <c r="T1926" s="2">
        <v>-0.44941124860150694</v>
      </c>
      <c r="U1926" s="2">
        <v>42.460115717982262</v>
      </c>
      <c r="V1926" s="2">
        <v>-7.8331721945753543</v>
      </c>
    </row>
    <row r="1927" spans="1:22" ht="15">
      <c r="A1927" s="2">
        <v>1926</v>
      </c>
      <c r="B1927" s="2" t="s">
        <v>78</v>
      </c>
      <c r="C1927" s="2" t="s">
        <v>81</v>
      </c>
      <c r="D1927" s="2">
        <v>1067.279860295821</v>
      </c>
      <c r="E1927" s="2">
        <v>794.43275516387075</v>
      </c>
      <c r="F1927" s="2">
        <v>402.45127649977803</v>
      </c>
      <c r="G1927" s="2">
        <v>177.15186385437846</v>
      </c>
      <c r="H1927" s="2">
        <v>9.3375298217870295</v>
      </c>
      <c r="I1927" s="2">
        <v>0.79324579009320595</v>
      </c>
      <c r="J1927" s="2">
        <v>7</v>
      </c>
      <c r="K1927" s="2">
        <v>192.20845969181454</v>
      </c>
      <c r="L1927" s="2">
        <v>15565</v>
      </c>
      <c r="M1927" s="2">
        <v>1200</v>
      </c>
      <c r="N1927" s="2">
        <v>250.01267416393813</v>
      </c>
      <c r="O1927" s="2">
        <v>2502.7985377549894</v>
      </c>
      <c r="P1927" s="2">
        <v>1067.279860295821</v>
      </c>
      <c r="Q1927" s="2">
        <v>251.20786976928616</v>
      </c>
      <c r="R1927" s="2">
        <v>2521.7008628929084</v>
      </c>
      <c r="S1927" s="2">
        <v>1080.4543428462885</v>
      </c>
      <c r="T1927" s="2">
        <v>1.195195605348033</v>
      </c>
      <c r="U1927" s="2">
        <v>18.902325137918979</v>
      </c>
      <c r="V1927" s="2">
        <v>13.174482550467474</v>
      </c>
    </row>
    <row r="1928" spans="1:22" ht="15">
      <c r="A1928" s="2">
        <v>1927</v>
      </c>
      <c r="B1928" s="2" t="s">
        <v>78</v>
      </c>
      <c r="C1928" s="2" t="s">
        <v>81</v>
      </c>
      <c r="D1928" s="2">
        <v>1082.5098335044459</v>
      </c>
      <c r="E1928" s="2">
        <v>1102.7714625117369</v>
      </c>
      <c r="F1928" s="2">
        <v>455.8963268995285</v>
      </c>
      <c r="G1928" s="2">
        <v>316.22476676246151</v>
      </c>
      <c r="H1928" s="2">
        <v>15.824280592612922</v>
      </c>
      <c r="I1928" s="2">
        <v>0.79587654590373857</v>
      </c>
      <c r="J1928" s="2">
        <v>7</v>
      </c>
      <c r="K1928" s="2">
        <v>194.30684661476482</v>
      </c>
      <c r="L1928" s="2">
        <v>11405</v>
      </c>
      <c r="M1928" s="2">
        <v>1195</v>
      </c>
      <c r="N1928" s="2">
        <v>249.96943262883249</v>
      </c>
      <c r="O1928" s="2">
        <v>2495.2736490290481</v>
      </c>
      <c r="P1928" s="2">
        <v>1082.5098335044459</v>
      </c>
      <c r="Q1928" s="2">
        <v>250.32228498283618</v>
      </c>
      <c r="R1928" s="2">
        <v>2514.6801067127872</v>
      </c>
      <c r="S1928" s="2">
        <v>1084.9221345769661</v>
      </c>
      <c r="T1928" s="2">
        <v>0.3528523540036872</v>
      </c>
      <c r="U1928" s="2">
        <v>19.406457683739063</v>
      </c>
      <c r="V1928" s="2">
        <v>2.4123010725202221</v>
      </c>
    </row>
    <row r="1929" spans="1:22" ht="15">
      <c r="A1929" s="2">
        <v>1928</v>
      </c>
      <c r="B1929" s="2" t="s">
        <v>78</v>
      </c>
      <c r="C1929" s="2" t="s">
        <v>81</v>
      </c>
      <c r="D1929" s="2">
        <v>1028.6661644349806</v>
      </c>
      <c r="E1929" s="2">
        <v>958.65410538390279</v>
      </c>
      <c r="F1929" s="2">
        <v>521.20512193068862</v>
      </c>
      <c r="G1929" s="2">
        <v>142.50554288271815</v>
      </c>
      <c r="H1929" s="2">
        <v>16.604978767689317</v>
      </c>
      <c r="I1929" s="2">
        <v>0.85197158374823634</v>
      </c>
      <c r="J1929" s="2">
        <v>7</v>
      </c>
      <c r="K1929" s="2">
        <v>172.48498894585512</v>
      </c>
      <c r="L1929" s="2">
        <v>13180</v>
      </c>
      <c r="M1929" s="2">
        <v>1200</v>
      </c>
      <c r="N1929" s="2">
        <v>249.96492978484426</v>
      </c>
      <c r="O1929" s="2">
        <v>2504.2441098002723</v>
      </c>
      <c r="P1929" s="2">
        <v>1028.6661644349806</v>
      </c>
      <c r="Q1929" s="2">
        <v>248.23129783799766</v>
      </c>
      <c r="R1929" s="2">
        <v>2541.1160613024399</v>
      </c>
      <c r="S1929" s="2">
        <v>1032.1978611526281</v>
      </c>
      <c r="T1929" s="2">
        <v>-1.7336319468466002</v>
      </c>
      <c r="U1929" s="2">
        <v>36.871951502167576</v>
      </c>
      <c r="V1929" s="2">
        <v>3.5316967176474918</v>
      </c>
    </row>
    <row r="1930" spans="1:22" ht="15">
      <c r="A1930" s="2">
        <v>1929</v>
      </c>
      <c r="B1930" s="2" t="s">
        <v>78</v>
      </c>
      <c r="C1930" s="2" t="s">
        <v>81</v>
      </c>
      <c r="D1930" s="2">
        <v>1008.0254988744855</v>
      </c>
      <c r="E1930" s="2">
        <v>942.00507852947339</v>
      </c>
      <c r="F1930" s="2">
        <v>538.78981787711382</v>
      </c>
      <c r="G1930" s="2">
        <v>246.26818251097575</v>
      </c>
      <c r="H1930" s="2">
        <v>17.284974610432982</v>
      </c>
      <c r="I1930" s="2">
        <v>0.82677203842671587</v>
      </c>
      <c r="J1930" s="2">
        <v>7</v>
      </c>
      <c r="K1930" s="2">
        <v>174.17575341612064</v>
      </c>
      <c r="L1930" s="2">
        <v>12385</v>
      </c>
      <c r="M1930" s="2">
        <v>1200</v>
      </c>
      <c r="N1930" s="2">
        <v>250.04573135548031</v>
      </c>
      <c r="O1930" s="2">
        <v>2504.8535795949947</v>
      </c>
      <c r="P1930" s="2">
        <v>1008.0254988744855</v>
      </c>
      <c r="Q1930" s="2">
        <v>253.58220873168216</v>
      </c>
      <c r="R1930" s="2">
        <v>2505.1485100827172</v>
      </c>
      <c r="S1930" s="2">
        <v>1013.1129513265586</v>
      </c>
      <c r="T1930" s="2">
        <v>3.5364773762018444</v>
      </c>
      <c r="U1930" s="2">
        <v>0.29493048772246766</v>
      </c>
      <c r="V1930" s="2">
        <v>5.0874524520730802</v>
      </c>
    </row>
    <row r="1931" spans="1:22" ht="15">
      <c r="A1931" s="2">
        <v>1930</v>
      </c>
      <c r="B1931" s="2" t="s">
        <v>78</v>
      </c>
      <c r="C1931" s="2" t="s">
        <v>81</v>
      </c>
      <c r="D1931" s="2">
        <v>1083.9688420877792</v>
      </c>
      <c r="E1931" s="2">
        <v>696.57421188894659</v>
      </c>
      <c r="F1931" s="2">
        <v>438.30069610849023</v>
      </c>
      <c r="G1931" s="2">
        <v>86.635733647271991</v>
      </c>
      <c r="H1931" s="2">
        <v>21.513827238697559</v>
      </c>
      <c r="I1931" s="2">
        <v>0.82333905417937792</v>
      </c>
      <c r="J1931" s="2">
        <v>7</v>
      </c>
      <c r="K1931" s="2">
        <v>188.07888553418286</v>
      </c>
      <c r="L1931" s="2">
        <v>17510</v>
      </c>
      <c r="M1931" s="2">
        <v>1200</v>
      </c>
      <c r="N1931" s="2">
        <v>250.03370051201097</v>
      </c>
      <c r="O1931" s="2">
        <v>2501.9106577471421</v>
      </c>
      <c r="P1931" s="2">
        <v>1083.9688420877792</v>
      </c>
      <c r="Q1931" s="2">
        <v>245.85817252953714</v>
      </c>
      <c r="R1931" s="2">
        <v>2501.4419253735678</v>
      </c>
      <c r="S1931" s="2">
        <v>1087.5604796732125</v>
      </c>
      <c r="T1931" s="2">
        <v>-4.1755279824738238</v>
      </c>
      <c r="U1931" s="2">
        <v>-0.46873237357431208</v>
      </c>
      <c r="V1931" s="2">
        <v>3.5916375854333182</v>
      </c>
    </row>
    <row r="1932" spans="1:22" ht="15">
      <c r="A1932" s="2">
        <v>1931</v>
      </c>
      <c r="B1932" s="2" t="s">
        <v>78</v>
      </c>
      <c r="C1932" s="2" t="s">
        <v>81</v>
      </c>
      <c r="D1932" s="2">
        <v>964.71774305682629</v>
      </c>
      <c r="E1932" s="2">
        <v>975.57805875549093</v>
      </c>
      <c r="F1932" s="2">
        <v>517.19640977680683</v>
      </c>
      <c r="G1932" s="2">
        <v>266.50683033047244</v>
      </c>
      <c r="H1932" s="2">
        <v>15.988008410669863</v>
      </c>
      <c r="I1932" s="2">
        <v>0.84375129981664942</v>
      </c>
      <c r="J1932" s="2">
        <v>6</v>
      </c>
      <c r="K1932" s="2">
        <v>190.56123592865643</v>
      </c>
      <c r="L1932" s="2">
        <v>14180</v>
      </c>
      <c r="M1932" s="2">
        <v>1200</v>
      </c>
      <c r="N1932" s="2">
        <v>249.96541263226533</v>
      </c>
      <c r="O1932" s="2">
        <v>2503.5781099688056</v>
      </c>
      <c r="P1932" s="2">
        <v>964.71774305682629</v>
      </c>
      <c r="Q1932" s="2">
        <v>251.8342128467477</v>
      </c>
      <c r="R1932" s="2">
        <v>2534.2496852005861</v>
      </c>
      <c r="S1932" s="2">
        <v>970.31644301534936</v>
      </c>
      <c r="T1932" s="2">
        <v>1.868800214482377</v>
      </c>
      <c r="U1932" s="2">
        <v>30.67157523178048</v>
      </c>
      <c r="V1932" s="2">
        <v>5.5986999585230706</v>
      </c>
    </row>
    <row r="1933" spans="1:22" ht="15">
      <c r="A1933" s="2">
        <v>1932</v>
      </c>
      <c r="B1933" s="2" t="s">
        <v>78</v>
      </c>
      <c r="C1933" s="2" t="s">
        <v>81</v>
      </c>
      <c r="D1933" s="2">
        <v>951.40605143969879</v>
      </c>
      <c r="E1933" s="2">
        <v>1220.4590623732656</v>
      </c>
      <c r="F1933" s="2">
        <v>580.30217988416553</v>
      </c>
      <c r="G1933" s="2">
        <v>223.99929984938353</v>
      </c>
      <c r="H1933" s="2">
        <v>29.436693373601884</v>
      </c>
      <c r="I1933" s="2">
        <v>0.81300833206623802</v>
      </c>
      <c r="J1933" s="2">
        <v>6</v>
      </c>
      <c r="K1933" s="2">
        <v>195.03819208956256</v>
      </c>
      <c r="L1933" s="2">
        <v>12320</v>
      </c>
      <c r="M1933" s="2">
        <v>1200</v>
      </c>
      <c r="N1933" s="2">
        <v>249.95023107565461</v>
      </c>
      <c r="O1933" s="2">
        <v>2504.9027452008954</v>
      </c>
      <c r="P1933" s="2">
        <v>951.40605143969879</v>
      </c>
      <c r="Q1933" s="2">
        <v>251.86231358711694</v>
      </c>
      <c r="R1933" s="2">
        <v>2497.5457708933081</v>
      </c>
      <c r="S1933" s="2">
        <v>936.64531886977602</v>
      </c>
      <c r="T1933" s="2">
        <v>1.9120825114623301</v>
      </c>
      <c r="U1933" s="2">
        <v>-7.3569743075872793</v>
      </c>
      <c r="V1933" s="2">
        <v>-14.760732569922766</v>
      </c>
    </row>
    <row r="1934" spans="1:22" ht="15">
      <c r="A1934" s="2">
        <v>1933</v>
      </c>
      <c r="B1934" s="2" t="s">
        <v>78</v>
      </c>
      <c r="C1934" s="2" t="s">
        <v>81</v>
      </c>
      <c r="D1934" s="2">
        <v>962.09503724239767</v>
      </c>
      <c r="E1934" s="2">
        <v>1151.529757573735</v>
      </c>
      <c r="F1934" s="2">
        <v>702.71975602954626</v>
      </c>
      <c r="G1934" s="2">
        <v>171.45766851725057</v>
      </c>
      <c r="H1934" s="2">
        <v>19.854098934680223</v>
      </c>
      <c r="I1934" s="2">
        <v>0.79389054909581325</v>
      </c>
      <c r="J1934" s="2">
        <v>7</v>
      </c>
      <c r="K1934" s="2">
        <v>173.12480710851457</v>
      </c>
      <c r="L1934" s="2">
        <v>10555</v>
      </c>
      <c r="M1934" s="2">
        <v>1195</v>
      </c>
      <c r="N1934" s="2">
        <v>249.94841744663765</v>
      </c>
      <c r="O1934" s="2">
        <v>2496.1479131208575</v>
      </c>
      <c r="P1934" s="2">
        <v>962.09503724239767</v>
      </c>
      <c r="Q1934" s="2">
        <v>250.71191675962848</v>
      </c>
      <c r="R1934" s="2">
        <v>2493.4669055896757</v>
      </c>
      <c r="S1934" s="2">
        <v>949.65343529781899</v>
      </c>
      <c r="T1934" s="2">
        <v>0.76349931299083096</v>
      </c>
      <c r="U1934" s="2">
        <v>-2.6810075311818764</v>
      </c>
      <c r="V1934" s="2">
        <v>-12.441601944578679</v>
      </c>
    </row>
    <row r="1935" spans="1:22" ht="15">
      <c r="A1935" s="2">
        <v>1934</v>
      </c>
      <c r="B1935" s="2" t="s">
        <v>78</v>
      </c>
      <c r="C1935" s="2" t="s">
        <v>81</v>
      </c>
      <c r="D1935" s="2">
        <v>991.42983501078561</v>
      </c>
      <c r="E1935" s="2">
        <v>736.63660332094878</v>
      </c>
      <c r="F1935" s="2">
        <v>470.36122130230069</v>
      </c>
      <c r="G1935" s="2">
        <v>302.69712574779987</v>
      </c>
      <c r="H1935" s="2">
        <v>29.318206781987101</v>
      </c>
      <c r="I1935" s="2">
        <v>0.8324368078960106</v>
      </c>
      <c r="J1935" s="2">
        <v>6</v>
      </c>
      <c r="K1935" s="2">
        <v>198.49951884368474</v>
      </c>
      <c r="L1935" s="2">
        <v>16525</v>
      </c>
      <c r="M1935" s="2">
        <v>1200</v>
      </c>
      <c r="N1935" s="2">
        <v>249.97666199346466</v>
      </c>
      <c r="O1935" s="2">
        <v>2502.3327739243709</v>
      </c>
      <c r="P1935" s="2">
        <v>991.42983501078561</v>
      </c>
      <c r="Q1935" s="2">
        <v>245.37074032675974</v>
      </c>
      <c r="R1935" s="2">
        <v>2456.292026173569</v>
      </c>
      <c r="S1935" s="2">
        <v>984.07368143326323</v>
      </c>
      <c r="T1935" s="2">
        <v>-4.6059216667049157</v>
      </c>
      <c r="U1935" s="2">
        <v>-46.040747750801984</v>
      </c>
      <c r="V1935" s="2">
        <v>-7.3561535775223774</v>
      </c>
    </row>
    <row r="1936" spans="1:22" ht="15">
      <c r="A1936" s="2">
        <v>1935</v>
      </c>
      <c r="B1936" s="2" t="s">
        <v>79</v>
      </c>
      <c r="C1936" s="2" t="s">
        <v>81</v>
      </c>
      <c r="D1936" s="2">
        <v>1080.0102887907997</v>
      </c>
      <c r="E1936" s="2">
        <v>1082.5587076251395</v>
      </c>
      <c r="F1936" s="2">
        <v>464.61779549717903</v>
      </c>
      <c r="G1936" s="2">
        <v>255.29820691561326</v>
      </c>
      <c r="H1936" s="2">
        <v>13.00572198536247</v>
      </c>
      <c r="I1936" s="2">
        <v>0.81094012094428769</v>
      </c>
      <c r="J1936" s="2">
        <v>7</v>
      </c>
      <c r="K1936" s="2">
        <v>190.25718438164569</v>
      </c>
      <c r="L1936" s="2">
        <v>11865</v>
      </c>
      <c r="M1936" s="2">
        <v>1195</v>
      </c>
      <c r="N1936" s="2">
        <v>250.00690374539303</v>
      </c>
      <c r="O1936" s="2">
        <v>2494.8538467579806</v>
      </c>
      <c r="P1936" s="2">
        <v>1080.0102887907997</v>
      </c>
      <c r="Q1936" s="2">
        <v>254.5747535994299</v>
      </c>
      <c r="R1936" s="2">
        <v>2557.0696987710216</v>
      </c>
      <c r="S1936" s="2">
        <v>1082.0302023675415</v>
      </c>
      <c r="T1936" s="2">
        <v>4.5678498540368651</v>
      </c>
      <c r="U1936" s="2">
        <v>62.215852013041058</v>
      </c>
      <c r="V1936" s="2">
        <v>2.0199135767418284</v>
      </c>
    </row>
    <row r="1937" spans="1:22" ht="15">
      <c r="A1937" s="2">
        <v>1936</v>
      </c>
      <c r="B1937" s="2" t="s">
        <v>79</v>
      </c>
      <c r="C1937" s="2" t="s">
        <v>81</v>
      </c>
      <c r="D1937" s="2">
        <v>1038.0866505089216</v>
      </c>
      <c r="E1937" s="2">
        <v>675.17708744853735</v>
      </c>
      <c r="F1937" s="2">
        <v>469.95659014210105</v>
      </c>
      <c r="G1937" s="2">
        <v>103.52091867942363</v>
      </c>
      <c r="H1937" s="2">
        <v>27.024003752972931</v>
      </c>
      <c r="I1937" s="2">
        <v>0.83785585849545896</v>
      </c>
      <c r="J1937" s="2">
        <v>7</v>
      </c>
      <c r="K1937" s="2">
        <v>176.99714267815159</v>
      </c>
      <c r="L1937" s="2">
        <v>17125</v>
      </c>
      <c r="M1937" s="2">
        <v>1200</v>
      </c>
      <c r="N1937" s="2">
        <v>249.9701950403747</v>
      </c>
      <c r="O1937" s="2">
        <v>2502.068668135807</v>
      </c>
      <c r="P1937" s="2">
        <v>1038.0866505089216</v>
      </c>
      <c r="Q1937" s="2">
        <v>245.40259792763882</v>
      </c>
      <c r="R1937" s="2">
        <v>2454.5768621163556</v>
      </c>
      <c r="S1937" s="2">
        <v>1039.0379812937749</v>
      </c>
      <c r="T1937" s="2">
        <v>-4.5675971127358821</v>
      </c>
      <c r="U1937" s="2">
        <v>-47.49180601945136</v>
      </c>
      <c r="V1937" s="2">
        <v>0.95133078485332589</v>
      </c>
    </row>
    <row r="1938" spans="1:22" ht="15">
      <c r="A1938" s="2">
        <v>1937</v>
      </c>
      <c r="B1938" s="2" t="s">
        <v>79</v>
      </c>
      <c r="C1938" s="2" t="s">
        <v>81</v>
      </c>
      <c r="D1938" s="2">
        <v>1078.8227179087698</v>
      </c>
      <c r="E1938" s="2">
        <v>903.06159456958994</v>
      </c>
      <c r="F1938" s="2">
        <v>629.47392556816339</v>
      </c>
      <c r="G1938" s="2">
        <v>223.9897101954557</v>
      </c>
      <c r="H1938" s="2">
        <v>10.761447401717305</v>
      </c>
      <c r="I1938" s="2">
        <v>0.85818585104541856</v>
      </c>
      <c r="J1938" s="2">
        <v>7</v>
      </c>
      <c r="K1938" s="2">
        <v>179.58526226234389</v>
      </c>
      <c r="L1938" s="2">
        <v>12175</v>
      </c>
      <c r="M1938" s="2">
        <v>1200</v>
      </c>
      <c r="N1938" s="2">
        <v>249.99903439170518</v>
      </c>
      <c r="O1938" s="2">
        <v>2505.0250846708154</v>
      </c>
      <c r="P1938" s="2">
        <v>1078.8227179087698</v>
      </c>
      <c r="Q1938" s="2">
        <v>253.60374388801981</v>
      </c>
      <c r="R1938" s="2">
        <v>2520.0669844155718</v>
      </c>
      <c r="S1938" s="2">
        <v>1075.0037351499227</v>
      </c>
      <c r="T1938" s="2">
        <v>3.6047094963146264</v>
      </c>
      <c r="U1938" s="2">
        <v>15.041899744756392</v>
      </c>
      <c r="V1938" s="2">
        <v>-3.8189827588471417</v>
      </c>
    </row>
    <row r="1939" spans="1:22" ht="15">
      <c r="A1939" s="2">
        <v>1938</v>
      </c>
      <c r="B1939" s="2" t="s">
        <v>80</v>
      </c>
      <c r="C1939" s="2" t="s">
        <v>81</v>
      </c>
      <c r="D1939" s="2">
        <v>1019.4487940170802</v>
      </c>
      <c r="E1939" s="2">
        <v>1203.5097309621051</v>
      </c>
      <c r="F1939" s="2">
        <v>588.99931097403169</v>
      </c>
      <c r="G1939" s="2">
        <v>94.078899519518018</v>
      </c>
      <c r="H1939" s="2">
        <v>29.053095266688615</v>
      </c>
      <c r="I1939" s="2">
        <v>0.80461180085781969</v>
      </c>
      <c r="J1939" s="2">
        <v>7</v>
      </c>
      <c r="K1939" s="2">
        <v>181.00100178393333</v>
      </c>
      <c r="L1939" s="2">
        <v>11335</v>
      </c>
      <c r="M1939" s="2">
        <v>1195</v>
      </c>
      <c r="N1939" s="2">
        <v>249.98526911996763</v>
      </c>
      <c r="O1939" s="2">
        <v>2495.3414465342817</v>
      </c>
      <c r="P1939" s="2">
        <v>1019.4487940170802</v>
      </c>
      <c r="Q1939" s="2">
        <v>248.20197862742125</v>
      </c>
      <c r="R1939" s="2">
        <v>2504.8375653119278</v>
      </c>
      <c r="S1939" s="2">
        <v>999.23611781969203</v>
      </c>
      <c r="T1939" s="2">
        <v>-1.7832904925463708</v>
      </c>
      <c r="U1939" s="2">
        <v>9.4961187776461884</v>
      </c>
      <c r="V1939" s="2">
        <v>-20.212676197388191</v>
      </c>
    </row>
    <row r="1940" spans="1:22" ht="15">
      <c r="A1940" s="2">
        <v>1939</v>
      </c>
      <c r="B1940" s="2" t="s">
        <v>80</v>
      </c>
      <c r="C1940" s="2" t="s">
        <v>81</v>
      </c>
      <c r="D1940" s="2">
        <v>1052.6131706079468</v>
      </c>
      <c r="E1940" s="2">
        <v>917.27101724827662</v>
      </c>
      <c r="F1940" s="2">
        <v>469.03345845639706</v>
      </c>
      <c r="G1940" s="2">
        <v>243.66520215524361</v>
      </c>
      <c r="H1940" s="2">
        <v>19.407831606455147</v>
      </c>
      <c r="I1940" s="2">
        <v>0.81576709595276042</v>
      </c>
      <c r="J1940" s="2">
        <v>7</v>
      </c>
      <c r="K1940" s="2">
        <v>184.33363006781212</v>
      </c>
      <c r="L1940" s="2">
        <v>13120</v>
      </c>
      <c r="M1940" s="2">
        <v>1200</v>
      </c>
      <c r="N1940" s="2">
        <v>249.99345454319399</v>
      </c>
      <c r="O1940" s="2">
        <v>2504.288379488758</v>
      </c>
      <c r="P1940" s="2">
        <v>1052.6131706079468</v>
      </c>
      <c r="Q1940" s="2">
        <v>248.03801098140332</v>
      </c>
      <c r="R1940" s="2">
        <v>2523.5744815729449</v>
      </c>
      <c r="S1940" s="2">
        <v>1050.2156004010858</v>
      </c>
      <c r="T1940" s="2">
        <v>-1.9554435617906734</v>
      </c>
      <c r="U1940" s="2">
        <v>19.28610208418695</v>
      </c>
      <c r="V1940" s="2">
        <v>-2.397570206861019</v>
      </c>
    </row>
    <row r="1941" spans="1:22" ht="15">
      <c r="A1941" s="2">
        <v>1940</v>
      </c>
      <c r="B1941" s="2" t="s">
        <v>80</v>
      </c>
      <c r="C1941" s="2" t="s">
        <v>81</v>
      </c>
      <c r="D1941" s="2">
        <v>1071.7981119989417</v>
      </c>
      <c r="E1941" s="2">
        <v>980.40268258191645</v>
      </c>
      <c r="F1941" s="2">
        <v>490.71929035708308</v>
      </c>
      <c r="G1941" s="2">
        <v>124.50550803449005</v>
      </c>
      <c r="H1941" s="2">
        <v>15.900473042856902</v>
      </c>
      <c r="I1941" s="2">
        <v>0.84754368068650365</v>
      </c>
      <c r="J1941" s="2">
        <v>7</v>
      </c>
      <c r="K1941" s="2">
        <v>180.65619446991533</v>
      </c>
      <c r="L1941" s="2">
        <v>13405</v>
      </c>
      <c r="M1941" s="2">
        <v>1200</v>
      </c>
      <c r="N1941" s="2">
        <v>250.04228054040397</v>
      </c>
      <c r="O1941" s="2">
        <v>2504.0884666922429</v>
      </c>
      <c r="P1941" s="2">
        <v>1071.7981119989417</v>
      </c>
      <c r="Q1941" s="2">
        <v>249.57958249203088</v>
      </c>
      <c r="R1941" s="2">
        <v>2543.9138759289531</v>
      </c>
      <c r="S1941" s="2">
        <v>1073.6467109073117</v>
      </c>
      <c r="T1941" s="2">
        <v>-0.4626980483730847</v>
      </c>
      <c r="U1941" s="2">
        <v>39.825409236710129</v>
      </c>
      <c r="V1941" s="2">
        <v>1.8485989083699224</v>
      </c>
    </row>
    <row r="1942" spans="1:22" ht="15">
      <c r="A1942" s="2">
        <v>1941</v>
      </c>
      <c r="B1942" s="2" t="s">
        <v>78</v>
      </c>
      <c r="C1942" s="2" t="s">
        <v>81</v>
      </c>
      <c r="D1942" s="2">
        <v>1074.3969597388059</v>
      </c>
      <c r="E1942" s="2">
        <v>967.55087113706395</v>
      </c>
      <c r="F1942" s="2">
        <v>483.6760638281703</v>
      </c>
      <c r="G1942" s="2">
        <v>107.85673394100741</v>
      </c>
      <c r="H1942" s="2">
        <v>11.439053073525429</v>
      </c>
      <c r="I1942" s="2">
        <v>0.84412497146287935</v>
      </c>
      <c r="J1942" s="2">
        <v>7</v>
      </c>
      <c r="K1942" s="2">
        <v>181.82767380604153</v>
      </c>
      <c r="L1942" s="2">
        <v>13715</v>
      </c>
      <c r="M1942" s="2">
        <v>1200</v>
      </c>
      <c r="N1942" s="2">
        <v>249.9655608744317</v>
      </c>
      <c r="O1942" s="2">
        <v>2503.8757378534369</v>
      </c>
      <c r="P1942" s="2">
        <v>1074.3969597388059</v>
      </c>
      <c r="Q1942" s="2">
        <v>248.55844633191401</v>
      </c>
      <c r="R1942" s="2">
        <v>2524.6675986004816</v>
      </c>
      <c r="S1942" s="2">
        <v>1083.9506147788338</v>
      </c>
      <c r="T1942" s="2">
        <v>-1.4071145425176894</v>
      </c>
      <c r="U1942" s="2">
        <v>20.791860747044666</v>
      </c>
      <c r="V1942" s="2">
        <v>9.5536550400279339</v>
      </c>
    </row>
    <row r="1943" spans="1:22" ht="15">
      <c r="A1943" s="2">
        <v>1942</v>
      </c>
      <c r="B1943" s="2" t="s">
        <v>78</v>
      </c>
      <c r="C1943" s="2" t="s">
        <v>81</v>
      </c>
      <c r="D1943" s="2">
        <v>1022.7023829822429</v>
      </c>
      <c r="E1943" s="2">
        <v>900.92275941278785</v>
      </c>
      <c r="F1943" s="2">
        <v>571.26507880166173</v>
      </c>
      <c r="G1943" s="2">
        <v>173.57470320537686</v>
      </c>
      <c r="H1943" s="2">
        <v>29.284553235862404</v>
      </c>
      <c r="I1943" s="2">
        <v>0.81599042495246976</v>
      </c>
      <c r="J1943" s="2">
        <v>7</v>
      </c>
      <c r="K1943" s="2">
        <v>179.04663579176781</v>
      </c>
      <c r="L1943" s="2">
        <v>12995</v>
      </c>
      <c r="M1943" s="2">
        <v>1200</v>
      </c>
      <c r="N1943" s="2">
        <v>250.01101063137503</v>
      </c>
      <c r="O1943" s="2">
        <v>2504.380312906113</v>
      </c>
      <c r="P1943" s="2">
        <v>1022.7023829822429</v>
      </c>
      <c r="Q1943" s="2">
        <v>249.94761663876389</v>
      </c>
      <c r="R1943" s="2">
        <v>2499.413491289145</v>
      </c>
      <c r="S1943" s="2">
        <v>1011.9820832476614</v>
      </c>
      <c r="T1943" s="2">
        <v>-6.3393992611139538E-2</v>
      </c>
      <c r="U1943" s="2">
        <v>-4.9668216169679908</v>
      </c>
      <c r="V1943" s="2">
        <v>-10.720299734581431</v>
      </c>
    </row>
    <row r="1944" spans="1:22" ht="15">
      <c r="A1944" s="2">
        <v>1943</v>
      </c>
      <c r="B1944" s="2" t="s">
        <v>78</v>
      </c>
      <c r="C1944" s="2" t="s">
        <v>81</v>
      </c>
      <c r="D1944" s="2">
        <v>1084.1826227726415</v>
      </c>
      <c r="E1944" s="2">
        <v>884.18358360650018</v>
      </c>
      <c r="F1944" s="2">
        <v>647.19802588224411</v>
      </c>
      <c r="G1944" s="2">
        <v>104.03676969697699</v>
      </c>
      <c r="H1944" s="2">
        <v>17.952523137442768</v>
      </c>
      <c r="I1944" s="2">
        <v>0.81790087785338983</v>
      </c>
      <c r="J1944" s="2">
        <v>7</v>
      </c>
      <c r="K1944" s="2">
        <v>189.36675093338897</v>
      </c>
      <c r="L1944" s="2">
        <v>13075</v>
      </c>
      <c r="M1944" s="2">
        <v>1200</v>
      </c>
      <c r="N1944" s="2">
        <v>249.96879360918595</v>
      </c>
      <c r="O1944" s="2">
        <v>2504.3200974689157</v>
      </c>
      <c r="P1944" s="2">
        <v>1084.1826227726415</v>
      </c>
      <c r="Q1944" s="2">
        <v>248.6900678934262</v>
      </c>
      <c r="R1944" s="2">
        <v>2514.2626051926691</v>
      </c>
      <c r="S1944" s="2">
        <v>1081.1060513500215</v>
      </c>
      <c r="T1944" s="2">
        <v>-1.278725715759748</v>
      </c>
      <c r="U1944" s="2">
        <v>9.9425077237533515</v>
      </c>
      <c r="V1944" s="2">
        <v>-3.0765714226199634</v>
      </c>
    </row>
    <row r="1945" spans="1:22" ht="15">
      <c r="A1945" s="2">
        <v>1944</v>
      </c>
      <c r="B1945" s="2" t="s">
        <v>78</v>
      </c>
      <c r="C1945" s="2" t="s">
        <v>81</v>
      </c>
      <c r="D1945" s="2">
        <v>1060.0681091542356</v>
      </c>
      <c r="E1945" s="2">
        <v>1054.1339828632772</v>
      </c>
      <c r="F1945" s="2">
        <v>363.08903312310576</v>
      </c>
      <c r="G1945" s="2">
        <v>278.30401672516018</v>
      </c>
      <c r="H1945" s="2">
        <v>12.616166760679334</v>
      </c>
      <c r="I1945" s="2">
        <v>0.82236168463714421</v>
      </c>
      <c r="J1945" s="2">
        <v>7</v>
      </c>
      <c r="K1945" s="2">
        <v>184.15048285544577</v>
      </c>
      <c r="L1945" s="2">
        <v>12615</v>
      </c>
      <c r="M1945" s="2">
        <v>1200</v>
      </c>
      <c r="N1945" s="2">
        <v>250.03856766308965</v>
      </c>
      <c r="O1945" s="2">
        <v>2504.6700019628206</v>
      </c>
      <c r="P1945" s="2">
        <v>1060.0681091542356</v>
      </c>
      <c r="Q1945" s="2">
        <v>251.3877508459135</v>
      </c>
      <c r="R1945" s="2">
        <v>2484.9723143310889</v>
      </c>
      <c r="S1945" s="2">
        <v>1064.8379237617366</v>
      </c>
      <c r="T1945" s="2">
        <v>1.3491831828238503</v>
      </c>
      <c r="U1945" s="2">
        <v>-19.697687631731696</v>
      </c>
      <c r="V1945" s="2">
        <v>4.7698146075010754</v>
      </c>
    </row>
    <row r="1946" spans="1:22" ht="15">
      <c r="A1946" s="2">
        <v>1945</v>
      </c>
      <c r="B1946" s="2" t="s">
        <v>78</v>
      </c>
      <c r="C1946" s="2" t="s">
        <v>81</v>
      </c>
      <c r="D1946" s="2">
        <v>989.42615687847137</v>
      </c>
      <c r="E1946" s="2">
        <v>1073.1494451290928</v>
      </c>
      <c r="F1946" s="2">
        <v>739.9062680080533</v>
      </c>
      <c r="G1946" s="2">
        <v>95.7395587884821</v>
      </c>
      <c r="H1946" s="2">
        <v>25.433626441285014</v>
      </c>
      <c r="I1946" s="2">
        <v>0.81623623972060166</v>
      </c>
      <c r="J1946" s="2">
        <v>7</v>
      </c>
      <c r="K1946" s="2">
        <v>173.16873101366423</v>
      </c>
      <c r="L1946" s="2">
        <v>11205</v>
      </c>
      <c r="M1946" s="2">
        <v>1195</v>
      </c>
      <c r="N1946" s="2">
        <v>250.02699334596352</v>
      </c>
      <c r="O1946" s="2">
        <v>2495.4701812076128</v>
      </c>
      <c r="P1946" s="2">
        <v>989.42615687847137</v>
      </c>
      <c r="Q1946" s="2">
        <v>252.70562132295257</v>
      </c>
      <c r="R1946" s="2">
        <v>2543.0577323380066</v>
      </c>
      <c r="S1946" s="2">
        <v>980.52065262032261</v>
      </c>
      <c r="T1946" s="2">
        <v>2.6786279769890484</v>
      </c>
      <c r="U1946" s="2">
        <v>47.587551130393877</v>
      </c>
      <c r="V1946" s="2">
        <v>-8.9055042581487669</v>
      </c>
    </row>
    <row r="1947" spans="1:22" ht="15">
      <c r="A1947" s="2">
        <v>1946</v>
      </c>
      <c r="B1947" s="2" t="s">
        <v>78</v>
      </c>
      <c r="C1947" s="2" t="s">
        <v>81</v>
      </c>
      <c r="D1947" s="2">
        <v>1052.0561924786307</v>
      </c>
      <c r="E1947" s="2">
        <v>1116.5146509418264</v>
      </c>
      <c r="F1947" s="2">
        <v>720.95576981082559</v>
      </c>
      <c r="G1947" s="2">
        <v>109.48222099803388</v>
      </c>
      <c r="H1947" s="2">
        <v>25.857289609033614</v>
      </c>
      <c r="I1947" s="2">
        <v>0.84784536570776259</v>
      </c>
      <c r="J1947" s="2">
        <v>7</v>
      </c>
      <c r="K1947" s="2">
        <v>177.26551074227979</v>
      </c>
      <c r="L1947" s="2">
        <v>10985</v>
      </c>
      <c r="M1947" s="2">
        <v>1195</v>
      </c>
      <c r="N1947" s="2">
        <v>250.01794401441586</v>
      </c>
      <c r="O1947" s="2">
        <v>2495.6913773818333</v>
      </c>
      <c r="P1947" s="2">
        <v>1052.0561924786307</v>
      </c>
      <c r="Q1947" s="2">
        <v>247.7135525709084</v>
      </c>
      <c r="R1947" s="2">
        <v>2555.2672137220065</v>
      </c>
      <c r="S1947" s="2">
        <v>1037.6583601461086</v>
      </c>
      <c r="T1947" s="2">
        <v>-2.3043914435074555</v>
      </c>
      <c r="U1947" s="2">
        <v>59.575836340173282</v>
      </c>
      <c r="V1947" s="2">
        <v>-14.397832332522057</v>
      </c>
    </row>
    <row r="1948" spans="1:22" ht="15">
      <c r="A1948" s="2">
        <v>1947</v>
      </c>
      <c r="B1948" s="2" t="s">
        <v>78</v>
      </c>
      <c r="C1948" s="2" t="s">
        <v>81</v>
      </c>
      <c r="D1948" s="2">
        <v>979.80333871673793</v>
      </c>
      <c r="E1948" s="2">
        <v>1197.0799211994745</v>
      </c>
      <c r="F1948" s="2">
        <v>386.47922314703465</v>
      </c>
      <c r="G1948" s="2">
        <v>250.83500436274335</v>
      </c>
      <c r="H1948" s="2">
        <v>25.129542195238173</v>
      </c>
      <c r="I1948" s="2">
        <v>0.81041462252615026</v>
      </c>
      <c r="J1948" s="2">
        <v>7</v>
      </c>
      <c r="K1948" s="2">
        <v>172.7164116247742</v>
      </c>
      <c r="L1948" s="2">
        <v>11660</v>
      </c>
      <c r="M1948" s="2">
        <v>1195</v>
      </c>
      <c r="N1948" s="2">
        <v>250.03847090577983</v>
      </c>
      <c r="O1948" s="2">
        <v>2495.0388819883892</v>
      </c>
      <c r="P1948" s="2">
        <v>979.80333871673793</v>
      </c>
      <c r="Q1948" s="2">
        <v>247.48832202989922</v>
      </c>
      <c r="R1948" s="2">
        <v>2511.1023745518451</v>
      </c>
      <c r="S1948" s="2">
        <v>963.85211809432985</v>
      </c>
      <c r="T1948" s="2">
        <v>-2.550148875880609</v>
      </c>
      <c r="U1948" s="2">
        <v>16.063492563455839</v>
      </c>
      <c r="V1948" s="2">
        <v>-15.951220622408073</v>
      </c>
    </row>
    <row r="1949" spans="1:22" ht="15">
      <c r="A1949" s="2">
        <v>1948</v>
      </c>
      <c r="B1949" s="2" t="s">
        <v>78</v>
      </c>
      <c r="C1949" s="2" t="s">
        <v>81</v>
      </c>
      <c r="D1949" s="2">
        <v>1095.7840793184005</v>
      </c>
      <c r="E1949" s="2">
        <v>1163.4965113829821</v>
      </c>
      <c r="F1949" s="2">
        <v>524.80242503806949</v>
      </c>
      <c r="G1949" s="2">
        <v>268.1023010937497</v>
      </c>
      <c r="H1949" s="2">
        <v>11.673565890174359</v>
      </c>
      <c r="I1949" s="2">
        <v>0.79463539324700838</v>
      </c>
      <c r="J1949" s="2">
        <v>7</v>
      </c>
      <c r="K1949" s="2">
        <v>196.99674100862967</v>
      </c>
      <c r="L1949" s="2">
        <v>10930</v>
      </c>
      <c r="M1949" s="2">
        <v>1195</v>
      </c>
      <c r="N1949" s="2">
        <v>249.97303050091571</v>
      </c>
      <c r="O1949" s="2">
        <v>2495.746150371805</v>
      </c>
      <c r="P1949" s="2">
        <v>1095.7840793184005</v>
      </c>
      <c r="Q1949" s="2">
        <v>255.67809545374939</v>
      </c>
      <c r="R1949" s="2">
        <v>2527.8385593929779</v>
      </c>
      <c r="S1949" s="2">
        <v>1088.7995357665386</v>
      </c>
      <c r="T1949" s="2">
        <v>5.7050649528336805</v>
      </c>
      <c r="U1949" s="2">
        <v>32.092409021172898</v>
      </c>
      <c r="V1949" s="2">
        <v>-6.9845435518618615</v>
      </c>
    </row>
    <row r="1950" spans="1:22" ht="15">
      <c r="A1950" s="2">
        <v>1949</v>
      </c>
      <c r="B1950" s="2" t="s">
        <v>78</v>
      </c>
      <c r="C1950" s="2" t="s">
        <v>81</v>
      </c>
      <c r="D1950" s="2">
        <v>976.14265824668109</v>
      </c>
      <c r="E1950" s="2">
        <v>1222.3890953580849</v>
      </c>
      <c r="F1950" s="2">
        <v>357.62775298207998</v>
      </c>
      <c r="G1950" s="2">
        <v>254.97480363817886</v>
      </c>
      <c r="H1950" s="2">
        <v>29.4757692925632</v>
      </c>
      <c r="I1950" s="2">
        <v>0.84751199733698745</v>
      </c>
      <c r="J1950" s="2">
        <v>6</v>
      </c>
      <c r="K1950" s="2">
        <v>191.96240708368947</v>
      </c>
      <c r="L1950" s="2">
        <v>13595</v>
      </c>
      <c r="M1950" s="2">
        <v>1200</v>
      </c>
      <c r="N1950" s="2">
        <v>249.96680364512642</v>
      </c>
      <c r="O1950" s="2">
        <v>2503.9558743467105</v>
      </c>
      <c r="P1950" s="2">
        <v>976.14265824668109</v>
      </c>
      <c r="Q1950" s="2">
        <v>252.20305540654022</v>
      </c>
      <c r="R1950" s="2">
        <v>2497.9575011890065</v>
      </c>
      <c r="S1950" s="2">
        <v>964.70337430318739</v>
      </c>
      <c r="T1950" s="2">
        <v>2.2362517614137971</v>
      </c>
      <c r="U1950" s="2">
        <v>-5.9983731577040089</v>
      </c>
      <c r="V1950" s="2">
        <v>-11.439283943493706</v>
      </c>
    </row>
    <row r="1951" spans="1:22" ht="15">
      <c r="A1951" s="2">
        <v>1950</v>
      </c>
      <c r="B1951" s="2" t="s">
        <v>78</v>
      </c>
      <c r="C1951" s="2" t="s">
        <v>81</v>
      </c>
      <c r="D1951" s="2">
        <v>1035.3844419238158</v>
      </c>
      <c r="E1951" s="2">
        <v>702.28155318181962</v>
      </c>
      <c r="F1951" s="2">
        <v>599.69486193731427</v>
      </c>
      <c r="G1951" s="2">
        <v>226.55837323516607</v>
      </c>
      <c r="H1951" s="2">
        <v>19.899910705629736</v>
      </c>
      <c r="I1951" s="2">
        <v>0.80292067553382374</v>
      </c>
      <c r="J1951" s="2">
        <v>7</v>
      </c>
      <c r="K1951" s="2">
        <v>184.21752937627866</v>
      </c>
      <c r="L1951" s="2">
        <v>13990</v>
      </c>
      <c r="M1951" s="2">
        <v>1200</v>
      </c>
      <c r="N1951" s="2">
        <v>249.98174193634409</v>
      </c>
      <c r="O1951" s="2">
        <v>2503.6979067099678</v>
      </c>
      <c r="P1951" s="2">
        <v>1035.3844419238158</v>
      </c>
      <c r="Q1951" s="2">
        <v>246.67396889382962</v>
      </c>
      <c r="R1951" s="2">
        <v>2509.5170814257631</v>
      </c>
      <c r="S1951" s="2">
        <v>1032.193501889843</v>
      </c>
      <c r="T1951" s="2">
        <v>-3.3077730425144694</v>
      </c>
      <c r="U1951" s="2">
        <v>5.8191747157952705</v>
      </c>
      <c r="V1951" s="2">
        <v>-3.1909400339727654</v>
      </c>
    </row>
    <row r="1952" spans="1:22" ht="15">
      <c r="A1952" s="2">
        <v>1951</v>
      </c>
      <c r="B1952" s="2" t="s">
        <v>78</v>
      </c>
      <c r="C1952" s="2" t="s">
        <v>81</v>
      </c>
      <c r="D1952" s="2">
        <v>1083.7031927192584</v>
      </c>
      <c r="E1952" s="2">
        <v>783.17528433399275</v>
      </c>
      <c r="F1952" s="2">
        <v>715.29244408011436</v>
      </c>
      <c r="G1952" s="2">
        <v>142.44352593785152</v>
      </c>
      <c r="H1952" s="2">
        <v>18.474525204859674</v>
      </c>
      <c r="I1952" s="2">
        <v>0.80355490961810583</v>
      </c>
      <c r="J1952" s="2">
        <v>7</v>
      </c>
      <c r="K1952" s="2">
        <v>192.66230591586267</v>
      </c>
      <c r="L1952" s="2">
        <v>13035</v>
      </c>
      <c r="M1952" s="2">
        <v>1200</v>
      </c>
      <c r="N1952" s="2">
        <v>250.04108482278596</v>
      </c>
      <c r="O1952" s="2">
        <v>2504.3520725938333</v>
      </c>
      <c r="P1952" s="2">
        <v>1083.7031927192584</v>
      </c>
      <c r="Q1952" s="2">
        <v>250.13863308177147</v>
      </c>
      <c r="R1952" s="2">
        <v>2447.6646628360536</v>
      </c>
      <c r="S1952" s="2">
        <v>1087.609211969595</v>
      </c>
      <c r="T1952" s="2">
        <v>9.7548258985511893E-2</v>
      </c>
      <c r="U1952" s="2">
        <v>-56.687409757779733</v>
      </c>
      <c r="V1952" s="2">
        <v>3.9060192503366125</v>
      </c>
    </row>
    <row r="1953" spans="1:22" ht="15">
      <c r="A1953" s="2">
        <v>1952</v>
      </c>
      <c r="B1953" s="2" t="s">
        <v>78</v>
      </c>
      <c r="C1953" s="2" t="s">
        <v>81</v>
      </c>
      <c r="D1953" s="2">
        <v>961.62132452009246</v>
      </c>
      <c r="E1953" s="2">
        <v>689.2970122396946</v>
      </c>
      <c r="F1953" s="2">
        <v>634.76459076628089</v>
      </c>
      <c r="G1953" s="2">
        <v>251.79527052212507</v>
      </c>
      <c r="H1953" s="2">
        <v>15.188089342322201</v>
      </c>
      <c r="I1953" s="2">
        <v>0.8396555317472667</v>
      </c>
      <c r="J1953" s="2">
        <v>6</v>
      </c>
      <c r="K1953" s="2">
        <v>190.87615658273242</v>
      </c>
      <c r="L1953" s="2">
        <v>15835</v>
      </c>
      <c r="M1953" s="2">
        <v>1200</v>
      </c>
      <c r="N1953" s="2">
        <v>250.0363434979507</v>
      </c>
      <c r="O1953" s="2">
        <v>2502.6628954561556</v>
      </c>
      <c r="P1953" s="2">
        <v>961.62132452009246</v>
      </c>
      <c r="Q1953" s="2">
        <v>251.23690962207979</v>
      </c>
      <c r="R1953" s="2">
        <v>2479.3529533648016</v>
      </c>
      <c r="S1953" s="2">
        <v>966.30114041274339</v>
      </c>
      <c r="T1953" s="2">
        <v>1.2005661241290966</v>
      </c>
      <c r="U1953" s="2">
        <v>-23.30994209135406</v>
      </c>
      <c r="V1953" s="2">
        <v>4.6798158926509359</v>
      </c>
    </row>
    <row r="1954" spans="1:22" ht="15">
      <c r="A1954" s="2">
        <v>1953</v>
      </c>
      <c r="B1954" s="2" t="s">
        <v>78</v>
      </c>
      <c r="C1954" s="2" t="s">
        <v>81</v>
      </c>
      <c r="D1954" s="2">
        <v>1074.6204189024866</v>
      </c>
      <c r="E1954" s="2">
        <v>765.46338194748387</v>
      </c>
      <c r="F1954" s="2">
        <v>404.94173411279917</v>
      </c>
      <c r="G1954" s="2">
        <v>320.2508101076819</v>
      </c>
      <c r="H1954" s="2">
        <v>11.406610453501344</v>
      </c>
      <c r="I1954" s="2">
        <v>0.80100466731237252</v>
      </c>
      <c r="J1954" s="2">
        <v>7</v>
      </c>
      <c r="K1954" s="2">
        <v>191.65581545917161</v>
      </c>
      <c r="L1954" s="2">
        <v>14345</v>
      </c>
      <c r="M1954" s="2">
        <v>1200</v>
      </c>
      <c r="N1954" s="2">
        <v>249.97287588847666</v>
      </c>
      <c r="O1954" s="2">
        <v>2503.477406277409</v>
      </c>
      <c r="P1954" s="2">
        <v>1074.6204189024866</v>
      </c>
      <c r="Q1954" s="2">
        <v>250.407237240304</v>
      </c>
      <c r="R1954" s="2">
        <v>2505.744616724548</v>
      </c>
      <c r="S1954" s="2">
        <v>1083.4097141559446</v>
      </c>
      <c r="T1954" s="2">
        <v>0.43436135182733437</v>
      </c>
      <c r="U1954" s="2">
        <v>2.2672104471389503</v>
      </c>
      <c r="V1954" s="2">
        <v>8.7892952534580218</v>
      </c>
    </row>
    <row r="1955" spans="1:22" ht="15">
      <c r="A1955" s="2">
        <v>1954</v>
      </c>
      <c r="B1955" s="2" t="s">
        <v>78</v>
      </c>
      <c r="C1955" s="2" t="s">
        <v>81</v>
      </c>
      <c r="D1955" s="2">
        <v>1070.2549161040224</v>
      </c>
      <c r="E1955" s="2">
        <v>1248.4323899494484</v>
      </c>
      <c r="F1955" s="2">
        <v>705.27679258957505</v>
      </c>
      <c r="G1955" s="2">
        <v>328.50771971978247</v>
      </c>
      <c r="H1955" s="2">
        <v>18.664153643418103</v>
      </c>
      <c r="I1955" s="2">
        <v>0.82670801884029066</v>
      </c>
      <c r="J1955" s="2">
        <v>7</v>
      </c>
      <c r="K1955" s="2">
        <v>184.94263507678502</v>
      </c>
      <c r="L1955" s="2">
        <v>9370</v>
      </c>
      <c r="M1955" s="2">
        <v>1195</v>
      </c>
      <c r="N1955" s="2">
        <v>249.98390706793074</v>
      </c>
      <c r="O1955" s="2">
        <v>2497.6348858604642</v>
      </c>
      <c r="P1955" s="2">
        <v>1070.2549161040224</v>
      </c>
      <c r="Q1955" s="2">
        <v>253.44739362371874</v>
      </c>
      <c r="R1955" s="2">
        <v>2524.6533440754406</v>
      </c>
      <c r="S1955" s="2">
        <v>1065.7170938564586</v>
      </c>
      <c r="T1955" s="2">
        <v>3.4634865557879948</v>
      </c>
      <c r="U1955" s="2">
        <v>27.018458214976363</v>
      </c>
      <c r="V1955" s="2">
        <v>-4.5378222475637813</v>
      </c>
    </row>
    <row r="1956" spans="1:22" ht="15">
      <c r="A1956" s="2">
        <v>1955</v>
      </c>
      <c r="B1956" s="2" t="s">
        <v>79</v>
      </c>
      <c r="C1956" s="2" t="s">
        <v>81</v>
      </c>
      <c r="D1956" s="2">
        <v>1030.1535084610805</v>
      </c>
      <c r="E1956" s="2">
        <v>834.35262903803959</v>
      </c>
      <c r="F1956" s="2">
        <v>450.48844628036022</v>
      </c>
      <c r="G1956" s="2">
        <v>95.920003585051745</v>
      </c>
      <c r="H1956" s="2">
        <v>12.66262732911855</v>
      </c>
      <c r="I1956" s="2">
        <v>0.83756339781684808</v>
      </c>
      <c r="J1956" s="2">
        <v>7</v>
      </c>
      <c r="K1956" s="2">
        <v>175.70584782788271</v>
      </c>
      <c r="L1956" s="2">
        <v>15490</v>
      </c>
      <c r="M1956" s="2">
        <v>1200</v>
      </c>
      <c r="N1956" s="2">
        <v>250.02583650322825</v>
      </c>
      <c r="O1956" s="2">
        <v>2502.8376863925128</v>
      </c>
      <c r="P1956" s="2">
        <v>1030.1535084610805</v>
      </c>
      <c r="Q1956" s="2">
        <v>252.41218393489123</v>
      </c>
      <c r="R1956" s="2">
        <v>2470.9807226127232</v>
      </c>
      <c r="S1956" s="2">
        <v>1036.7804033012371</v>
      </c>
      <c r="T1956" s="2">
        <v>2.3863474316629834</v>
      </c>
      <c r="U1956" s="2">
        <v>-31.856963779789567</v>
      </c>
      <c r="V1956" s="2">
        <v>6.6268948401566377</v>
      </c>
    </row>
    <row r="1957" spans="1:22" ht="15">
      <c r="A1957" s="2">
        <v>1956</v>
      </c>
      <c r="B1957" s="2" t="s">
        <v>79</v>
      </c>
      <c r="C1957" s="2" t="s">
        <v>81</v>
      </c>
      <c r="D1957" s="2">
        <v>1074.0707214339636</v>
      </c>
      <c r="E1957" s="2">
        <v>829.68861167319119</v>
      </c>
      <c r="F1957" s="2">
        <v>589.87046210095286</v>
      </c>
      <c r="G1957" s="2">
        <v>127.09736106451601</v>
      </c>
      <c r="H1957" s="2">
        <v>11.866975791286677</v>
      </c>
      <c r="I1957" s="2">
        <v>0.82523064000532032</v>
      </c>
      <c r="J1957" s="2">
        <v>7</v>
      </c>
      <c r="K1957" s="2">
        <v>185.93429164188208</v>
      </c>
      <c r="L1957" s="2">
        <v>13825</v>
      </c>
      <c r="M1957" s="2">
        <v>1200</v>
      </c>
      <c r="N1957" s="2">
        <v>249.96197570241662</v>
      </c>
      <c r="O1957" s="2">
        <v>2503.8033964384827</v>
      </c>
      <c r="P1957" s="2">
        <v>1074.0707214339636</v>
      </c>
      <c r="Q1957" s="2">
        <v>248.70008599420271</v>
      </c>
      <c r="R1957" s="2">
        <v>2481.1199588008512</v>
      </c>
      <c r="S1957" s="2">
        <v>1078.0257253233444</v>
      </c>
      <c r="T1957" s="2">
        <v>-1.2618897082139142</v>
      </c>
      <c r="U1957" s="2">
        <v>-22.683437637631414</v>
      </c>
      <c r="V1957" s="2">
        <v>3.955003889380805</v>
      </c>
    </row>
    <row r="1958" spans="1:22" ht="15">
      <c r="A1958" s="2">
        <v>1957</v>
      </c>
      <c r="B1958" s="2" t="s">
        <v>79</v>
      </c>
      <c r="C1958" s="2" t="s">
        <v>81</v>
      </c>
      <c r="D1958" s="2">
        <v>952.22507328726351</v>
      </c>
      <c r="E1958" s="2">
        <v>927.26927230833098</v>
      </c>
      <c r="F1958" s="2">
        <v>712.42043506354094</v>
      </c>
      <c r="G1958" s="2">
        <v>310.68833100842312</v>
      </c>
      <c r="H1958" s="2">
        <v>12.680613406002522</v>
      </c>
      <c r="I1958" s="2">
        <v>0.82570993283996363</v>
      </c>
      <c r="J1958" s="2">
        <v>6</v>
      </c>
      <c r="K1958" s="2">
        <v>192.20330599071298</v>
      </c>
      <c r="L1958" s="2">
        <v>12790</v>
      </c>
      <c r="M1958" s="2">
        <v>1200</v>
      </c>
      <c r="N1958" s="2">
        <v>249.95260275192553</v>
      </c>
      <c r="O1958" s="2">
        <v>2504.5316062603019</v>
      </c>
      <c r="P1958" s="2">
        <v>952.22507328726351</v>
      </c>
      <c r="Q1958" s="2">
        <v>251.06494452195921</v>
      </c>
      <c r="R1958" s="2">
        <v>2541.6435395365083</v>
      </c>
      <c r="S1958" s="2">
        <v>950.13217553318191</v>
      </c>
      <c r="T1958" s="2">
        <v>1.1123417700336802</v>
      </c>
      <c r="U1958" s="2">
        <v>37.1119332762064</v>
      </c>
      <c r="V1958" s="2">
        <v>-2.0928977540816049</v>
      </c>
    </row>
    <row r="1959" spans="1:22" ht="15">
      <c r="A1959" s="2">
        <v>1958</v>
      </c>
      <c r="B1959" s="2" t="s">
        <v>80</v>
      </c>
      <c r="C1959" s="2" t="s">
        <v>81</v>
      </c>
      <c r="D1959" s="2">
        <v>1018.3228860725649</v>
      </c>
      <c r="E1959" s="2">
        <v>1195.1839051907882</v>
      </c>
      <c r="F1959" s="2">
        <v>653.52731021121144</v>
      </c>
      <c r="G1959" s="2">
        <v>136.53531616553664</v>
      </c>
      <c r="H1959" s="2">
        <v>8.5418541119433939</v>
      </c>
      <c r="I1959" s="2">
        <v>0.79289283902850005</v>
      </c>
      <c r="J1959" s="2">
        <v>7</v>
      </c>
      <c r="K1959" s="2">
        <v>183.47334072106233</v>
      </c>
      <c r="L1959" s="2">
        <v>10770</v>
      </c>
      <c r="M1959" s="2">
        <v>1195</v>
      </c>
      <c r="N1959" s="2">
        <v>249.94535566310915</v>
      </c>
      <c r="O1959" s="2">
        <v>2495.9133649549376</v>
      </c>
      <c r="P1959" s="2">
        <v>1018.3228860725649</v>
      </c>
      <c r="Q1959" s="2">
        <v>255.42429578823138</v>
      </c>
      <c r="R1959" s="2">
        <v>2552.644213943543</v>
      </c>
      <c r="S1959" s="2">
        <v>1010.3328448483712</v>
      </c>
      <c r="T1959" s="2">
        <v>5.4789401251222216</v>
      </c>
      <c r="U1959" s="2">
        <v>56.73084898860543</v>
      </c>
      <c r="V1959" s="2">
        <v>-7.9900412241936465</v>
      </c>
    </row>
    <row r="1960" spans="1:22" ht="15">
      <c r="A1960" s="2">
        <v>1959</v>
      </c>
      <c r="B1960" s="2" t="s">
        <v>80</v>
      </c>
      <c r="C1960" s="2" t="s">
        <v>81</v>
      </c>
      <c r="D1960" s="2">
        <v>952.52362445462495</v>
      </c>
      <c r="E1960" s="2">
        <v>909.42396559985355</v>
      </c>
      <c r="F1960" s="2">
        <v>552.94417142868042</v>
      </c>
      <c r="G1960" s="2">
        <v>168.35907088359818</v>
      </c>
      <c r="H1960" s="2">
        <v>24.850197273306549</v>
      </c>
      <c r="I1960" s="2">
        <v>0.85939496449893349</v>
      </c>
      <c r="J1960" s="2">
        <v>6</v>
      </c>
      <c r="K1960" s="2">
        <v>184.72756295664934</v>
      </c>
      <c r="L1960" s="2">
        <v>15300</v>
      </c>
      <c r="M1960" s="2">
        <v>1200</v>
      </c>
      <c r="N1960" s="2">
        <v>250.00083042036232</v>
      </c>
      <c r="O1960" s="2">
        <v>2502.9366764765982</v>
      </c>
      <c r="P1960" s="2">
        <v>952.52362445462495</v>
      </c>
      <c r="Q1960" s="2">
        <v>246.74586469902317</v>
      </c>
      <c r="R1960" s="2">
        <v>2494.7605879408638</v>
      </c>
      <c r="S1960" s="2">
        <v>943.52913089568324</v>
      </c>
      <c r="T1960" s="2">
        <v>-3.254965721339147</v>
      </c>
      <c r="U1960" s="2">
        <v>-8.1760885357343795</v>
      </c>
      <c r="V1960" s="2">
        <v>-8.9944935589417128</v>
      </c>
    </row>
    <row r="1961" spans="1:22" ht="15">
      <c r="A1961" s="2">
        <v>1960</v>
      </c>
      <c r="B1961" s="2" t="s">
        <v>80</v>
      </c>
      <c r="C1961" s="2" t="s">
        <v>81</v>
      </c>
      <c r="D1961" s="2">
        <v>1000.6597907165997</v>
      </c>
      <c r="E1961" s="2">
        <v>918.72855732217431</v>
      </c>
      <c r="F1961" s="2">
        <v>660.96669202670455</v>
      </c>
      <c r="G1961" s="2">
        <v>284.67058720532805</v>
      </c>
      <c r="H1961" s="2">
        <v>18.400274885352701</v>
      </c>
      <c r="I1961" s="2">
        <v>0.81783148170448838</v>
      </c>
      <c r="J1961" s="2">
        <v>7</v>
      </c>
      <c r="K1961" s="2">
        <v>174.79322069611084</v>
      </c>
      <c r="L1961" s="2">
        <v>11470</v>
      </c>
      <c r="M1961" s="2">
        <v>1195</v>
      </c>
      <c r="N1961" s="2">
        <v>249.9826665358076</v>
      </c>
      <c r="O1961" s="2">
        <v>2495.2126262143834</v>
      </c>
      <c r="P1961" s="2">
        <v>1000.6597907165997</v>
      </c>
      <c r="Q1961" s="2">
        <v>248.77479575262441</v>
      </c>
      <c r="R1961" s="2">
        <v>2499.6248230195838</v>
      </c>
      <c r="S1961" s="2">
        <v>992.80877500197619</v>
      </c>
      <c r="T1961" s="2">
        <v>-1.2078707831831821</v>
      </c>
      <c r="U1961" s="2">
        <v>4.4121968052004377</v>
      </c>
      <c r="V1961" s="2">
        <v>-7.851015714623486</v>
      </c>
    </row>
    <row r="1962" spans="1:22" ht="15">
      <c r="A1962" s="2">
        <v>1961</v>
      </c>
      <c r="B1962" s="2" t="s">
        <v>78</v>
      </c>
      <c r="C1962" s="2" t="s">
        <v>81</v>
      </c>
      <c r="D1962" s="2">
        <v>968.01518034189939</v>
      </c>
      <c r="E1962" s="2">
        <v>1048.3647827408276</v>
      </c>
      <c r="F1962" s="2">
        <v>438.26822061091661</v>
      </c>
      <c r="G1962" s="2">
        <v>301.46223444724455</v>
      </c>
      <c r="H1962" s="2">
        <v>28.663305779919028</v>
      </c>
      <c r="I1962" s="2">
        <v>0.83533077539177614</v>
      </c>
      <c r="J1962" s="2">
        <v>6</v>
      </c>
      <c r="K1962" s="2">
        <v>193.14009269519477</v>
      </c>
      <c r="L1962" s="2">
        <v>13955</v>
      </c>
      <c r="M1962" s="2">
        <v>1200</v>
      </c>
      <c r="N1962" s="2">
        <v>250.02846242894336</v>
      </c>
      <c r="O1962" s="2">
        <v>2503.7218799985217</v>
      </c>
      <c r="P1962" s="2">
        <v>968.01518034189939</v>
      </c>
      <c r="Q1962" s="2">
        <v>249.56599492267543</v>
      </c>
      <c r="R1962" s="2">
        <v>2559.8159475090706</v>
      </c>
      <c r="S1962" s="2">
        <v>952.27151767894281</v>
      </c>
      <c r="T1962" s="2">
        <v>-0.46246750626792732</v>
      </c>
      <c r="U1962" s="2">
        <v>56.094067510548939</v>
      </c>
      <c r="V1962" s="2">
        <v>-15.743662662956581</v>
      </c>
    </row>
    <row r="1963" spans="1:22" ht="15">
      <c r="A1963" s="2">
        <v>1962</v>
      </c>
      <c r="B1963" s="2" t="s">
        <v>78</v>
      </c>
      <c r="C1963" s="2" t="s">
        <v>81</v>
      </c>
      <c r="D1963" s="2">
        <v>978.77776442328468</v>
      </c>
      <c r="E1963" s="2">
        <v>789.5264100516215</v>
      </c>
      <c r="F1963" s="2">
        <v>719.92945084348321</v>
      </c>
      <c r="G1963" s="2">
        <v>150.99527376703918</v>
      </c>
      <c r="H1963" s="2">
        <v>27.103398520965129</v>
      </c>
      <c r="I1963" s="2">
        <v>0.83968919735867531</v>
      </c>
      <c r="J1963" s="2">
        <v>6</v>
      </c>
      <c r="K1963" s="2">
        <v>194.27381930959811</v>
      </c>
      <c r="L1963" s="2">
        <v>15025</v>
      </c>
      <c r="M1963" s="2">
        <v>1200</v>
      </c>
      <c r="N1963" s="2">
        <v>249.98237615043274</v>
      </c>
      <c r="O1963" s="2">
        <v>2503.0849869815102</v>
      </c>
      <c r="P1963" s="2">
        <v>978.77776442328468</v>
      </c>
      <c r="Q1963" s="2">
        <v>246.50318908753579</v>
      </c>
      <c r="R1963" s="2">
        <v>2454.1054794653023</v>
      </c>
      <c r="S1963" s="2">
        <v>973.01717880020396</v>
      </c>
      <c r="T1963" s="2">
        <v>-3.4791870628969548</v>
      </c>
      <c r="U1963" s="2">
        <v>-48.979507516207832</v>
      </c>
      <c r="V1963" s="2">
        <v>-5.7605856230807149</v>
      </c>
    </row>
    <row r="1964" spans="1:22" ht="15">
      <c r="A1964" s="2">
        <v>1963</v>
      </c>
      <c r="B1964" s="2" t="s">
        <v>78</v>
      </c>
      <c r="C1964" s="2" t="s">
        <v>81</v>
      </c>
      <c r="D1964" s="2">
        <v>980.95850634854287</v>
      </c>
      <c r="E1964" s="2">
        <v>1003.8233517319895</v>
      </c>
      <c r="F1964" s="2">
        <v>422.60669060051441</v>
      </c>
      <c r="G1964" s="2">
        <v>171.31188149331138</v>
      </c>
      <c r="H1964" s="2">
        <v>27.233248964883387</v>
      </c>
      <c r="I1964" s="2">
        <v>0.80567607975332067</v>
      </c>
      <c r="J1964" s="2">
        <v>7</v>
      </c>
      <c r="K1964" s="2">
        <v>173.93706105966299</v>
      </c>
      <c r="L1964" s="2">
        <v>13385</v>
      </c>
      <c r="M1964" s="2">
        <v>1200</v>
      </c>
      <c r="N1964" s="2">
        <v>250.00032410217619</v>
      </c>
      <c r="O1964" s="2">
        <v>2504.100775286975</v>
      </c>
      <c r="P1964" s="2">
        <v>980.95850634854287</v>
      </c>
      <c r="Q1964" s="2">
        <v>249.21140300731381</v>
      </c>
      <c r="R1964" s="2">
        <v>2553.3622123271025</v>
      </c>
      <c r="S1964" s="2">
        <v>971.87416796773982</v>
      </c>
      <c r="T1964" s="2">
        <v>-0.78892109486238837</v>
      </c>
      <c r="U1964" s="2">
        <v>49.261437040127475</v>
      </c>
      <c r="V1964" s="2">
        <v>-9.0843383808030467</v>
      </c>
    </row>
    <row r="1965" spans="1:22" ht="15">
      <c r="A1965" s="2">
        <v>1964</v>
      </c>
      <c r="B1965" s="2" t="s">
        <v>78</v>
      </c>
      <c r="C1965" s="2" t="s">
        <v>81</v>
      </c>
      <c r="D1965" s="2">
        <v>971.46087571745738</v>
      </c>
      <c r="E1965" s="2">
        <v>1248.1097856070846</v>
      </c>
      <c r="F1965" s="2">
        <v>654.20419378206134</v>
      </c>
      <c r="G1965" s="2">
        <v>317.55142174195498</v>
      </c>
      <c r="H1965" s="2">
        <v>15.857697832863778</v>
      </c>
      <c r="I1965" s="2">
        <v>0.82079600039869549</v>
      </c>
      <c r="J1965" s="2">
        <v>6</v>
      </c>
      <c r="K1965" s="2">
        <v>197.25991095748873</v>
      </c>
      <c r="L1965" s="2">
        <v>11240</v>
      </c>
      <c r="M1965" s="2">
        <v>1195</v>
      </c>
      <c r="N1965" s="2">
        <v>250.01238767912804</v>
      </c>
      <c r="O1965" s="2">
        <v>2495.4350894037939</v>
      </c>
      <c r="P1965" s="2">
        <v>971.46087571745738</v>
      </c>
      <c r="Q1965" s="2">
        <v>251.2036091129732</v>
      </c>
      <c r="R1965" s="2">
        <v>2534.9707865382939</v>
      </c>
      <c r="S1965" s="2">
        <v>960.89498356748481</v>
      </c>
      <c r="T1965" s="2">
        <v>1.1912214338451577</v>
      </c>
      <c r="U1965" s="2">
        <v>39.535697134499969</v>
      </c>
      <c r="V1965" s="2">
        <v>-10.565892149972569</v>
      </c>
    </row>
    <row r="1966" spans="1:22" ht="15">
      <c r="A1966" s="2">
        <v>1965</v>
      </c>
      <c r="B1966" s="2" t="s">
        <v>78</v>
      </c>
      <c r="C1966" s="2" t="s">
        <v>81</v>
      </c>
      <c r="D1966" s="2">
        <v>1011.3133904989809</v>
      </c>
      <c r="E1966" s="2">
        <v>1062.4988856608979</v>
      </c>
      <c r="F1966" s="2">
        <v>726.06085445731878</v>
      </c>
      <c r="G1966" s="2">
        <v>322.6204735529609</v>
      </c>
      <c r="H1966" s="2">
        <v>21.442680720239878</v>
      </c>
      <c r="I1966" s="2">
        <v>0.82601612217957154</v>
      </c>
      <c r="J1966" s="2">
        <v>7</v>
      </c>
      <c r="K1966" s="2">
        <v>174.90377926115912</v>
      </c>
      <c r="L1966" s="2">
        <v>10130</v>
      </c>
      <c r="M1966" s="2">
        <v>1195</v>
      </c>
      <c r="N1966" s="2">
        <v>250.00595879326389</v>
      </c>
      <c r="O1966" s="2">
        <v>2496.6433955837397</v>
      </c>
      <c r="P1966" s="2">
        <v>1011.3133904989809</v>
      </c>
      <c r="Q1966" s="2">
        <v>248.94269343047901</v>
      </c>
      <c r="R1966" s="2">
        <v>2536.0792825928443</v>
      </c>
      <c r="S1966" s="2">
        <v>999.22849479371621</v>
      </c>
      <c r="T1966" s="2">
        <v>-1.0632653627848754</v>
      </c>
      <c r="U1966" s="2">
        <v>39.43588700910459</v>
      </c>
      <c r="V1966" s="2">
        <v>-12.084895705264671</v>
      </c>
    </row>
    <row r="1967" spans="1:22" ht="15">
      <c r="A1967" s="2">
        <v>1966</v>
      </c>
      <c r="B1967" s="2" t="s">
        <v>78</v>
      </c>
      <c r="C1967" s="2" t="s">
        <v>81</v>
      </c>
      <c r="D1967" s="2">
        <v>955.68624493898824</v>
      </c>
      <c r="E1967" s="2">
        <v>956.49148307275027</v>
      </c>
      <c r="F1967" s="2">
        <v>497.26513968780637</v>
      </c>
      <c r="G1967" s="2">
        <v>205.66627189517021</v>
      </c>
      <c r="H1967" s="2">
        <v>26.501410523895174</v>
      </c>
      <c r="I1967" s="2">
        <v>0.80128203369211404</v>
      </c>
      <c r="J1967" s="2">
        <v>6</v>
      </c>
      <c r="K1967" s="2">
        <v>198.78274331103637</v>
      </c>
      <c r="L1967" s="2">
        <v>15035</v>
      </c>
      <c r="M1967" s="2">
        <v>1200</v>
      </c>
      <c r="N1967" s="2">
        <v>249.99383392972612</v>
      </c>
      <c r="O1967" s="2">
        <v>2503.0798564751735</v>
      </c>
      <c r="P1967" s="2">
        <v>955.68624493898824</v>
      </c>
      <c r="Q1967" s="2">
        <v>251.33689137574697</v>
      </c>
      <c r="R1967" s="2">
        <v>2524.3575487835706</v>
      </c>
      <c r="S1967" s="2">
        <v>952.42203513924346</v>
      </c>
      <c r="T1967" s="2">
        <v>1.3430574460208504</v>
      </c>
      <c r="U1967" s="2">
        <v>21.277692308397036</v>
      </c>
      <c r="V1967" s="2">
        <v>-3.2642097997447763</v>
      </c>
    </row>
    <row r="1968" spans="1:22" ht="15">
      <c r="A1968" s="2">
        <v>1967</v>
      </c>
      <c r="B1968" s="2" t="s">
        <v>78</v>
      </c>
      <c r="C1968" s="2" t="s">
        <v>81</v>
      </c>
      <c r="D1968" s="2">
        <v>1046.6481561074033</v>
      </c>
      <c r="E1968" s="2">
        <v>1065.6377763603814</v>
      </c>
      <c r="F1968" s="2">
        <v>364.2402745783329</v>
      </c>
      <c r="G1968" s="2">
        <v>197.1685554436408</v>
      </c>
      <c r="H1968" s="2">
        <v>12.291480108164251</v>
      </c>
      <c r="I1968" s="2">
        <v>0.83174716477980837</v>
      </c>
      <c r="J1968" s="2">
        <v>7</v>
      </c>
      <c r="K1968" s="2">
        <v>179.76756818616124</v>
      </c>
      <c r="L1968" s="2">
        <v>13145</v>
      </c>
      <c r="M1968" s="2">
        <v>1200</v>
      </c>
      <c r="N1968" s="2">
        <v>250.02047697281031</v>
      </c>
      <c r="O1968" s="2">
        <v>2504.2713637050729</v>
      </c>
      <c r="P1968" s="2">
        <v>1046.6481561074033</v>
      </c>
      <c r="Q1968" s="2">
        <v>249.01181283787952</v>
      </c>
      <c r="R1968" s="2">
        <v>2486.3107600101084</v>
      </c>
      <c r="S1968" s="2">
        <v>1052.3790338073006</v>
      </c>
      <c r="T1968" s="2">
        <v>-1.0086641349307968</v>
      </c>
      <c r="U1968" s="2">
        <v>-17.960603694964448</v>
      </c>
      <c r="V1968" s="2">
        <v>5.7308776998972917</v>
      </c>
    </row>
    <row r="1969" spans="1:22" ht="15">
      <c r="A1969" s="2">
        <v>1968</v>
      </c>
      <c r="B1969" s="2" t="s">
        <v>78</v>
      </c>
      <c r="C1969" s="2" t="s">
        <v>81</v>
      </c>
      <c r="D1969" s="2">
        <v>1043.4801805648021</v>
      </c>
      <c r="E1969" s="2">
        <v>742.84756723791361</v>
      </c>
      <c r="F1969" s="2">
        <v>504.03130492195487</v>
      </c>
      <c r="G1969" s="2">
        <v>237.65775379259139</v>
      </c>
      <c r="H1969" s="2">
        <v>15.185077363159508</v>
      </c>
      <c r="I1969" s="2">
        <v>0.84756357244215907</v>
      </c>
      <c r="J1969" s="2">
        <v>7</v>
      </c>
      <c r="K1969" s="2">
        <v>175.87895713122586</v>
      </c>
      <c r="L1969" s="2">
        <v>14405</v>
      </c>
      <c r="M1969" s="2">
        <v>1200</v>
      </c>
      <c r="N1969" s="2">
        <v>249.98804299547677</v>
      </c>
      <c r="O1969" s="2">
        <v>2503.4417846069941</v>
      </c>
      <c r="P1969" s="2">
        <v>1043.4801805648021</v>
      </c>
      <c r="Q1969" s="2">
        <v>249.10800186759707</v>
      </c>
      <c r="R1969" s="2">
        <v>2447.5368348319589</v>
      </c>
      <c r="S1969" s="2">
        <v>1048.0016757857629</v>
      </c>
      <c r="T1969" s="2">
        <v>-0.88004112787970712</v>
      </c>
      <c r="U1969" s="2">
        <v>-55.90494977503522</v>
      </c>
      <c r="V1969" s="2">
        <v>4.5214952209607873</v>
      </c>
    </row>
    <row r="1970" spans="1:22" ht="15">
      <c r="A1970" s="2">
        <v>1969</v>
      </c>
      <c r="B1970" s="2" t="s">
        <v>78</v>
      </c>
      <c r="C1970" s="2" t="s">
        <v>81</v>
      </c>
      <c r="D1970" s="2">
        <v>951.16628454998136</v>
      </c>
      <c r="E1970" s="2">
        <v>795.86993245175108</v>
      </c>
      <c r="F1970" s="2">
        <v>536.31288204342127</v>
      </c>
      <c r="G1970" s="2">
        <v>170.25657182792202</v>
      </c>
      <c r="H1970" s="2">
        <v>19.373020129278302</v>
      </c>
      <c r="I1970" s="2">
        <v>0.82666785299079493</v>
      </c>
      <c r="J1970" s="2">
        <v>6</v>
      </c>
      <c r="K1970" s="2">
        <v>191.76712087947709</v>
      </c>
      <c r="L1970" s="2">
        <v>16605</v>
      </c>
      <c r="M1970" s="2">
        <v>1200</v>
      </c>
      <c r="N1970" s="2">
        <v>249.97942613249393</v>
      </c>
      <c r="O1970" s="2">
        <v>2502.2965715619976</v>
      </c>
      <c r="P1970" s="2">
        <v>951.16628454998136</v>
      </c>
      <c r="Q1970" s="2">
        <v>249.28173640139244</v>
      </c>
      <c r="R1970" s="2">
        <v>2461.5712232327223</v>
      </c>
      <c r="S1970" s="2">
        <v>953.44849058701448</v>
      </c>
      <c r="T1970" s="2">
        <v>-0.69768973110149091</v>
      </c>
      <c r="U1970" s="2">
        <v>-40.725348329275221</v>
      </c>
      <c r="V1970" s="2">
        <v>2.2822060370331201</v>
      </c>
    </row>
    <row r="1971" spans="1:22" ht="15">
      <c r="A1971" s="2">
        <v>1970</v>
      </c>
      <c r="B1971" s="2" t="s">
        <v>78</v>
      </c>
      <c r="C1971" s="2" t="s">
        <v>81</v>
      </c>
      <c r="D1971" s="2">
        <v>1071.5756766148843</v>
      </c>
      <c r="E1971" s="2">
        <v>766.95287351030856</v>
      </c>
      <c r="F1971" s="2">
        <v>525.52241766825318</v>
      </c>
      <c r="G1971" s="2">
        <v>296.6852739173919</v>
      </c>
      <c r="H1971" s="2">
        <v>18.083421916235238</v>
      </c>
      <c r="I1971" s="2">
        <v>0.80609559910837569</v>
      </c>
      <c r="J1971" s="2">
        <v>7</v>
      </c>
      <c r="K1971" s="2">
        <v>189.90581227057518</v>
      </c>
      <c r="L1971" s="2">
        <v>13455</v>
      </c>
      <c r="M1971" s="2">
        <v>1200</v>
      </c>
      <c r="N1971" s="2">
        <v>249.95779746285393</v>
      </c>
      <c r="O1971" s="2">
        <v>2504.0508214815363</v>
      </c>
      <c r="P1971" s="2">
        <v>1071.5756766148843</v>
      </c>
      <c r="Q1971" s="2">
        <v>249.115455283773</v>
      </c>
      <c r="R1971" s="2">
        <v>2465.2559035185009</v>
      </c>
      <c r="S1971" s="2">
        <v>1075.367418349445</v>
      </c>
      <c r="T1971" s="2">
        <v>-0.84234217908093001</v>
      </c>
      <c r="U1971" s="2">
        <v>-38.794917963035459</v>
      </c>
      <c r="V1971" s="2">
        <v>3.7917417345606736</v>
      </c>
    </row>
    <row r="1972" spans="1:22" ht="15">
      <c r="A1972" s="2">
        <v>1971</v>
      </c>
      <c r="B1972" s="2" t="s">
        <v>78</v>
      </c>
      <c r="C1972" s="2" t="s">
        <v>81</v>
      </c>
      <c r="D1972" s="2">
        <v>1098.1575680663809</v>
      </c>
      <c r="E1972" s="2">
        <v>649.38218403840438</v>
      </c>
      <c r="F1972" s="2">
        <v>555.12658916413784</v>
      </c>
      <c r="G1972" s="2">
        <v>98.909766047727317</v>
      </c>
      <c r="H1972" s="2">
        <v>15.686587614007294</v>
      </c>
      <c r="I1972" s="2">
        <v>0.80413268466247245</v>
      </c>
      <c r="J1972" s="2">
        <v>7</v>
      </c>
      <c r="K1972" s="2">
        <v>195.09174987304539</v>
      </c>
      <c r="L1972" s="2">
        <v>16405</v>
      </c>
      <c r="M1972" s="2">
        <v>1200</v>
      </c>
      <c r="N1972" s="2">
        <v>249.96265863916281</v>
      </c>
      <c r="O1972" s="2">
        <v>2502.3874600006839</v>
      </c>
      <c r="P1972" s="2">
        <v>1098.1575680663809</v>
      </c>
      <c r="Q1972" s="2">
        <v>248.20823433773964</v>
      </c>
      <c r="R1972" s="2">
        <v>2501.753875528585</v>
      </c>
      <c r="S1972" s="2">
        <v>1113.1182828583451</v>
      </c>
      <c r="T1972" s="2">
        <v>-1.7544243014231711</v>
      </c>
      <c r="U1972" s="2">
        <v>-0.63358447209884616</v>
      </c>
      <c r="V1972" s="2">
        <v>14.960714791964165</v>
      </c>
    </row>
    <row r="1973" spans="1:22" ht="15">
      <c r="A1973" s="2">
        <v>1972</v>
      </c>
      <c r="B1973" s="2" t="s">
        <v>78</v>
      </c>
      <c r="C1973" s="2" t="s">
        <v>81</v>
      </c>
      <c r="D1973" s="2">
        <v>1014.0214176266454</v>
      </c>
      <c r="E1973" s="2">
        <v>754.20248084701598</v>
      </c>
      <c r="F1973" s="2">
        <v>404.07757638022304</v>
      </c>
      <c r="G1973" s="2">
        <v>312.65717492904514</v>
      </c>
      <c r="H1973" s="2">
        <v>29.394187062513083</v>
      </c>
      <c r="I1973" s="2">
        <v>0.81040730679407724</v>
      </c>
      <c r="J1973" s="2">
        <v>7</v>
      </c>
      <c r="K1973" s="2">
        <v>178.74987219840168</v>
      </c>
      <c r="L1973" s="2">
        <v>14540</v>
      </c>
      <c r="M1973" s="2">
        <v>1200</v>
      </c>
      <c r="N1973" s="2">
        <v>250.01962865820437</v>
      </c>
      <c r="O1973" s="2">
        <v>2503.3626198158281</v>
      </c>
      <c r="P1973" s="2">
        <v>1014.0214176266454</v>
      </c>
      <c r="Q1973" s="2">
        <v>245.61284291552661</v>
      </c>
      <c r="R1973" s="2">
        <v>2464.7666917689635</v>
      </c>
      <c r="S1973" s="2">
        <v>1010.1441574543738</v>
      </c>
      <c r="T1973" s="2">
        <v>-4.406785742677755</v>
      </c>
      <c r="U1973" s="2">
        <v>-38.595928046864628</v>
      </c>
      <c r="V1973" s="2">
        <v>-3.8772601722715763</v>
      </c>
    </row>
    <row r="1974" spans="1:22" ht="15">
      <c r="A1974" s="2">
        <v>1973</v>
      </c>
      <c r="B1974" s="2" t="s">
        <v>78</v>
      </c>
      <c r="C1974" s="2" t="s">
        <v>81</v>
      </c>
      <c r="D1974" s="2">
        <v>1020.9116343874484</v>
      </c>
      <c r="E1974" s="2">
        <v>1135.768841940444</v>
      </c>
      <c r="F1974" s="2">
        <v>433.12313836067915</v>
      </c>
      <c r="G1974" s="2">
        <v>227.69187412457541</v>
      </c>
      <c r="H1974" s="2">
        <v>19.069889783859253</v>
      </c>
      <c r="I1974" s="2">
        <v>0.83290991639951251</v>
      </c>
      <c r="J1974" s="2">
        <v>7</v>
      </c>
      <c r="K1974" s="2">
        <v>175.10239261967357</v>
      </c>
      <c r="L1974" s="2">
        <v>11905</v>
      </c>
      <c r="M1974" s="2">
        <v>1195</v>
      </c>
      <c r="N1974" s="2">
        <v>250.03006459003345</v>
      </c>
      <c r="O1974" s="2">
        <v>2494.8196977919933</v>
      </c>
      <c r="P1974" s="2">
        <v>1020.9116343874484</v>
      </c>
      <c r="Q1974" s="2">
        <v>248.4537932858434</v>
      </c>
      <c r="R1974" s="2">
        <v>2490.4877561114931</v>
      </c>
      <c r="S1974" s="2">
        <v>1013.1117102417412</v>
      </c>
      <c r="T1974" s="2">
        <v>-1.576271304190044</v>
      </c>
      <c r="U1974" s="2">
        <v>-4.331941680500222</v>
      </c>
      <c r="V1974" s="2">
        <v>-7.799924145707223</v>
      </c>
    </row>
    <row r="1975" spans="1:22" ht="15">
      <c r="A1975" s="2">
        <v>1974</v>
      </c>
      <c r="B1975" s="2" t="s">
        <v>78</v>
      </c>
      <c r="C1975" s="2" t="s">
        <v>81</v>
      </c>
      <c r="D1975" s="2">
        <v>1017.1014220570214</v>
      </c>
      <c r="E1975" s="2">
        <v>946.49185778107494</v>
      </c>
      <c r="F1975" s="2">
        <v>450.31829299405217</v>
      </c>
      <c r="G1975" s="2">
        <v>80.670696143060923</v>
      </c>
      <c r="H1975" s="2">
        <v>25.557277909014374</v>
      </c>
      <c r="I1975" s="2">
        <v>0.8511068103974686</v>
      </c>
      <c r="J1975" s="2">
        <v>6</v>
      </c>
      <c r="K1975" s="2">
        <v>199.17230317661952</v>
      </c>
      <c r="L1975" s="2">
        <v>16885</v>
      </c>
      <c r="M1975" s="2">
        <v>1200</v>
      </c>
      <c r="N1975" s="2">
        <v>249.97211289317636</v>
      </c>
      <c r="O1975" s="2">
        <v>2502.1720384337827</v>
      </c>
      <c r="P1975" s="2">
        <v>1017.1014220570214</v>
      </c>
      <c r="Q1975" s="2">
        <v>249.2593311630032</v>
      </c>
      <c r="R1975" s="2">
        <v>2525.9559982954074</v>
      </c>
      <c r="S1975" s="2">
        <v>1009.7201170300017</v>
      </c>
      <c r="T1975" s="2">
        <v>-0.71278173017316249</v>
      </c>
      <c r="U1975" s="2">
        <v>23.78395986162468</v>
      </c>
      <c r="V1975" s="2">
        <v>-7.3813050270197209</v>
      </c>
    </row>
    <row r="1976" spans="1:22" ht="15">
      <c r="A1976" s="2">
        <v>1975</v>
      </c>
      <c r="B1976" s="2" t="s">
        <v>79</v>
      </c>
      <c r="C1976" s="2" t="s">
        <v>81</v>
      </c>
      <c r="D1976" s="2">
        <v>972.78598186094314</v>
      </c>
      <c r="E1976" s="2">
        <v>911.42488998593763</v>
      </c>
      <c r="F1976" s="2">
        <v>545.96801549196243</v>
      </c>
      <c r="G1976" s="2">
        <v>177.13371744146571</v>
      </c>
      <c r="H1976" s="2">
        <v>13.28362990450114</v>
      </c>
      <c r="I1976" s="2">
        <v>0.85128272551810369</v>
      </c>
      <c r="J1976" s="2">
        <v>6</v>
      </c>
      <c r="K1976" s="2">
        <v>190.45493596519117</v>
      </c>
      <c r="L1976" s="2">
        <v>15265</v>
      </c>
      <c r="M1976" s="2">
        <v>1200</v>
      </c>
      <c r="N1976" s="2">
        <v>250.00981272413168</v>
      </c>
      <c r="O1976" s="2">
        <v>2502.955634037718</v>
      </c>
      <c r="P1976" s="2">
        <v>972.78598186094314</v>
      </c>
      <c r="Q1976" s="2">
        <v>253.13036678488234</v>
      </c>
      <c r="R1976" s="2">
        <v>2537.8764088026933</v>
      </c>
      <c r="S1976" s="2">
        <v>980.63738310543511</v>
      </c>
      <c r="T1976" s="2">
        <v>3.1205540607506634</v>
      </c>
      <c r="U1976" s="2">
        <v>34.920774764975249</v>
      </c>
      <c r="V1976" s="2">
        <v>7.8514012444919672</v>
      </c>
    </row>
    <row r="1977" spans="1:22" ht="15">
      <c r="A1977" s="2">
        <v>1976</v>
      </c>
      <c r="B1977" s="2" t="s">
        <v>79</v>
      </c>
      <c r="C1977" s="2" t="s">
        <v>81</v>
      </c>
      <c r="D1977" s="2">
        <v>1066.6178143466823</v>
      </c>
      <c r="E1977" s="2">
        <v>1045.6209647469223</v>
      </c>
      <c r="F1977" s="2">
        <v>682.17818653210998</v>
      </c>
      <c r="G1977" s="2">
        <v>198.97784343454987</v>
      </c>
      <c r="H1977" s="2">
        <v>21.539670085068792</v>
      </c>
      <c r="I1977" s="2">
        <v>0.84263314169831582</v>
      </c>
      <c r="J1977" s="2">
        <v>7</v>
      </c>
      <c r="K1977" s="2">
        <v>180.83073871387228</v>
      </c>
      <c r="L1977" s="2">
        <v>11100</v>
      </c>
      <c r="M1977" s="2">
        <v>1195</v>
      </c>
      <c r="N1977" s="2">
        <v>250.01723474441758</v>
      </c>
      <c r="O1977" s="2">
        <v>2495.5744202656201</v>
      </c>
      <c r="P1977" s="2">
        <v>1066.6178143466823</v>
      </c>
      <c r="Q1977" s="2">
        <v>253.7404186852327</v>
      </c>
      <c r="R1977" s="2">
        <v>2471.472068654271</v>
      </c>
      <c r="S1977" s="2">
        <v>1061.9932889661013</v>
      </c>
      <c r="T1977" s="2">
        <v>3.7231839408151188</v>
      </c>
      <c r="U1977" s="2">
        <v>-24.10235161134915</v>
      </c>
      <c r="V1977" s="2">
        <v>-4.6245253805809625</v>
      </c>
    </row>
    <row r="1978" spans="1:22" ht="15">
      <c r="A1978" s="2">
        <v>1977</v>
      </c>
      <c r="B1978" s="2" t="s">
        <v>79</v>
      </c>
      <c r="C1978" s="2" t="s">
        <v>81</v>
      </c>
      <c r="D1978" s="2">
        <v>1099.5718356221914</v>
      </c>
      <c r="E1978" s="2">
        <v>1228.7633044994436</v>
      </c>
      <c r="F1978" s="2">
        <v>407.14838076382875</v>
      </c>
      <c r="G1978" s="2">
        <v>206.82381324702874</v>
      </c>
      <c r="H1978" s="2">
        <v>27.0750563275069</v>
      </c>
      <c r="I1978" s="2">
        <v>0.81331330535234891</v>
      </c>
      <c r="J1978" s="2">
        <v>7</v>
      </c>
      <c r="K1978" s="2">
        <v>193.13798233648501</v>
      </c>
      <c r="L1978" s="2">
        <v>11605</v>
      </c>
      <c r="M1978" s="2">
        <v>1195</v>
      </c>
      <c r="N1978" s="2">
        <v>249.99070817803457</v>
      </c>
      <c r="O1978" s="2">
        <v>2495.0872363344115</v>
      </c>
      <c r="P1978" s="2">
        <v>1099.5718356221914</v>
      </c>
      <c r="Q1978" s="2">
        <v>250.7407178727951</v>
      </c>
      <c r="R1978" s="2">
        <v>2505.1926000015656</v>
      </c>
      <c r="S1978" s="2">
        <v>1085.7010721310974</v>
      </c>
      <c r="T1978" s="2">
        <v>0.75000969476053569</v>
      </c>
      <c r="U1978" s="2">
        <v>10.105363667154052</v>
      </c>
      <c r="V1978" s="2">
        <v>-13.870763491094067</v>
      </c>
    </row>
    <row r="1979" spans="1:22" ht="15">
      <c r="A1979" s="2">
        <v>1978</v>
      </c>
      <c r="B1979" s="2" t="s">
        <v>80</v>
      </c>
      <c r="C1979" s="2" t="s">
        <v>81</v>
      </c>
      <c r="D1979" s="2">
        <v>1064.1419502557255</v>
      </c>
      <c r="E1979" s="2">
        <v>882.358299032785</v>
      </c>
      <c r="F1979" s="2">
        <v>566.0872177220881</v>
      </c>
      <c r="G1979" s="2">
        <v>249.06627989374101</v>
      </c>
      <c r="H1979" s="2">
        <v>17.553026777226478</v>
      </c>
      <c r="I1979" s="2">
        <v>0.81892227642703808</v>
      </c>
      <c r="J1979" s="2">
        <v>7</v>
      </c>
      <c r="K1979" s="2">
        <v>185.63456262446056</v>
      </c>
      <c r="L1979" s="2">
        <v>12600</v>
      </c>
      <c r="M1979" s="2">
        <v>1200</v>
      </c>
      <c r="N1979" s="2">
        <v>250.03371801675092</v>
      </c>
      <c r="O1979" s="2">
        <v>2504.6815556706511</v>
      </c>
      <c r="P1979" s="2">
        <v>1064.1419502557255</v>
      </c>
      <c r="Q1979" s="2">
        <v>253.76938348417295</v>
      </c>
      <c r="R1979" s="2">
        <v>2477.1680635119492</v>
      </c>
      <c r="S1979" s="2">
        <v>1059.1161342432988</v>
      </c>
      <c r="T1979" s="2">
        <v>3.7356654674220238</v>
      </c>
      <c r="U1979" s="2">
        <v>-27.513492158701865</v>
      </c>
      <c r="V1979" s="2">
        <v>-5.0258160124267306</v>
      </c>
    </row>
    <row r="1980" spans="1:22" ht="15">
      <c r="A1980" s="2">
        <v>1979</v>
      </c>
      <c r="B1980" s="2" t="s">
        <v>80</v>
      </c>
      <c r="C1980" s="2" t="s">
        <v>81</v>
      </c>
      <c r="D1980" s="2">
        <v>1003.424182231538</v>
      </c>
      <c r="E1980" s="2">
        <v>913.4696357534267</v>
      </c>
      <c r="F1980" s="2">
        <v>626.24409534037113</v>
      </c>
      <c r="G1980" s="2">
        <v>140.76476274756715</v>
      </c>
      <c r="H1980" s="2">
        <v>10.26418609265238</v>
      </c>
      <c r="I1980" s="2">
        <v>0.79492980601964525</v>
      </c>
      <c r="J1980" s="2">
        <v>7</v>
      </c>
      <c r="K1980" s="2">
        <v>180.3257478356775</v>
      </c>
      <c r="L1980" s="2">
        <v>12725</v>
      </c>
      <c r="M1980" s="2">
        <v>1200</v>
      </c>
      <c r="N1980" s="2">
        <v>249.98023901523553</v>
      </c>
      <c r="O1980" s="2">
        <v>2504.5824014083491</v>
      </c>
      <c r="P1980" s="2">
        <v>1003.424182231538</v>
      </c>
      <c r="Q1980" s="2">
        <v>253.34823281307959</v>
      </c>
      <c r="R1980" s="2">
        <v>2507.7095230464306</v>
      </c>
      <c r="S1980" s="2">
        <v>1010.0534126718263</v>
      </c>
      <c r="T1980" s="2">
        <v>3.3679937978440648</v>
      </c>
      <c r="U1980" s="2">
        <v>3.1271216380814622</v>
      </c>
      <c r="V1980" s="2">
        <v>6.6292304402883246</v>
      </c>
    </row>
    <row r="1981" spans="1:22" ht="15">
      <c r="A1981" s="2">
        <v>1980</v>
      </c>
      <c r="B1981" s="2" t="s">
        <v>80</v>
      </c>
      <c r="C1981" s="2" t="s">
        <v>81</v>
      </c>
      <c r="D1981" s="2">
        <v>1070.6262294552289</v>
      </c>
      <c r="E1981" s="2">
        <v>859.97469681315124</v>
      </c>
      <c r="F1981" s="2">
        <v>525.78898025676608</v>
      </c>
      <c r="G1981" s="2">
        <v>109.2431766865775</v>
      </c>
      <c r="H1981" s="2">
        <v>13.076827238779515</v>
      </c>
      <c r="I1981" s="2">
        <v>0.79971448823809632</v>
      </c>
      <c r="J1981" s="2">
        <v>7</v>
      </c>
      <c r="K1981" s="2">
        <v>191.25151095468655</v>
      </c>
      <c r="L1981" s="2">
        <v>14305</v>
      </c>
      <c r="M1981" s="2">
        <v>1200</v>
      </c>
      <c r="N1981" s="2">
        <v>250.00346648310952</v>
      </c>
      <c r="O1981" s="2">
        <v>2503.5027338970872</v>
      </c>
      <c r="P1981" s="2">
        <v>1070.6262294552289</v>
      </c>
      <c r="Q1981" s="2">
        <v>249.81628723880266</v>
      </c>
      <c r="R1981" s="2">
        <v>2539.7903653255207</v>
      </c>
      <c r="S1981" s="2">
        <v>1074.6412673691159</v>
      </c>
      <c r="T1981" s="2">
        <v>-0.18717924430686139</v>
      </c>
      <c r="U1981" s="2">
        <v>36.287631428433542</v>
      </c>
      <c r="V1981" s="2">
        <v>4.0150379138869994</v>
      </c>
    </row>
    <row r="1982" spans="1:22" ht="15">
      <c r="A1982" s="2">
        <v>1981</v>
      </c>
      <c r="B1982" s="2" t="s">
        <v>78</v>
      </c>
      <c r="C1982" s="2" t="s">
        <v>81</v>
      </c>
      <c r="D1982" s="2">
        <v>1039.2922620754689</v>
      </c>
      <c r="E1982" s="2">
        <v>981.07925177318975</v>
      </c>
      <c r="F1982" s="2">
        <v>716.15504678338766</v>
      </c>
      <c r="G1982" s="2">
        <v>282.29644217761233</v>
      </c>
      <c r="H1982" s="2">
        <v>11.910076137632132</v>
      </c>
      <c r="I1982" s="2">
        <v>0.82397064212942506</v>
      </c>
      <c r="J1982" s="2">
        <v>7</v>
      </c>
      <c r="K1982" s="2">
        <v>180.18885086723449</v>
      </c>
      <c r="L1982" s="2">
        <v>10805</v>
      </c>
      <c r="M1982" s="2">
        <v>1195</v>
      </c>
      <c r="N1982" s="2">
        <v>250.03574736476006</v>
      </c>
      <c r="O1982" s="2">
        <v>2495.880230829845</v>
      </c>
      <c r="P1982" s="2">
        <v>1039.2922620754689</v>
      </c>
      <c r="Q1982" s="2">
        <v>254.54126779341325</v>
      </c>
      <c r="R1982" s="2">
        <v>2501.5334500949557</v>
      </c>
      <c r="S1982" s="2">
        <v>1031.3033378966413</v>
      </c>
      <c r="T1982" s="2">
        <v>4.5055204286531989</v>
      </c>
      <c r="U1982" s="2">
        <v>5.6532192651106925</v>
      </c>
      <c r="V1982" s="2">
        <v>-7.988924178827574</v>
      </c>
    </row>
    <row r="1983" spans="1:22" ht="15">
      <c r="A1983" s="2">
        <v>1982</v>
      </c>
      <c r="B1983" s="2" t="s">
        <v>78</v>
      </c>
      <c r="C1983" s="2" t="s">
        <v>81</v>
      </c>
      <c r="D1983" s="2">
        <v>1007.1654137340374</v>
      </c>
      <c r="E1983" s="2">
        <v>798.05865983944386</v>
      </c>
      <c r="F1983" s="2">
        <v>500.28518931940198</v>
      </c>
      <c r="G1983" s="2">
        <v>298.23691669851542</v>
      </c>
      <c r="H1983" s="2">
        <v>17.92504388326779</v>
      </c>
      <c r="I1983" s="2">
        <v>0.81183774638455364</v>
      </c>
      <c r="J1983" s="2">
        <v>7</v>
      </c>
      <c r="K1983" s="2">
        <v>177.22848442479653</v>
      </c>
      <c r="L1983" s="2">
        <v>13395</v>
      </c>
      <c r="M1983" s="2">
        <v>1200</v>
      </c>
      <c r="N1983" s="2">
        <v>250.00506956953572</v>
      </c>
      <c r="O1983" s="2">
        <v>2504.0940159542088</v>
      </c>
      <c r="P1983" s="2">
        <v>1007.1654137340374</v>
      </c>
      <c r="Q1983" s="2">
        <v>249.90176614446926</v>
      </c>
      <c r="R1983" s="2">
        <v>2469.1126539242505</v>
      </c>
      <c r="S1983" s="2">
        <v>1015.0997196402345</v>
      </c>
      <c r="T1983" s="2">
        <v>-0.10330342506645707</v>
      </c>
      <c r="U1983" s="2">
        <v>-34.981362029958291</v>
      </c>
      <c r="V1983" s="2">
        <v>7.9343059061970962</v>
      </c>
    </row>
    <row r="1984" spans="1:22" ht="15">
      <c r="A1984" s="2">
        <v>1983</v>
      </c>
      <c r="B1984" s="2" t="s">
        <v>78</v>
      </c>
      <c r="C1984" s="2" t="s">
        <v>81</v>
      </c>
      <c r="D1984" s="2">
        <v>1028.8785957032815</v>
      </c>
      <c r="E1984" s="2">
        <v>1163.0005355109461</v>
      </c>
      <c r="F1984" s="2">
        <v>485.27110144495964</v>
      </c>
      <c r="G1984" s="2">
        <v>220.34991286462173</v>
      </c>
      <c r="H1984" s="2">
        <v>29.800062037073076</v>
      </c>
      <c r="I1984" s="2">
        <v>0.85190467329462993</v>
      </c>
      <c r="J1984" s="2">
        <v>7</v>
      </c>
      <c r="K1984" s="2">
        <v>172.53415920422646</v>
      </c>
      <c r="L1984" s="2">
        <v>11445</v>
      </c>
      <c r="M1984" s="2">
        <v>1195</v>
      </c>
      <c r="N1984" s="2">
        <v>250.00748430263963</v>
      </c>
      <c r="O1984" s="2">
        <v>2495.2372963501243</v>
      </c>
      <c r="P1984" s="2">
        <v>1028.8785957032815</v>
      </c>
      <c r="Q1984" s="2">
        <v>247.18982253842304</v>
      </c>
      <c r="R1984" s="2">
        <v>2506.3491336125444</v>
      </c>
      <c r="S1984" s="2">
        <v>1009.2439379404454</v>
      </c>
      <c r="T1984" s="2">
        <v>-2.8176617642165809</v>
      </c>
      <c r="U1984" s="2">
        <v>11.111837262420067</v>
      </c>
      <c r="V1984" s="2">
        <v>-19.634657762836014</v>
      </c>
    </row>
    <row r="1985" spans="1:22" ht="15">
      <c r="A1985" s="2">
        <v>1984</v>
      </c>
      <c r="B1985" s="2" t="s">
        <v>78</v>
      </c>
      <c r="C1985" s="2" t="s">
        <v>81</v>
      </c>
      <c r="D1985" s="2">
        <v>993.07712855516002</v>
      </c>
      <c r="E1985" s="2">
        <v>1218.8800524920225</v>
      </c>
      <c r="F1985" s="2">
        <v>364.04213299974799</v>
      </c>
      <c r="G1985" s="2">
        <v>314.91162166465074</v>
      </c>
      <c r="H1985" s="2">
        <v>14.694014446344227</v>
      </c>
      <c r="I1985" s="2">
        <v>0.8523311707656831</v>
      </c>
      <c r="J1985" s="2">
        <v>6</v>
      </c>
      <c r="K1985" s="2">
        <v>194.18843336505753</v>
      </c>
      <c r="L1985" s="2">
        <v>13145</v>
      </c>
      <c r="M1985" s="2">
        <v>1200</v>
      </c>
      <c r="N1985" s="2">
        <v>249.96958337367946</v>
      </c>
      <c r="O1985" s="2">
        <v>2504.2694315641875</v>
      </c>
      <c r="P1985" s="2">
        <v>993.07712855516002</v>
      </c>
      <c r="Q1985" s="2">
        <v>253.61408502330033</v>
      </c>
      <c r="R1985" s="2">
        <v>2563.5296477182228</v>
      </c>
      <c r="S1985" s="2">
        <v>997.48263082219512</v>
      </c>
      <c r="T1985" s="2">
        <v>3.644501649620878</v>
      </c>
      <c r="U1985" s="2">
        <v>59.260216154035334</v>
      </c>
      <c r="V1985" s="2">
        <v>4.4055022670351036</v>
      </c>
    </row>
    <row r="1986" spans="1:22" ht="15">
      <c r="A1986" s="2">
        <v>1985</v>
      </c>
      <c r="B1986" s="2" t="s">
        <v>78</v>
      </c>
      <c r="C1986" s="2" t="s">
        <v>81</v>
      </c>
      <c r="D1986" s="2">
        <v>1075.5432921461761</v>
      </c>
      <c r="E1986" s="2">
        <v>746.33584202965721</v>
      </c>
      <c r="F1986" s="2">
        <v>424.3991369381547</v>
      </c>
      <c r="G1986" s="2">
        <v>153.64948192844167</v>
      </c>
      <c r="H1986" s="2">
        <v>26.737306067720056</v>
      </c>
      <c r="I1986" s="2">
        <v>0.79501412268029525</v>
      </c>
      <c r="J1986" s="2">
        <v>7</v>
      </c>
      <c r="K1986" s="2">
        <v>193.26580164030119</v>
      </c>
      <c r="L1986" s="2">
        <v>16150</v>
      </c>
      <c r="M1986" s="2">
        <v>1200</v>
      </c>
      <c r="N1986" s="2">
        <v>250.03567142959514</v>
      </c>
      <c r="O1986" s="2">
        <v>2502.5095068237692</v>
      </c>
      <c r="P1986" s="2">
        <v>1075.5432921461761</v>
      </c>
      <c r="Q1986" s="2">
        <v>248.36801485116388</v>
      </c>
      <c r="R1986" s="2">
        <v>2483.4142601718286</v>
      </c>
      <c r="S1986" s="2">
        <v>1076.2563890903662</v>
      </c>
      <c r="T1986" s="2">
        <v>-1.6676565784312629</v>
      </c>
      <c r="U1986" s="2">
        <v>-19.09524665194067</v>
      </c>
      <c r="V1986" s="2">
        <v>0.71309694419005609</v>
      </c>
    </row>
    <row r="1987" spans="1:22" ht="15">
      <c r="A1987" s="2">
        <v>1986</v>
      </c>
      <c r="B1987" s="2" t="s">
        <v>78</v>
      </c>
      <c r="C1987" s="2" t="s">
        <v>81</v>
      </c>
      <c r="D1987" s="2">
        <v>1085.2114600711502</v>
      </c>
      <c r="E1987" s="2">
        <v>777.60221802163869</v>
      </c>
      <c r="F1987" s="2">
        <v>494.85947722569108</v>
      </c>
      <c r="G1987" s="2">
        <v>277.34767661429942</v>
      </c>
      <c r="H1987" s="2">
        <v>25.638140075374395</v>
      </c>
      <c r="I1987" s="2">
        <v>0.85459872989449659</v>
      </c>
      <c r="J1987" s="2">
        <v>7</v>
      </c>
      <c r="K1987" s="2">
        <v>181.40701964386483</v>
      </c>
      <c r="L1987" s="2">
        <v>13800</v>
      </c>
      <c r="M1987" s="2">
        <v>1200</v>
      </c>
      <c r="N1987" s="2">
        <v>250.0189015201544</v>
      </c>
      <c r="O1987" s="2">
        <v>2503.8217503154806</v>
      </c>
      <c r="P1987" s="2">
        <v>1085.2114600711502</v>
      </c>
      <c r="Q1987" s="2">
        <v>250.30957681754916</v>
      </c>
      <c r="R1987" s="2">
        <v>2507.1721095679932</v>
      </c>
      <c r="S1987" s="2">
        <v>1080.9338350513308</v>
      </c>
      <c r="T1987" s="2">
        <v>0.29067529739475617</v>
      </c>
      <c r="U1987" s="2">
        <v>3.3503592525125896</v>
      </c>
      <c r="V1987" s="2">
        <v>-4.2776250198194248</v>
      </c>
    </row>
    <row r="1988" spans="1:22" ht="15">
      <c r="A1988" s="2">
        <v>1987</v>
      </c>
      <c r="B1988" s="2" t="s">
        <v>78</v>
      </c>
      <c r="C1988" s="2" t="s">
        <v>81</v>
      </c>
      <c r="D1988" s="2">
        <v>1063.130934140645</v>
      </c>
      <c r="E1988" s="2">
        <v>832.09616296226159</v>
      </c>
      <c r="F1988" s="2">
        <v>700.21473281085491</v>
      </c>
      <c r="G1988" s="2">
        <v>125.34948588116094</v>
      </c>
      <c r="H1988" s="2">
        <v>22.256293271668255</v>
      </c>
      <c r="I1988" s="2">
        <v>0.83375483319861821</v>
      </c>
      <c r="J1988" s="2">
        <v>7</v>
      </c>
      <c r="K1988" s="2">
        <v>182.15888134851483</v>
      </c>
      <c r="L1988" s="2">
        <v>12900</v>
      </c>
      <c r="M1988" s="2">
        <v>1200</v>
      </c>
      <c r="N1988" s="2">
        <v>249.97735772065053</v>
      </c>
      <c r="O1988" s="2">
        <v>2504.4495726136856</v>
      </c>
      <c r="P1988" s="2">
        <v>1063.130934140645</v>
      </c>
      <c r="Q1988" s="2">
        <v>248.21912666305369</v>
      </c>
      <c r="R1988" s="2">
        <v>2453.3237416678858</v>
      </c>
      <c r="S1988" s="2">
        <v>1059.059959247071</v>
      </c>
      <c r="T1988" s="2">
        <v>-1.7582310575968449</v>
      </c>
      <c r="U1988" s="2">
        <v>-51.125830945799862</v>
      </c>
      <c r="V1988" s="2">
        <v>-4.0709748935739754</v>
      </c>
    </row>
    <row r="1989" spans="1:22" ht="15">
      <c r="A1989" s="2">
        <v>1988</v>
      </c>
      <c r="B1989" s="2" t="s">
        <v>78</v>
      </c>
      <c r="C1989" s="2" t="s">
        <v>81</v>
      </c>
      <c r="D1989" s="2">
        <v>1018.8741690828465</v>
      </c>
      <c r="E1989" s="2">
        <v>867.37889093346894</v>
      </c>
      <c r="F1989" s="2">
        <v>412.6924398355186</v>
      </c>
      <c r="G1989" s="2">
        <v>97.402753583155572</v>
      </c>
      <c r="H1989" s="2">
        <v>19.213399581145495</v>
      </c>
      <c r="I1989" s="2">
        <v>0.83178141420707108</v>
      </c>
      <c r="J1989" s="2">
        <v>7</v>
      </c>
      <c r="K1989" s="2">
        <v>174.99002771644709</v>
      </c>
      <c r="L1989" s="2">
        <v>15525</v>
      </c>
      <c r="M1989" s="2">
        <v>1200</v>
      </c>
      <c r="N1989" s="2">
        <v>249.9943525785271</v>
      </c>
      <c r="O1989" s="2">
        <v>2502.8185521398304</v>
      </c>
      <c r="P1989" s="2">
        <v>1018.8741690828465</v>
      </c>
      <c r="Q1989" s="2">
        <v>248.73522853697233</v>
      </c>
      <c r="R1989" s="2">
        <v>2527.0468140489638</v>
      </c>
      <c r="S1989" s="2">
        <v>1027.5832173140325</v>
      </c>
      <c r="T1989" s="2">
        <v>-1.2591240415547702</v>
      </c>
      <c r="U1989" s="2">
        <v>24.22826190913338</v>
      </c>
      <c r="V1989" s="2">
        <v>8.7090482311859887</v>
      </c>
    </row>
    <row r="1990" spans="1:22" ht="15">
      <c r="A1990" s="2">
        <v>1989</v>
      </c>
      <c r="B1990" s="2" t="s">
        <v>78</v>
      </c>
      <c r="C1990" s="2" t="s">
        <v>81</v>
      </c>
      <c r="D1990" s="2">
        <v>1094.3047570530325</v>
      </c>
      <c r="E1990" s="2">
        <v>648.29021113691851</v>
      </c>
      <c r="F1990" s="2">
        <v>422.08422254770994</v>
      </c>
      <c r="G1990" s="2">
        <v>133.10213501797989</v>
      </c>
      <c r="H1990" s="2">
        <v>20.347086064517498</v>
      </c>
      <c r="I1990" s="2">
        <v>0.83017057033488528</v>
      </c>
      <c r="J1990" s="2">
        <v>7</v>
      </c>
      <c r="K1990" s="2">
        <v>188.30979631633278</v>
      </c>
      <c r="L1990" s="2">
        <v>17770</v>
      </c>
      <c r="M1990" s="2">
        <v>1200</v>
      </c>
      <c r="N1990" s="2">
        <v>250.00009359857404</v>
      </c>
      <c r="O1990" s="2">
        <v>2501.8056778017317</v>
      </c>
      <c r="P1990" s="2">
        <v>1094.3047570530325</v>
      </c>
      <c r="Q1990" s="2">
        <v>246.8335207479148</v>
      </c>
      <c r="R1990" s="2">
        <v>2449.9392988123959</v>
      </c>
      <c r="S1990" s="2">
        <v>1107.3182417996316</v>
      </c>
      <c r="T1990" s="2">
        <v>-3.1665728506592359</v>
      </c>
      <c r="U1990" s="2">
        <v>-51.866378989335772</v>
      </c>
      <c r="V1990" s="2">
        <v>13.013484746599033</v>
      </c>
    </row>
    <row r="1991" spans="1:22" ht="15">
      <c r="A1991" s="2">
        <v>1990</v>
      </c>
      <c r="B1991" s="2" t="s">
        <v>78</v>
      </c>
      <c r="C1991" s="2" t="s">
        <v>81</v>
      </c>
      <c r="D1991" s="2">
        <v>1024.3320278008468</v>
      </c>
      <c r="E1991" s="2">
        <v>833.93673559185117</v>
      </c>
      <c r="F1991" s="2">
        <v>441.23397441580892</v>
      </c>
      <c r="G1991" s="2">
        <v>158.55728967115283</v>
      </c>
      <c r="H1991" s="2">
        <v>19.581404461059719</v>
      </c>
      <c r="I1991" s="2">
        <v>0.85508103901054711</v>
      </c>
      <c r="J1991" s="2">
        <v>6</v>
      </c>
      <c r="K1991" s="2">
        <v>199.65593533804071</v>
      </c>
      <c r="L1991" s="2">
        <v>17400</v>
      </c>
      <c r="M1991" s="2">
        <v>1200</v>
      </c>
      <c r="N1991" s="2">
        <v>249.96800082200357</v>
      </c>
      <c r="O1991" s="2">
        <v>2501.9537292271971</v>
      </c>
      <c r="P1991" s="2">
        <v>1024.3320278008468</v>
      </c>
      <c r="Q1991" s="2">
        <v>249.58379842989018</v>
      </c>
      <c r="R1991" s="2">
        <v>2511.3556341396952</v>
      </c>
      <c r="S1991" s="2">
        <v>1023.3829125064243</v>
      </c>
      <c r="T1991" s="2">
        <v>-0.38420239211339435</v>
      </c>
      <c r="U1991" s="2">
        <v>9.4019049124981393</v>
      </c>
      <c r="V1991" s="2">
        <v>-0.9491152944225405</v>
      </c>
    </row>
    <row r="1992" spans="1:22" ht="15">
      <c r="A1992" s="2">
        <v>1991</v>
      </c>
      <c r="B1992" s="2" t="s">
        <v>78</v>
      </c>
      <c r="C1992" s="2" t="s">
        <v>81</v>
      </c>
      <c r="D1992" s="2">
        <v>1066.5021351771429</v>
      </c>
      <c r="E1992" s="2">
        <v>608.51902888389304</v>
      </c>
      <c r="F1992" s="2">
        <v>682.30593502521515</v>
      </c>
      <c r="G1992" s="2">
        <v>99.328147114720196</v>
      </c>
      <c r="H1992" s="2">
        <v>29.392194810323417</v>
      </c>
      <c r="I1992" s="2">
        <v>0.82900956496363509</v>
      </c>
      <c r="J1992" s="2">
        <v>7</v>
      </c>
      <c r="K1992" s="2">
        <v>183.78249699583651</v>
      </c>
      <c r="L1992" s="2">
        <v>15385</v>
      </c>
      <c r="M1992" s="2">
        <v>1200</v>
      </c>
      <c r="N1992" s="2">
        <v>250.02051033847027</v>
      </c>
      <c r="O1992" s="2">
        <v>2502.8923592898918</v>
      </c>
      <c r="P1992" s="2">
        <v>1066.5021351771429</v>
      </c>
      <c r="Q1992" s="2">
        <v>249.80988600556108</v>
      </c>
      <c r="R1992" s="2">
        <v>2473.4635338141647</v>
      </c>
      <c r="S1992" s="2">
        <v>1062.9612382922328</v>
      </c>
      <c r="T1992" s="2">
        <v>-0.21062433290919103</v>
      </c>
      <c r="U1992" s="2">
        <v>-29.428825475727081</v>
      </c>
      <c r="V1992" s="2">
        <v>-3.5408968849101257</v>
      </c>
    </row>
    <row r="1993" spans="1:22" ht="15">
      <c r="A1993" s="2">
        <v>1992</v>
      </c>
      <c r="B1993" s="2" t="s">
        <v>78</v>
      </c>
      <c r="C1993" s="2" t="s">
        <v>81</v>
      </c>
      <c r="D1993" s="2">
        <v>1062.9371446440928</v>
      </c>
      <c r="E1993" s="2">
        <v>1189.7619192488492</v>
      </c>
      <c r="F1993" s="2">
        <v>388.20422952994704</v>
      </c>
      <c r="G1993" s="2">
        <v>323.49095264915377</v>
      </c>
      <c r="H1993" s="2">
        <v>15.653828678186983</v>
      </c>
      <c r="I1993" s="2">
        <v>0.83573562824167313</v>
      </c>
      <c r="J1993" s="2">
        <v>7</v>
      </c>
      <c r="K1993" s="2">
        <v>181.69401709014389</v>
      </c>
      <c r="L1993" s="2">
        <v>11245</v>
      </c>
      <c r="M1993" s="2">
        <v>1195</v>
      </c>
      <c r="N1993" s="2">
        <v>249.95465201882135</v>
      </c>
      <c r="O1993" s="2">
        <v>2495.4276422368371</v>
      </c>
      <c r="P1993" s="2">
        <v>1062.9371446440928</v>
      </c>
      <c r="Q1993" s="2">
        <v>252.09781276316824</v>
      </c>
      <c r="R1993" s="2">
        <v>2481.2097041680549</v>
      </c>
      <c r="S1993" s="2">
        <v>1063.2074486988286</v>
      </c>
      <c r="T1993" s="2">
        <v>2.1431607443468863</v>
      </c>
      <c r="U1993" s="2">
        <v>-14.217938068782132</v>
      </c>
      <c r="V1993" s="2">
        <v>0.27030405473578867</v>
      </c>
    </row>
    <row r="1994" spans="1:22" ht="15">
      <c r="A1994" s="2">
        <v>1993</v>
      </c>
      <c r="B1994" s="2" t="s">
        <v>78</v>
      </c>
      <c r="C1994" s="2" t="s">
        <v>81</v>
      </c>
      <c r="D1994" s="2">
        <v>1017.9515609517694</v>
      </c>
      <c r="E1994" s="2">
        <v>848.74823916470632</v>
      </c>
      <c r="F1994" s="2">
        <v>606.14757854491472</v>
      </c>
      <c r="G1994" s="2">
        <v>169.12791457260028</v>
      </c>
      <c r="H1994" s="2">
        <v>25.689843660220504</v>
      </c>
      <c r="I1994" s="2">
        <v>0.84794734888942913</v>
      </c>
      <c r="J1994" s="2">
        <v>7</v>
      </c>
      <c r="K1994" s="2">
        <v>171.49844475013649</v>
      </c>
      <c r="L1994" s="2">
        <v>13170</v>
      </c>
      <c r="M1994" s="2">
        <v>1200</v>
      </c>
      <c r="N1994" s="2">
        <v>250.03089066420335</v>
      </c>
      <c r="O1994" s="2">
        <v>2504.2537669503613</v>
      </c>
      <c r="P1994" s="2">
        <v>1017.9515609517694</v>
      </c>
      <c r="Q1994" s="2">
        <v>246.43555390271723</v>
      </c>
      <c r="R1994" s="2">
        <v>2456.0614469711377</v>
      </c>
      <c r="S1994" s="2">
        <v>1006.0567854642596</v>
      </c>
      <c r="T1994" s="2">
        <v>-3.5953367614861236</v>
      </c>
      <c r="U1994" s="2">
        <v>-48.192319979223612</v>
      </c>
      <c r="V1994" s="2">
        <v>-11.894775487509719</v>
      </c>
    </row>
    <row r="1995" spans="1:22" ht="15">
      <c r="A1995" s="2">
        <v>1994</v>
      </c>
      <c r="B1995" s="2" t="s">
        <v>78</v>
      </c>
      <c r="C1995" s="2" t="s">
        <v>81</v>
      </c>
      <c r="D1995" s="2">
        <v>1027.8348766849376</v>
      </c>
      <c r="E1995" s="2">
        <v>1178.60483082477</v>
      </c>
      <c r="F1995" s="2">
        <v>725.06017396226525</v>
      </c>
      <c r="G1995" s="2">
        <v>286.5573304425925</v>
      </c>
      <c r="H1995" s="2">
        <v>21.153531555552036</v>
      </c>
      <c r="I1995" s="2">
        <v>0.81961000208277257</v>
      </c>
      <c r="J1995" s="2">
        <v>7</v>
      </c>
      <c r="K1995" s="2">
        <v>179.15051480460727</v>
      </c>
      <c r="L1995" s="2">
        <v>9765</v>
      </c>
      <c r="M1995" s="2">
        <v>1195</v>
      </c>
      <c r="N1995" s="2">
        <v>250.02076770904245</v>
      </c>
      <c r="O1995" s="2">
        <v>2497.1015984150977</v>
      </c>
      <c r="P1995" s="2">
        <v>1027.8348766849376</v>
      </c>
      <c r="Q1995" s="2">
        <v>251.23484004484297</v>
      </c>
      <c r="R1995" s="2">
        <v>2487.5567504543419</v>
      </c>
      <c r="S1995" s="2">
        <v>1019.248264452197</v>
      </c>
      <c r="T1995" s="2">
        <v>1.2140723358005232</v>
      </c>
      <c r="U1995" s="2">
        <v>-9.5448479607557601</v>
      </c>
      <c r="V1995" s="2">
        <v>-8.5866122327406629</v>
      </c>
    </row>
    <row r="1996" spans="1:22" ht="15">
      <c r="A1996" s="2">
        <v>1995</v>
      </c>
      <c r="B1996" s="2" t="s">
        <v>79</v>
      </c>
      <c r="C1996" s="2" t="s">
        <v>81</v>
      </c>
      <c r="D1996" s="2">
        <v>1049.1893495200202</v>
      </c>
      <c r="E1996" s="2">
        <v>1195.4866992891766</v>
      </c>
      <c r="F1996" s="2">
        <v>412.5098455697298</v>
      </c>
      <c r="G1996" s="2">
        <v>139.45258977590129</v>
      </c>
      <c r="H1996" s="2">
        <v>19.529207826592028</v>
      </c>
      <c r="I1996" s="2">
        <v>0.84043517022160819</v>
      </c>
      <c r="J1996" s="2">
        <v>7</v>
      </c>
      <c r="K1996" s="2">
        <v>178.34117145413185</v>
      </c>
      <c r="L1996" s="2">
        <v>12240</v>
      </c>
      <c r="M1996" s="2">
        <v>1200</v>
      </c>
      <c r="N1996" s="2">
        <v>250.03528370615487</v>
      </c>
      <c r="O1996" s="2">
        <v>2504.972250902536</v>
      </c>
      <c r="P1996" s="2">
        <v>1049.1893495200202</v>
      </c>
      <c r="Q1996" s="2">
        <v>250.93207257711003</v>
      </c>
      <c r="R1996" s="2">
        <v>2494.7560129646299</v>
      </c>
      <c r="S1996" s="2">
        <v>1046.7976140426779</v>
      </c>
      <c r="T1996" s="2">
        <v>0.89678887095516302</v>
      </c>
      <c r="U1996" s="2">
        <v>-10.216237937906044</v>
      </c>
      <c r="V1996" s="2">
        <v>-2.3917354773423085</v>
      </c>
    </row>
    <row r="1997" spans="1:22" ht="15">
      <c r="A1997" s="2">
        <v>1996</v>
      </c>
      <c r="B1997" s="2" t="s">
        <v>79</v>
      </c>
      <c r="C1997" s="2" t="s">
        <v>81</v>
      </c>
      <c r="D1997" s="2">
        <v>1045.3820387250744</v>
      </c>
      <c r="E1997" s="2">
        <v>1134.8158848937601</v>
      </c>
      <c r="F1997" s="2">
        <v>697.22890360280871</v>
      </c>
      <c r="G1997" s="2">
        <v>133.24790894519538</v>
      </c>
      <c r="H1997" s="2">
        <v>11.049551520030946</v>
      </c>
      <c r="I1997" s="2">
        <v>0.85980073835700754</v>
      </c>
      <c r="J1997" s="2">
        <v>7</v>
      </c>
      <c r="K1997" s="2">
        <v>173.69174575473548</v>
      </c>
      <c r="L1997" s="2">
        <v>10880</v>
      </c>
      <c r="M1997" s="2">
        <v>1195</v>
      </c>
      <c r="N1997" s="2">
        <v>249.96037822947301</v>
      </c>
      <c r="O1997" s="2">
        <v>2495.7976936759715</v>
      </c>
      <c r="P1997" s="2">
        <v>1045.3820387250744</v>
      </c>
      <c r="Q1997" s="2">
        <v>250.27254056665222</v>
      </c>
      <c r="R1997" s="2">
        <v>2487.7667942664875</v>
      </c>
      <c r="S1997" s="2">
        <v>1044.7815477585686</v>
      </c>
      <c r="T1997" s="2">
        <v>0.31216233717921682</v>
      </c>
      <c r="U1997" s="2">
        <v>-8.0308994094839363</v>
      </c>
      <c r="V1997" s="2">
        <v>-0.60049096650573119</v>
      </c>
    </row>
    <row r="1998" spans="1:22" ht="15">
      <c r="A1998" s="2">
        <v>1997</v>
      </c>
      <c r="B1998" s="2" t="s">
        <v>79</v>
      </c>
      <c r="C1998" s="2" t="s">
        <v>81</v>
      </c>
      <c r="D1998" s="2">
        <v>1009.059222927317</v>
      </c>
      <c r="E1998" s="2">
        <v>983.29758261097595</v>
      </c>
      <c r="F1998" s="2">
        <v>603.62444128841162</v>
      </c>
      <c r="G1998" s="2">
        <v>278.47673905314878</v>
      </c>
      <c r="H1998" s="2">
        <v>12.671870339661837</v>
      </c>
      <c r="I1998" s="2">
        <v>0.79054288506740711</v>
      </c>
      <c r="J1998" s="2">
        <v>7</v>
      </c>
      <c r="K1998" s="2">
        <v>182.34471561748856</v>
      </c>
      <c r="L1998" s="2">
        <v>11465</v>
      </c>
      <c r="M1998" s="2">
        <v>1195</v>
      </c>
      <c r="N1998" s="2">
        <v>250.0119843994425</v>
      </c>
      <c r="O1998" s="2">
        <v>2495.2186140319041</v>
      </c>
      <c r="P1998" s="2">
        <v>1009.059222927317</v>
      </c>
      <c r="Q1998" s="2">
        <v>252.44093796987775</v>
      </c>
      <c r="R1998" s="2">
        <v>2504.3725327720122</v>
      </c>
      <c r="S1998" s="2">
        <v>1005.9430441483635</v>
      </c>
      <c r="T1998" s="2">
        <v>2.4289535704352545</v>
      </c>
      <c r="U1998" s="2">
        <v>9.1539187401081108</v>
      </c>
      <c r="V1998" s="2">
        <v>-3.1161787789535538</v>
      </c>
    </row>
    <row r="1999" spans="1:22" ht="15">
      <c r="A1999" s="2">
        <v>1998</v>
      </c>
      <c r="B1999" s="2" t="s">
        <v>80</v>
      </c>
      <c r="C1999" s="2" t="s">
        <v>81</v>
      </c>
      <c r="D1999" s="2">
        <v>1079.1736023616977</v>
      </c>
      <c r="E1999" s="2">
        <v>712.15230345260352</v>
      </c>
      <c r="F1999" s="2">
        <v>636.98377059772611</v>
      </c>
      <c r="G1999" s="2">
        <v>176.98835574090481</v>
      </c>
      <c r="H1999" s="2">
        <v>16.963382805231959</v>
      </c>
      <c r="I1999" s="2">
        <v>0.84713709949981419</v>
      </c>
      <c r="J1999" s="2">
        <v>7</v>
      </c>
      <c r="K1999" s="2">
        <v>181.98666729537604</v>
      </c>
      <c r="L1999" s="2">
        <v>14015</v>
      </c>
      <c r="M1999" s="2">
        <v>1200</v>
      </c>
      <c r="N1999" s="2">
        <v>250.03349104876727</v>
      </c>
      <c r="O1999" s="2">
        <v>2503.6838755307008</v>
      </c>
      <c r="P1999" s="2">
        <v>1079.1736023616977</v>
      </c>
      <c r="Q1999" s="2">
        <v>248.56086549187984</v>
      </c>
      <c r="R1999" s="2">
        <v>2446.9096897482596</v>
      </c>
      <c r="S1999" s="2">
        <v>1089.8918657575825</v>
      </c>
      <c r="T1999" s="2">
        <v>-1.4726255568874365</v>
      </c>
      <c r="U1999" s="2">
        <v>-56.774185782441236</v>
      </c>
      <c r="V1999" s="2">
        <v>10.718263395884833</v>
      </c>
    </row>
    <row r="2000" spans="1:22" ht="15">
      <c r="A2000" s="2">
        <v>1999</v>
      </c>
      <c r="B2000" s="2" t="s">
        <v>80</v>
      </c>
      <c r="C2000" s="2" t="s">
        <v>81</v>
      </c>
      <c r="D2000" s="2">
        <v>975.14472512993962</v>
      </c>
      <c r="E2000" s="2">
        <v>639.03080421732739</v>
      </c>
      <c r="F2000" s="2">
        <v>597.89786413311958</v>
      </c>
      <c r="G2000" s="2">
        <v>259.20210625743493</v>
      </c>
      <c r="H2000" s="2">
        <v>25.154293208383024</v>
      </c>
      <c r="I2000" s="2">
        <v>0.85712420640280473</v>
      </c>
      <c r="J2000" s="2">
        <v>6</v>
      </c>
      <c r="K2000" s="2">
        <v>189.61560021396932</v>
      </c>
      <c r="L2000" s="2">
        <v>16675</v>
      </c>
      <c r="M2000" s="2">
        <v>1200</v>
      </c>
      <c r="N2000" s="2">
        <v>249.97929111209905</v>
      </c>
      <c r="O2000" s="2">
        <v>2502.2650941129832</v>
      </c>
      <c r="P2000" s="2">
        <v>975.14472512993962</v>
      </c>
      <c r="Q2000" s="2">
        <v>250.7910126918525</v>
      </c>
      <c r="R2000" s="2">
        <v>2464.5943586810813</v>
      </c>
      <c r="S2000" s="2">
        <v>971.0957699833599</v>
      </c>
      <c r="T2000" s="2">
        <v>0.81172157975345272</v>
      </c>
      <c r="U2000" s="2">
        <v>-37.670735431901903</v>
      </c>
      <c r="V2000" s="2">
        <v>-4.0489551465797149</v>
      </c>
    </row>
    <row r="2001" spans="1:22" ht="15">
      <c r="A2001" s="2">
        <v>2000</v>
      </c>
      <c r="B2001" s="2" t="s">
        <v>80</v>
      </c>
      <c r="C2001" s="2" t="s">
        <v>81</v>
      </c>
      <c r="D2001" s="2">
        <v>1088.3319377782755</v>
      </c>
      <c r="E2001" s="2">
        <v>1051.2758461758494</v>
      </c>
      <c r="F2001" s="2">
        <v>707.72310039028525</v>
      </c>
      <c r="G2001" s="2">
        <v>291.31520543713123</v>
      </c>
      <c r="H2001" s="2">
        <v>8.1185565977357328</v>
      </c>
      <c r="I2001" s="2">
        <v>0.80786381377838556</v>
      </c>
      <c r="J2001" s="2">
        <v>7</v>
      </c>
      <c r="K2001" s="2">
        <v>192.45321854932422</v>
      </c>
      <c r="L2001" s="2">
        <v>10430</v>
      </c>
      <c r="M2001" s="2">
        <v>1195</v>
      </c>
      <c r="N2001" s="2">
        <v>249.98827064250551</v>
      </c>
      <c r="O2001" s="2">
        <v>2496.2905583718843</v>
      </c>
      <c r="P2001" s="2">
        <v>1088.3319377782755</v>
      </c>
      <c r="Q2001" s="2">
        <v>254.13552571859213</v>
      </c>
      <c r="R2001" s="2">
        <v>2523.1385743689866</v>
      </c>
      <c r="S2001" s="2">
        <v>1087.8493929444812</v>
      </c>
      <c r="T2001" s="2">
        <v>4.1472550760866227</v>
      </c>
      <c r="U2001" s="2">
        <v>26.848015997102266</v>
      </c>
      <c r="V2001" s="2">
        <v>-0.48254483379423618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01"/>
  <sheetViews>
    <sheetView showGridLines="0" topLeftCell="C1" zoomScale="125" workbookViewId="0">
      <selection activeCell="F1" sqref="F1"/>
    </sheetView>
  </sheetViews>
  <sheetFormatPr baseColWidth="10" defaultColWidth="8.83203125" defaultRowHeight="14"/>
  <cols>
    <col min="1" max="17" width="15" customWidth="1"/>
  </cols>
  <sheetData>
    <row r="1" spans="1:17" ht="1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</row>
    <row r="2" spans="1:17" ht="15">
      <c r="A2" s="2" t="s">
        <v>13</v>
      </c>
      <c r="B2" s="2">
        <v>1404.498256277293</v>
      </c>
      <c r="C2" s="2">
        <v>796.90734700998291</v>
      </c>
      <c r="D2" s="2">
        <v>383.98521486669779</v>
      </c>
      <c r="E2" s="2">
        <v>163.87698704609647</v>
      </c>
      <c r="F2" s="2">
        <v>21.27743093110621</v>
      </c>
      <c r="G2" s="2">
        <v>0.83745393852936112</v>
      </c>
      <c r="H2" s="2">
        <v>55</v>
      </c>
      <c r="I2" s="2">
        <v>25</v>
      </c>
      <c r="J2" s="2">
        <f>(IF(A2='Hybrid Calculator'!$B$6,0,1))^2+((B2-'Hybrid Calculator'!$B$7)/1500)^2+((C2-'Hybrid Calculator'!$B$8)/1300)^2+((D2-'Hybrid Calculator'!$B$9)/800)^2+((E2-'Hybrid Calculator'!$B$10)/350)^2+((F2-'Hybrid Calculator'!$B$11)/30)^2+(G2-'Hybrid Calculator'!$B$12)^2+((H2-'Hybrid Calculator'!$E$14)/IF(A2="Lightning",100,30000))^2+((I2-'Hybrid Calculator'!$E$17)/IF(A2="Lightning",100,30000))^2</f>
        <v>3.5833009693620493E-2</v>
      </c>
      <c r="K2" s="2">
        <f t="shared" ref="K2:K65" si="0">RANK(J2,$J$2:$J$1401,1)</f>
        <v>29</v>
      </c>
      <c r="L2" s="2">
        <f t="shared" ref="L2:L65" si="1">IF(K2&lt;=7,1,0)</f>
        <v>0</v>
      </c>
      <c r="M2" s="2">
        <f t="shared" ref="M2:M65" si="2">IF(L2=1,1/(J2+0.000001),0)</f>
        <v>0</v>
      </c>
      <c r="N2" s="2">
        <v>-1.9879298977119486E-2</v>
      </c>
      <c r="O2" s="2">
        <f t="shared" ref="O2:O65" si="3">M2</f>
        <v>0</v>
      </c>
      <c r="P2" s="2">
        <v>-0.33269164039423771</v>
      </c>
      <c r="Q2" s="2">
        <v>9.2948708595349672</v>
      </c>
    </row>
    <row r="3" spans="1:17" ht="15">
      <c r="A3" s="2" t="s">
        <v>13</v>
      </c>
      <c r="B3" s="2">
        <v>1465.010655450169</v>
      </c>
      <c r="C3" s="2">
        <v>802.25135006476194</v>
      </c>
      <c r="D3" s="2">
        <v>369.63737243786454</v>
      </c>
      <c r="E3" s="2">
        <v>199.86520350910723</v>
      </c>
      <c r="F3" s="2">
        <v>24.446143113542348</v>
      </c>
      <c r="G3" s="2">
        <v>0.80132588698063045</v>
      </c>
      <c r="H3" s="2">
        <v>50</v>
      </c>
      <c r="I3" s="2">
        <v>25</v>
      </c>
      <c r="J3" s="2">
        <f>(IF(A3='Hybrid Calculator'!$B$6,0,1))^2+((B3-'Hybrid Calculator'!$B$7)/1500)^2+((C3-'Hybrid Calculator'!$B$8)/1300)^2+((D3-'Hybrid Calculator'!$B$9)/800)^2+((E3-'Hybrid Calculator'!$B$10)/350)^2+((F3-'Hybrid Calculator'!$B$11)/30)^2+(G3-'Hybrid Calculator'!$B$12)^2+((H3-'Hybrid Calculator'!$E$14)/IF(A3="Lightning",100,30000))^2+((I3-'Hybrid Calculator'!$E$17)/IF(A3="Lightning",100,30000))^2</f>
        <v>8.8546463222267877E-2</v>
      </c>
      <c r="K3" s="2">
        <f t="shared" si="0"/>
        <v>168</v>
      </c>
      <c r="L3" s="2">
        <f t="shared" si="1"/>
        <v>0</v>
      </c>
      <c r="M3" s="2">
        <f t="shared" si="2"/>
        <v>0</v>
      </c>
      <c r="N3" s="2">
        <v>-5.6495700385572611E-3</v>
      </c>
      <c r="O3" s="2">
        <f t="shared" si="3"/>
        <v>0</v>
      </c>
      <c r="P3" s="2">
        <v>-0.1317489035411441</v>
      </c>
      <c r="Q3" s="2">
        <v>8.630547441212002</v>
      </c>
    </row>
    <row r="4" spans="1:17" ht="15">
      <c r="A4" s="2" t="s">
        <v>13</v>
      </c>
      <c r="B4" s="2">
        <v>1392.5916019594297</v>
      </c>
      <c r="C4" s="2">
        <v>693.86743434006348</v>
      </c>
      <c r="D4" s="2">
        <v>623.59327785670757</v>
      </c>
      <c r="E4" s="2">
        <v>170.7822658191435</v>
      </c>
      <c r="F4" s="2">
        <v>22.082605068571866</v>
      </c>
      <c r="G4" s="2">
        <v>0.81353037268621853</v>
      </c>
      <c r="H4" s="2">
        <v>50</v>
      </c>
      <c r="I4" s="2">
        <v>25</v>
      </c>
      <c r="J4" s="2">
        <f>(IF(A4='Hybrid Calculator'!$B$6,0,1))^2+((B4-'Hybrid Calculator'!$B$7)/1500)^2+((C4-'Hybrid Calculator'!$B$8)/1300)^2+((D4-'Hybrid Calculator'!$B$9)/800)^2+((E4-'Hybrid Calculator'!$B$10)/350)^2+((F4-'Hybrid Calculator'!$B$11)/30)^2+(G4-'Hybrid Calculator'!$B$12)^2+((H4-'Hybrid Calculator'!$E$14)/IF(A4="Lightning",100,30000))^2+((I4-'Hybrid Calculator'!$E$17)/IF(A4="Lightning",100,30000))^2</f>
        <v>5.658770771312522E-2</v>
      </c>
      <c r="K4" s="2">
        <f t="shared" si="0"/>
        <v>76</v>
      </c>
      <c r="L4" s="2">
        <f t="shared" si="1"/>
        <v>0</v>
      </c>
      <c r="M4" s="2">
        <f t="shared" si="2"/>
        <v>0</v>
      </c>
      <c r="N4" s="2">
        <v>-1.1242617676292754E-2</v>
      </c>
      <c r="O4" s="2">
        <f t="shared" si="3"/>
        <v>0</v>
      </c>
      <c r="P4" s="2">
        <v>-1.4765274914553714</v>
      </c>
      <c r="Q4" s="2">
        <v>-5.3937075444798666</v>
      </c>
    </row>
    <row r="5" spans="1:17" ht="15">
      <c r="A5" s="2" t="s">
        <v>13</v>
      </c>
      <c r="B5" s="2">
        <v>1401.121345104184</v>
      </c>
      <c r="C5" s="2">
        <v>783.60219714231789</v>
      </c>
      <c r="D5" s="2">
        <v>411.93384556099772</v>
      </c>
      <c r="E5" s="2">
        <v>160.44350554700941</v>
      </c>
      <c r="F5" s="2">
        <v>11.087711356114596</v>
      </c>
      <c r="G5" s="2">
        <v>0.80253169288858772</v>
      </c>
      <c r="H5" s="2">
        <v>55</v>
      </c>
      <c r="I5" s="2">
        <v>25</v>
      </c>
      <c r="J5" s="2">
        <f>(IF(A5='Hybrid Calculator'!$B$6,0,1))^2+((B5-'Hybrid Calculator'!$B$7)/1500)^2+((C5-'Hybrid Calculator'!$B$8)/1300)^2+((D5-'Hybrid Calculator'!$B$9)/800)^2+((E5-'Hybrid Calculator'!$B$10)/350)^2+((F5-'Hybrid Calculator'!$B$11)/30)^2+(G5-'Hybrid Calculator'!$B$12)^2+((H5-'Hybrid Calculator'!$E$14)/IF(A5="Lightning",100,30000))^2+((I5-'Hybrid Calculator'!$E$17)/IF(A5="Lightning",100,30000))^2</f>
        <v>7.9722471780165227E-2</v>
      </c>
      <c r="K5" s="2">
        <f t="shared" si="0"/>
        <v>139</v>
      </c>
      <c r="L5" s="2">
        <f t="shared" si="1"/>
        <v>0</v>
      </c>
      <c r="M5" s="2">
        <f t="shared" si="2"/>
        <v>0</v>
      </c>
      <c r="N5" s="2">
        <v>-1.107765701664043E-3</v>
      </c>
      <c r="O5" s="2">
        <f t="shared" si="3"/>
        <v>0</v>
      </c>
      <c r="P5" s="2">
        <v>0.50508124202094962</v>
      </c>
      <c r="Q5" s="2">
        <v>15.729061785508293</v>
      </c>
    </row>
    <row r="6" spans="1:17" ht="15">
      <c r="A6" s="2" t="s">
        <v>13</v>
      </c>
      <c r="B6" s="2">
        <v>1358.607933903113</v>
      </c>
      <c r="C6" s="2">
        <v>628.55785879073665</v>
      </c>
      <c r="D6" s="2">
        <v>518.21405123919249</v>
      </c>
      <c r="E6" s="2">
        <v>197.54131625639275</v>
      </c>
      <c r="F6" s="2">
        <v>9.624362550675869</v>
      </c>
      <c r="G6" s="2">
        <v>0.85130777912447231</v>
      </c>
      <c r="H6" s="2">
        <v>65</v>
      </c>
      <c r="I6" s="2">
        <v>25</v>
      </c>
      <c r="J6" s="2">
        <f>(IF(A6='Hybrid Calculator'!$B$6,0,1))^2+((B6-'Hybrid Calculator'!$B$7)/1500)^2+((C6-'Hybrid Calculator'!$B$8)/1300)^2+((D6-'Hybrid Calculator'!$B$9)/800)^2+((E6-'Hybrid Calculator'!$B$10)/350)^2+((F6-'Hybrid Calculator'!$B$11)/30)^2+(G6-'Hybrid Calculator'!$B$12)^2+((H6-'Hybrid Calculator'!$E$14)/IF(A6="Lightning",100,30000))^2+((I6-'Hybrid Calculator'!$E$17)/IF(A6="Lightning",100,30000))^2</f>
        <v>0.16095371708127892</v>
      </c>
      <c r="K6" s="2">
        <f t="shared" si="0"/>
        <v>356</v>
      </c>
      <c r="L6" s="2">
        <f t="shared" si="1"/>
        <v>0</v>
      </c>
      <c r="M6" s="2">
        <f t="shared" si="2"/>
        <v>0</v>
      </c>
      <c r="N6" s="2">
        <v>6.1801863957744452E-4</v>
      </c>
      <c r="O6" s="2">
        <f t="shared" si="3"/>
        <v>0</v>
      </c>
      <c r="P6" s="2">
        <v>-1.2518621829899246</v>
      </c>
      <c r="Q6" s="2">
        <v>14.637008072209483</v>
      </c>
    </row>
    <row r="7" spans="1:17" ht="15">
      <c r="A7" s="2" t="s">
        <v>13</v>
      </c>
      <c r="B7" s="2">
        <v>1433.5840596933849</v>
      </c>
      <c r="C7" s="2">
        <v>1000.2757522976026</v>
      </c>
      <c r="D7" s="2">
        <v>534.63836880400777</v>
      </c>
      <c r="E7" s="2">
        <v>127.03792510554194</v>
      </c>
      <c r="F7" s="2">
        <v>17.794689996633679</v>
      </c>
      <c r="G7" s="2">
        <v>0.83950954297091818</v>
      </c>
      <c r="H7" s="2">
        <v>45</v>
      </c>
      <c r="I7" s="2">
        <v>25</v>
      </c>
      <c r="J7" s="2">
        <f>(IF(A7='Hybrid Calculator'!$B$6,0,1))^2+((B7-'Hybrid Calculator'!$B$7)/1500)^2+((C7-'Hybrid Calculator'!$B$8)/1300)^2+((D7-'Hybrid Calculator'!$B$9)/800)^2+((E7-'Hybrid Calculator'!$B$10)/350)^2+((F7-'Hybrid Calculator'!$B$11)/30)^2+(G7-'Hybrid Calculator'!$B$12)^2+((H7-'Hybrid Calculator'!$E$14)/IF(A7="Lightning",100,30000))^2+((I7-'Hybrid Calculator'!$E$17)/IF(A7="Lightning",100,30000))^2</f>
        <v>2.300756323939418E-2</v>
      </c>
      <c r="K7" s="2">
        <f t="shared" si="0"/>
        <v>12</v>
      </c>
      <c r="L7" s="2">
        <f t="shared" si="1"/>
        <v>0</v>
      </c>
      <c r="M7" s="2">
        <f t="shared" si="2"/>
        <v>0</v>
      </c>
      <c r="N7" s="2">
        <v>-6.8122159352370648E-3</v>
      </c>
      <c r="O7" s="2">
        <f t="shared" si="3"/>
        <v>0</v>
      </c>
      <c r="P7" s="2">
        <v>1.0428270137126532</v>
      </c>
      <c r="Q7" s="2">
        <v>-3.7750166078792518</v>
      </c>
    </row>
    <row r="8" spans="1:17" ht="15">
      <c r="A8" s="2" t="s">
        <v>13</v>
      </c>
      <c r="B8" s="2">
        <v>1492.9545208113268</v>
      </c>
      <c r="C8" s="2">
        <v>1073.0425685760565</v>
      </c>
      <c r="D8" s="2">
        <v>463.78661096096039</v>
      </c>
      <c r="E8" s="2">
        <v>300.64811357995495</v>
      </c>
      <c r="F8" s="2">
        <v>17.704082760028541</v>
      </c>
      <c r="G8" s="2">
        <v>0.81402155607705939</v>
      </c>
      <c r="H8" s="2">
        <v>35</v>
      </c>
      <c r="I8" s="2">
        <v>25</v>
      </c>
      <c r="J8" s="2">
        <f>(IF(A8='Hybrid Calculator'!$B$6,0,1))^2+((B8-'Hybrid Calculator'!$B$7)/1500)^2+((C8-'Hybrid Calculator'!$B$8)/1300)^2+((D8-'Hybrid Calculator'!$B$9)/800)^2+((E8-'Hybrid Calculator'!$B$10)/350)^2+((F8-'Hybrid Calculator'!$B$11)/30)^2+(G8-'Hybrid Calculator'!$B$12)^2+((H8-'Hybrid Calculator'!$E$14)/IF(A8="Lightning",100,30000))^2+((I8-'Hybrid Calculator'!$E$17)/IF(A8="Lightning",100,30000))^2</f>
        <v>0.24204184790595143</v>
      </c>
      <c r="K8" s="2">
        <f t="shared" si="0"/>
        <v>523</v>
      </c>
      <c r="L8" s="2">
        <f t="shared" si="1"/>
        <v>0</v>
      </c>
      <c r="M8" s="2">
        <f t="shared" si="2"/>
        <v>0</v>
      </c>
      <c r="N8" s="2">
        <v>-2.9239085277492638E-3</v>
      </c>
      <c r="O8" s="2">
        <f t="shared" si="3"/>
        <v>0</v>
      </c>
      <c r="P8" s="2">
        <v>1.3800221610160222</v>
      </c>
      <c r="Q8" s="2">
        <v>-2.8294298642772446</v>
      </c>
    </row>
    <row r="9" spans="1:17" ht="15">
      <c r="A9" s="2" t="s">
        <v>13</v>
      </c>
      <c r="B9" s="2">
        <v>1443.9684216747992</v>
      </c>
      <c r="C9" s="2">
        <v>697.49324442818761</v>
      </c>
      <c r="D9" s="2">
        <v>624.53908389434218</v>
      </c>
      <c r="E9" s="2">
        <v>119.40401191357523</v>
      </c>
      <c r="F9" s="2">
        <v>9.9313744581304491</v>
      </c>
      <c r="G9" s="2">
        <v>0.82265632041729986</v>
      </c>
      <c r="H9" s="2">
        <v>55</v>
      </c>
      <c r="I9" s="2">
        <v>25</v>
      </c>
      <c r="J9" s="2">
        <f>(IF(A9='Hybrid Calculator'!$B$6,0,1))^2+((B9-'Hybrid Calculator'!$B$7)/1500)^2+((C9-'Hybrid Calculator'!$B$8)/1300)^2+((D9-'Hybrid Calculator'!$B$9)/800)^2+((E9-'Hybrid Calculator'!$B$10)/350)^2+((F9-'Hybrid Calculator'!$B$11)/30)^2+(G9-'Hybrid Calculator'!$B$12)^2+((H9-'Hybrid Calculator'!$E$14)/IF(A9="Lightning",100,30000))^2+((I9-'Hybrid Calculator'!$E$17)/IF(A9="Lightning",100,30000))^2</f>
        <v>0.12988465226094284</v>
      </c>
      <c r="K9" s="2">
        <f t="shared" si="0"/>
        <v>275</v>
      </c>
      <c r="L9" s="2">
        <f t="shared" si="1"/>
        <v>0</v>
      </c>
      <c r="M9" s="2">
        <f t="shared" si="2"/>
        <v>0</v>
      </c>
      <c r="N9" s="2">
        <v>3.1365261270068778E-3</v>
      </c>
      <c r="O9" s="2">
        <f t="shared" si="3"/>
        <v>0</v>
      </c>
      <c r="P9" s="2">
        <v>-1.2968388348099467</v>
      </c>
      <c r="Q9" s="2">
        <v>6.2180632805618643</v>
      </c>
    </row>
    <row r="10" spans="1:17" ht="15">
      <c r="A10" s="2" t="s">
        <v>13</v>
      </c>
      <c r="B10" s="2">
        <v>1408.1499399617314</v>
      </c>
      <c r="C10" s="2">
        <v>878.30832008039579</v>
      </c>
      <c r="D10" s="2">
        <v>479.18523270636797</v>
      </c>
      <c r="E10" s="2">
        <v>169.9360976764001</v>
      </c>
      <c r="F10" s="2">
        <v>24.89615867100656</v>
      </c>
      <c r="G10" s="2">
        <v>0.82088066735537724</v>
      </c>
      <c r="H10" s="2">
        <v>45</v>
      </c>
      <c r="I10" s="2">
        <v>25</v>
      </c>
      <c r="J10" s="2">
        <f>(IF(A10='Hybrid Calculator'!$B$6,0,1))^2+((B10-'Hybrid Calculator'!$B$7)/1500)^2+((C10-'Hybrid Calculator'!$B$8)/1300)^2+((D10-'Hybrid Calculator'!$B$9)/800)^2+((E10-'Hybrid Calculator'!$B$10)/350)^2+((F10-'Hybrid Calculator'!$B$11)/30)^2+(G10-'Hybrid Calculator'!$B$12)^2+((H10-'Hybrid Calculator'!$E$14)/IF(A10="Lightning",100,30000))^2+((I10-'Hybrid Calculator'!$E$17)/IF(A10="Lightning",100,30000))^2</f>
        <v>5.2479071229157535E-2</v>
      </c>
      <c r="K10" s="2">
        <f t="shared" si="0"/>
        <v>59</v>
      </c>
      <c r="L10" s="2">
        <f t="shared" si="1"/>
        <v>0</v>
      </c>
      <c r="M10" s="2">
        <f t="shared" si="2"/>
        <v>0</v>
      </c>
      <c r="N10" s="2">
        <v>-8.949552393103799E-3</v>
      </c>
      <c r="O10" s="2">
        <f t="shared" si="3"/>
        <v>0</v>
      </c>
      <c r="P10" s="2">
        <v>-1.1186748529994404</v>
      </c>
      <c r="Q10" s="2">
        <v>-5.0779964366884087</v>
      </c>
    </row>
    <row r="11" spans="1:17" ht="15">
      <c r="A11" s="2" t="s">
        <v>13</v>
      </c>
      <c r="B11" s="2">
        <v>1364.8114964948036</v>
      </c>
      <c r="C11" s="2">
        <v>1213.6572383577004</v>
      </c>
      <c r="D11" s="2">
        <v>514.99786684289575</v>
      </c>
      <c r="E11" s="2">
        <v>310.4586626123637</v>
      </c>
      <c r="F11" s="2">
        <v>9.2673617345280945</v>
      </c>
      <c r="G11" s="2">
        <v>0.79790573884267368</v>
      </c>
      <c r="H11" s="2">
        <v>35</v>
      </c>
      <c r="I11" s="2">
        <v>25</v>
      </c>
      <c r="J11" s="2">
        <f>(IF(A11='Hybrid Calculator'!$B$6,0,1))^2+((B11-'Hybrid Calculator'!$B$7)/1500)^2+((C11-'Hybrid Calculator'!$B$8)/1300)^2+((D11-'Hybrid Calculator'!$B$9)/800)^2+((E11-'Hybrid Calculator'!$B$10)/350)^2+((F11-'Hybrid Calculator'!$B$11)/30)^2+(G11-'Hybrid Calculator'!$B$12)^2+((H11-'Hybrid Calculator'!$E$14)/IF(A11="Lightning",100,30000))^2+((I11-'Hybrid Calculator'!$E$17)/IF(A11="Lightning",100,30000))^2</f>
        <v>0.40809445404460887</v>
      </c>
      <c r="K11" s="2">
        <f t="shared" si="0"/>
        <v>689</v>
      </c>
      <c r="L11" s="2">
        <f t="shared" si="1"/>
        <v>0</v>
      </c>
      <c r="M11" s="2">
        <f t="shared" si="2"/>
        <v>0</v>
      </c>
      <c r="N11" s="2">
        <v>9.3922335482414798E-3</v>
      </c>
      <c r="O11" s="2">
        <f t="shared" si="3"/>
        <v>0</v>
      </c>
      <c r="P11" s="2">
        <v>0.56644570220315416</v>
      </c>
      <c r="Q11" s="2">
        <v>-3.5845701097125584</v>
      </c>
    </row>
    <row r="12" spans="1:17" ht="15">
      <c r="A12" s="2" t="s">
        <v>13</v>
      </c>
      <c r="B12" s="2">
        <v>1481.31246145349</v>
      </c>
      <c r="C12" s="2">
        <v>1078.0146206379868</v>
      </c>
      <c r="D12" s="2">
        <v>651.45330913364887</v>
      </c>
      <c r="E12" s="2">
        <v>244.8830475169234</v>
      </c>
      <c r="F12" s="2">
        <v>9.2042888114228845</v>
      </c>
      <c r="G12" s="2">
        <v>0.79008695616154001</v>
      </c>
      <c r="H12" s="2">
        <v>35</v>
      </c>
      <c r="I12" s="2">
        <v>25</v>
      </c>
      <c r="J12" s="2">
        <f>(IF(A12='Hybrid Calculator'!$B$6,0,1))^2+((B12-'Hybrid Calculator'!$B$7)/1500)^2+((C12-'Hybrid Calculator'!$B$8)/1300)^2+((D12-'Hybrid Calculator'!$B$9)/800)^2+((E12-'Hybrid Calculator'!$B$10)/350)^2+((F12-'Hybrid Calculator'!$B$11)/30)^2+(G12-'Hybrid Calculator'!$B$12)^2+((H12-'Hybrid Calculator'!$E$14)/IF(A12="Lightning",100,30000))^2+((I12-'Hybrid Calculator'!$E$17)/IF(A12="Lightning",100,30000))^2</f>
        <v>0.26091223259707513</v>
      </c>
      <c r="K12" s="2">
        <f t="shared" si="0"/>
        <v>560</v>
      </c>
      <c r="L12" s="2">
        <f t="shared" si="1"/>
        <v>0</v>
      </c>
      <c r="M12" s="2">
        <f t="shared" si="2"/>
        <v>0</v>
      </c>
      <c r="N12" s="2">
        <v>2.6309074815727085E-2</v>
      </c>
      <c r="O12" s="2">
        <f t="shared" si="3"/>
        <v>0</v>
      </c>
      <c r="P12" s="2">
        <v>1.1289286592635079</v>
      </c>
      <c r="Q12" s="2">
        <v>5.0649532148961498</v>
      </c>
    </row>
    <row r="13" spans="1:17" ht="15">
      <c r="A13" s="2" t="s">
        <v>13</v>
      </c>
      <c r="B13" s="2">
        <v>1440.386587602552</v>
      </c>
      <c r="C13" s="2">
        <v>687.27044663392007</v>
      </c>
      <c r="D13" s="2">
        <v>376.84769732877612</v>
      </c>
      <c r="E13" s="2">
        <v>303.6396063817665</v>
      </c>
      <c r="F13" s="2">
        <v>10.185005072038621</v>
      </c>
      <c r="G13" s="2">
        <v>0.80514873337000614</v>
      </c>
      <c r="H13" s="2">
        <v>55</v>
      </c>
      <c r="I13" s="2">
        <v>25</v>
      </c>
      <c r="J13" s="2">
        <f>(IF(A13='Hybrid Calculator'!$B$6,0,1))^2+((B13-'Hybrid Calculator'!$B$7)/1500)^2+((C13-'Hybrid Calculator'!$B$8)/1300)^2+((D13-'Hybrid Calculator'!$B$9)/800)^2+((E13-'Hybrid Calculator'!$B$10)/350)^2+((F13-'Hybrid Calculator'!$B$11)/30)^2+(G13-'Hybrid Calculator'!$B$12)^2+((H13-'Hybrid Calculator'!$E$14)/IF(A13="Lightning",100,30000))^2+((I13-'Hybrid Calculator'!$E$17)/IF(A13="Lightning",100,30000))^2</f>
        <v>0.31170879232492615</v>
      </c>
      <c r="K13" s="2">
        <f t="shared" si="0"/>
        <v>609</v>
      </c>
      <c r="L13" s="2">
        <f t="shared" si="1"/>
        <v>0</v>
      </c>
      <c r="M13" s="2">
        <f t="shared" si="2"/>
        <v>0</v>
      </c>
      <c r="N13" s="2">
        <v>9.8103659406076904E-3</v>
      </c>
      <c r="O13" s="2">
        <f t="shared" si="3"/>
        <v>0</v>
      </c>
      <c r="P13" s="2">
        <v>0.2102805103937726</v>
      </c>
      <c r="Q13" s="2">
        <v>10.233890076872285</v>
      </c>
    </row>
    <row r="14" spans="1:17" ht="15">
      <c r="A14" s="2" t="s">
        <v>13</v>
      </c>
      <c r="B14" s="2">
        <v>1414.0609995927662</v>
      </c>
      <c r="C14" s="2">
        <v>906.61516179097816</v>
      </c>
      <c r="D14" s="2">
        <v>630.38419093936682</v>
      </c>
      <c r="E14" s="2">
        <v>198.65658668102697</v>
      </c>
      <c r="F14" s="2">
        <v>22.428676206618547</v>
      </c>
      <c r="G14" s="2">
        <v>0.80099737271899363</v>
      </c>
      <c r="H14" s="2">
        <v>40</v>
      </c>
      <c r="I14" s="2">
        <v>25</v>
      </c>
      <c r="J14" s="2">
        <f>(IF(A14='Hybrid Calculator'!$B$6,0,1))^2+((B14-'Hybrid Calculator'!$B$7)/1500)^2+((C14-'Hybrid Calculator'!$B$8)/1300)^2+((D14-'Hybrid Calculator'!$B$9)/800)^2+((E14-'Hybrid Calculator'!$B$10)/350)^2+((F14-'Hybrid Calculator'!$B$11)/30)^2+(G14-'Hybrid Calculator'!$B$12)^2+((H14-'Hybrid Calculator'!$E$14)/IF(A14="Lightning",100,30000))^2+((I14-'Hybrid Calculator'!$E$17)/IF(A14="Lightning",100,30000))^2</f>
        <v>7.534912725204565E-2</v>
      </c>
      <c r="K14" s="2">
        <f t="shared" si="0"/>
        <v>122</v>
      </c>
      <c r="L14" s="2">
        <f t="shared" si="1"/>
        <v>0</v>
      </c>
      <c r="M14" s="2">
        <f t="shared" si="2"/>
        <v>0</v>
      </c>
      <c r="N14" s="2">
        <v>1.1985328613943969E-2</v>
      </c>
      <c r="O14" s="2">
        <f t="shared" si="3"/>
        <v>0</v>
      </c>
      <c r="P14" s="2">
        <v>-0.5970682249510233</v>
      </c>
      <c r="Q14" s="2">
        <v>-12.276347310222718</v>
      </c>
    </row>
    <row r="15" spans="1:17" ht="15">
      <c r="A15" s="2" t="s">
        <v>13</v>
      </c>
      <c r="B15" s="2">
        <v>1396.9164589536376</v>
      </c>
      <c r="C15" s="2">
        <v>835.08333161007613</v>
      </c>
      <c r="D15" s="2">
        <v>525.99535034969449</v>
      </c>
      <c r="E15" s="2">
        <v>301.85500897467136</v>
      </c>
      <c r="F15" s="2">
        <v>9.5690891095437109</v>
      </c>
      <c r="G15" s="2">
        <v>0.85122950478922577</v>
      </c>
      <c r="H15" s="2">
        <v>45</v>
      </c>
      <c r="I15" s="2">
        <v>25</v>
      </c>
      <c r="J15" s="2">
        <f>(IF(A15='Hybrid Calculator'!$B$6,0,1))^2+((B15-'Hybrid Calculator'!$B$7)/1500)^2+((C15-'Hybrid Calculator'!$B$8)/1300)^2+((D15-'Hybrid Calculator'!$B$9)/800)^2+((E15-'Hybrid Calculator'!$B$10)/350)^2+((F15-'Hybrid Calculator'!$B$11)/30)^2+(G15-'Hybrid Calculator'!$B$12)^2+((H15-'Hybrid Calculator'!$E$14)/IF(A15="Lightning",100,30000))^2+((I15-'Hybrid Calculator'!$E$17)/IF(A15="Lightning",100,30000))^2</f>
        <v>0.28188130221607222</v>
      </c>
      <c r="K15" s="2">
        <f t="shared" si="0"/>
        <v>585</v>
      </c>
      <c r="L15" s="2">
        <f t="shared" si="1"/>
        <v>0</v>
      </c>
      <c r="M15" s="2">
        <f t="shared" si="2"/>
        <v>0</v>
      </c>
      <c r="N15" s="2">
        <v>1.5350862595755466E-3</v>
      </c>
      <c r="O15" s="2">
        <f t="shared" si="3"/>
        <v>0</v>
      </c>
      <c r="P15" s="2">
        <v>-0.1010980720636212</v>
      </c>
      <c r="Q15" s="2">
        <v>1.154031721201136</v>
      </c>
    </row>
    <row r="16" spans="1:17" ht="15">
      <c r="A16" s="2" t="s">
        <v>13</v>
      </c>
      <c r="B16" s="2">
        <v>1487.3781942296773</v>
      </c>
      <c r="C16" s="2">
        <v>704.69484812347218</v>
      </c>
      <c r="D16" s="2">
        <v>593.39501839131117</v>
      </c>
      <c r="E16" s="2">
        <v>322.13436647551134</v>
      </c>
      <c r="F16" s="2">
        <v>9.3529686480760574</v>
      </c>
      <c r="G16" s="2">
        <v>0.80060319973388694</v>
      </c>
      <c r="H16" s="2">
        <v>45</v>
      </c>
      <c r="I16" s="2">
        <v>25</v>
      </c>
      <c r="J16" s="2">
        <f>(IF(A16='Hybrid Calculator'!$B$6,0,1))^2+((B16-'Hybrid Calculator'!$B$7)/1500)^2+((C16-'Hybrid Calculator'!$B$8)/1300)^2+((D16-'Hybrid Calculator'!$B$9)/800)^2+((E16-'Hybrid Calculator'!$B$10)/350)^2+((F16-'Hybrid Calculator'!$B$11)/30)^2+(G16-'Hybrid Calculator'!$B$12)^2+((H16-'Hybrid Calculator'!$E$14)/IF(A16="Lightning",100,30000))^2+((I16-'Hybrid Calculator'!$E$17)/IF(A16="Lightning",100,30000))^2</f>
        <v>0.36557210043216909</v>
      </c>
      <c r="K16" s="2">
        <f t="shared" si="0"/>
        <v>663</v>
      </c>
      <c r="L16" s="2">
        <f t="shared" si="1"/>
        <v>0</v>
      </c>
      <c r="M16" s="2">
        <f t="shared" si="2"/>
        <v>0</v>
      </c>
      <c r="N16" s="2">
        <v>1.814869382025841E-2</v>
      </c>
      <c r="O16" s="2">
        <f t="shared" si="3"/>
        <v>0</v>
      </c>
      <c r="P16" s="2">
        <v>-0.3042214278807478</v>
      </c>
      <c r="Q16" s="2">
        <v>0.1393133633666821</v>
      </c>
    </row>
    <row r="17" spans="1:17" ht="15">
      <c r="A17" s="2" t="s">
        <v>13</v>
      </c>
      <c r="B17" s="2">
        <v>1375.9331380133517</v>
      </c>
      <c r="C17" s="2">
        <v>1215.168104111217</v>
      </c>
      <c r="D17" s="2">
        <v>529.65532662346959</v>
      </c>
      <c r="E17" s="2">
        <v>128.10944991186261</v>
      </c>
      <c r="F17" s="2">
        <v>24.819575196597725</v>
      </c>
      <c r="G17" s="2">
        <v>0.79826512982603171</v>
      </c>
      <c r="H17" s="2">
        <v>40</v>
      </c>
      <c r="I17" s="2">
        <v>25</v>
      </c>
      <c r="J17" s="2">
        <f>(IF(A17='Hybrid Calculator'!$B$6,0,1))^2+((B17-'Hybrid Calculator'!$B$7)/1500)^2+((C17-'Hybrid Calculator'!$B$8)/1300)^2+((D17-'Hybrid Calculator'!$B$9)/800)^2+((E17-'Hybrid Calculator'!$B$10)/350)^2+((F17-'Hybrid Calculator'!$B$11)/30)^2+(G17-'Hybrid Calculator'!$B$12)^2+((H17-'Hybrid Calculator'!$E$14)/IF(A17="Lightning",100,30000))^2+((I17-'Hybrid Calculator'!$E$17)/IF(A17="Lightning",100,30000))^2</f>
        <v>0.14010682716649719</v>
      </c>
      <c r="K17" s="2">
        <f t="shared" si="0"/>
        <v>302</v>
      </c>
      <c r="L17" s="2">
        <f t="shared" si="1"/>
        <v>0</v>
      </c>
      <c r="M17" s="2">
        <f t="shared" si="2"/>
        <v>0</v>
      </c>
      <c r="N17" s="2">
        <v>-6.6536990820744712E-3</v>
      </c>
      <c r="O17" s="2">
        <f t="shared" si="3"/>
        <v>0</v>
      </c>
      <c r="P17" s="2">
        <v>0.54945079706478595</v>
      </c>
      <c r="Q17" s="2">
        <v>-18.755149263418389</v>
      </c>
    </row>
    <row r="18" spans="1:17" ht="15">
      <c r="A18" s="2" t="s">
        <v>13</v>
      </c>
      <c r="B18" s="2">
        <v>1363.9028799952939</v>
      </c>
      <c r="C18" s="2">
        <v>715.84890430094674</v>
      </c>
      <c r="D18" s="2">
        <v>350.53890198469162</v>
      </c>
      <c r="E18" s="2">
        <v>273.90828622272238</v>
      </c>
      <c r="F18" s="2">
        <v>29.924484576098621</v>
      </c>
      <c r="G18" s="2">
        <v>0.84053530987119307</v>
      </c>
      <c r="H18" s="2">
        <v>55</v>
      </c>
      <c r="I18" s="2">
        <v>25</v>
      </c>
      <c r="J18" s="2">
        <f>(IF(A18='Hybrid Calculator'!$B$6,0,1))^2+((B18-'Hybrid Calculator'!$B$7)/1500)^2+((C18-'Hybrid Calculator'!$B$8)/1300)^2+((D18-'Hybrid Calculator'!$B$9)/800)^2+((E18-'Hybrid Calculator'!$B$10)/350)^2+((F18-'Hybrid Calculator'!$B$11)/30)^2+(G18-'Hybrid Calculator'!$B$12)^2+((H18-'Hybrid Calculator'!$E$14)/IF(A18="Lightning",100,30000))^2+((I18-'Hybrid Calculator'!$E$17)/IF(A18="Lightning",100,30000))^2</f>
        <v>0.32048737120857235</v>
      </c>
      <c r="K18" s="2">
        <f t="shared" si="0"/>
        <v>625</v>
      </c>
      <c r="L18" s="2">
        <f t="shared" si="1"/>
        <v>0</v>
      </c>
      <c r="M18" s="2">
        <f t="shared" si="2"/>
        <v>0</v>
      </c>
      <c r="N18" s="2">
        <v>-5.6664357313942482E-3</v>
      </c>
      <c r="O18" s="2">
        <f t="shared" si="3"/>
        <v>0</v>
      </c>
      <c r="P18" s="2">
        <v>-0.7102414794685501</v>
      </c>
      <c r="Q18" s="2">
        <v>-1.0125620468604666</v>
      </c>
    </row>
    <row r="19" spans="1:17" ht="15">
      <c r="A19" s="2" t="s">
        <v>13</v>
      </c>
      <c r="B19" s="2">
        <v>1488.5840008850209</v>
      </c>
      <c r="C19" s="2">
        <v>1117.7611201070249</v>
      </c>
      <c r="D19" s="2">
        <v>708.08635568246245</v>
      </c>
      <c r="E19" s="2">
        <v>196.01221247110516</v>
      </c>
      <c r="F19" s="2">
        <v>11.254280438181013</v>
      </c>
      <c r="G19" s="2">
        <v>0.84835409571416676</v>
      </c>
      <c r="H19" s="2">
        <v>35</v>
      </c>
      <c r="I19" s="2">
        <v>25</v>
      </c>
      <c r="J19" s="2">
        <f>(IF(A19='Hybrid Calculator'!$B$6,0,1))^2+((B19-'Hybrid Calculator'!$B$7)/1500)^2+((C19-'Hybrid Calculator'!$B$8)/1300)^2+((D19-'Hybrid Calculator'!$B$9)/800)^2+((E19-'Hybrid Calculator'!$B$10)/350)^2+((F19-'Hybrid Calculator'!$B$11)/30)^2+(G19-'Hybrid Calculator'!$B$12)^2+((H19-'Hybrid Calculator'!$E$14)/IF(A19="Lightning",100,30000))^2+((I19-'Hybrid Calculator'!$E$17)/IF(A19="Lightning",100,30000))^2</f>
        <v>0.21079711011990385</v>
      </c>
      <c r="K19" s="2">
        <f t="shared" si="0"/>
        <v>466</v>
      </c>
      <c r="L19" s="2">
        <f t="shared" si="1"/>
        <v>0</v>
      </c>
      <c r="M19" s="2">
        <f t="shared" si="2"/>
        <v>0</v>
      </c>
      <c r="N19" s="2">
        <v>5.6717390462306394E-3</v>
      </c>
      <c r="O19" s="2">
        <f t="shared" si="3"/>
        <v>0</v>
      </c>
      <c r="P19" s="2">
        <v>0.80676299167642185</v>
      </c>
      <c r="Q19" s="2">
        <v>-9.5700852097936604</v>
      </c>
    </row>
    <row r="20" spans="1:17" ht="15">
      <c r="A20" s="2" t="s">
        <v>13</v>
      </c>
      <c r="B20" s="2">
        <v>1406.6861227154732</v>
      </c>
      <c r="C20" s="2">
        <v>1049.9003986245953</v>
      </c>
      <c r="D20" s="2">
        <v>605.05525339394808</v>
      </c>
      <c r="E20" s="2">
        <v>292.55171910161152</v>
      </c>
      <c r="F20" s="2">
        <v>26.414405075833201</v>
      </c>
      <c r="G20" s="2">
        <v>0.81164383028866727</v>
      </c>
      <c r="H20" s="2">
        <v>35</v>
      </c>
      <c r="I20" s="2">
        <v>25</v>
      </c>
      <c r="J20" s="2">
        <f>(IF(A20='Hybrid Calculator'!$B$6,0,1))^2+((B20-'Hybrid Calculator'!$B$7)/1500)^2+((C20-'Hybrid Calculator'!$B$8)/1300)^2+((D20-'Hybrid Calculator'!$B$9)/800)^2+((E20-'Hybrid Calculator'!$B$10)/350)^2+((F20-'Hybrid Calculator'!$B$11)/30)^2+(G20-'Hybrid Calculator'!$B$12)^2+((H20-'Hybrid Calculator'!$E$14)/IF(A20="Lightning",100,30000))^2+((I20-'Hybrid Calculator'!$E$17)/IF(A20="Lightning",100,30000))^2</f>
        <v>0.29909187746559213</v>
      </c>
      <c r="K20" s="2">
        <f t="shared" si="0"/>
        <v>596</v>
      </c>
      <c r="L20" s="2">
        <f t="shared" si="1"/>
        <v>0</v>
      </c>
      <c r="M20" s="2">
        <f t="shared" si="2"/>
        <v>0</v>
      </c>
      <c r="N20" s="2">
        <v>-1.6835476377083936E-3</v>
      </c>
      <c r="O20" s="2">
        <f t="shared" si="3"/>
        <v>0</v>
      </c>
      <c r="P20" s="2">
        <v>0.56868031505121053</v>
      </c>
      <c r="Q20" s="2">
        <v>-15.019757319897963</v>
      </c>
    </row>
    <row r="21" spans="1:17" ht="15">
      <c r="A21" s="2" t="s">
        <v>13</v>
      </c>
      <c r="B21" s="2">
        <v>1359.6737301559187</v>
      </c>
      <c r="C21" s="2">
        <v>604.75789851043373</v>
      </c>
      <c r="D21" s="2">
        <v>469.66908434405923</v>
      </c>
      <c r="E21" s="2">
        <v>253.1531152036041</v>
      </c>
      <c r="F21" s="2">
        <v>29.832911964971572</v>
      </c>
      <c r="G21" s="2">
        <v>0.81221542180050166</v>
      </c>
      <c r="H21" s="2">
        <v>55</v>
      </c>
      <c r="I21" s="2">
        <v>25</v>
      </c>
      <c r="J21" s="2">
        <f>(IF(A21='Hybrid Calculator'!$B$6,0,1))^2+((B21-'Hybrid Calculator'!$B$7)/1500)^2+((C21-'Hybrid Calculator'!$B$8)/1300)^2+((D21-'Hybrid Calculator'!$B$9)/800)^2+((E21-'Hybrid Calculator'!$B$10)/350)^2+((F21-'Hybrid Calculator'!$B$11)/30)^2+(G21-'Hybrid Calculator'!$B$12)^2+((H21-'Hybrid Calculator'!$E$14)/IF(A21="Lightning",100,30000))^2+((I21-'Hybrid Calculator'!$E$17)/IF(A21="Lightning",100,30000))^2</f>
        <v>0.27104989548695368</v>
      </c>
      <c r="K21" s="2">
        <f t="shared" si="0"/>
        <v>575</v>
      </c>
      <c r="L21" s="2">
        <f t="shared" si="1"/>
        <v>0</v>
      </c>
      <c r="M21" s="2">
        <f t="shared" si="2"/>
        <v>0</v>
      </c>
      <c r="N21" s="2">
        <v>-2.0864169281332945E-2</v>
      </c>
      <c r="O21" s="2">
        <f t="shared" si="3"/>
        <v>0</v>
      </c>
      <c r="P21" s="2">
        <v>-1.3152313824816773</v>
      </c>
      <c r="Q21" s="2">
        <v>-0.14899292622294524</v>
      </c>
    </row>
    <row r="22" spans="1:17" ht="15">
      <c r="A22" s="2" t="s">
        <v>13</v>
      </c>
      <c r="B22" s="2">
        <v>1405.1374331815168</v>
      </c>
      <c r="C22" s="2">
        <v>692.63219429412857</v>
      </c>
      <c r="D22" s="2">
        <v>538.70868720114231</v>
      </c>
      <c r="E22" s="2">
        <v>93.744169089477509</v>
      </c>
      <c r="F22" s="2">
        <v>14.342217707075179</v>
      </c>
      <c r="G22" s="2">
        <v>0.85084388772724195</v>
      </c>
      <c r="H22" s="2">
        <v>55</v>
      </c>
      <c r="I22" s="2">
        <v>25</v>
      </c>
      <c r="J22" s="2">
        <f>(IF(A22='Hybrid Calculator'!$B$6,0,1))^2+((B22-'Hybrid Calculator'!$B$7)/1500)^2+((C22-'Hybrid Calculator'!$B$8)/1300)^2+((D22-'Hybrid Calculator'!$B$9)/800)^2+((E22-'Hybrid Calculator'!$B$10)/350)^2+((F22-'Hybrid Calculator'!$B$11)/30)^2+(G22-'Hybrid Calculator'!$B$12)^2+((H22-'Hybrid Calculator'!$E$14)/IF(A22="Lightning",100,30000))^2+((I22-'Hybrid Calculator'!$E$17)/IF(A22="Lightning",100,30000))^2</f>
        <v>6.5663889958002875E-2</v>
      </c>
      <c r="K22" s="2">
        <f t="shared" si="0"/>
        <v>95</v>
      </c>
      <c r="L22" s="2">
        <f t="shared" si="1"/>
        <v>0</v>
      </c>
      <c r="M22" s="2">
        <f t="shared" si="2"/>
        <v>0</v>
      </c>
      <c r="N22" s="2">
        <v>2.2768591190378551E-3</v>
      </c>
      <c r="O22" s="2">
        <f t="shared" si="3"/>
        <v>0</v>
      </c>
      <c r="P22" s="2">
        <v>-1.572340676381188</v>
      </c>
      <c r="Q22" s="2">
        <v>16.462279390089179</v>
      </c>
    </row>
    <row r="23" spans="1:17" ht="15">
      <c r="A23" s="2" t="s">
        <v>13</v>
      </c>
      <c r="B23" s="2">
        <v>1481.8573393276893</v>
      </c>
      <c r="C23" s="2">
        <v>700.33667753450572</v>
      </c>
      <c r="D23" s="2">
        <v>418.68757260963321</v>
      </c>
      <c r="E23" s="2">
        <v>252.64077428262681</v>
      </c>
      <c r="F23" s="2">
        <v>25.057020868640393</v>
      </c>
      <c r="G23" s="2">
        <v>0.81181094698607925</v>
      </c>
      <c r="H23" s="2">
        <v>50</v>
      </c>
      <c r="I23" s="2">
        <v>25</v>
      </c>
      <c r="J23" s="2">
        <f>(IF(A23='Hybrid Calculator'!$B$6,0,1))^2+((B23-'Hybrid Calculator'!$B$7)/1500)^2+((C23-'Hybrid Calculator'!$B$8)/1300)^2+((D23-'Hybrid Calculator'!$B$9)/800)^2+((E23-'Hybrid Calculator'!$B$10)/350)^2+((F23-'Hybrid Calculator'!$B$11)/30)^2+(G23-'Hybrid Calculator'!$B$12)^2+((H23-'Hybrid Calculator'!$E$14)/IF(A23="Lightning",100,30000))^2+((I23-'Hybrid Calculator'!$E$17)/IF(A23="Lightning",100,30000))^2</f>
        <v>0.15886129219799847</v>
      </c>
      <c r="K23" s="2">
        <f t="shared" si="0"/>
        <v>348</v>
      </c>
      <c r="L23" s="2">
        <f t="shared" si="1"/>
        <v>0</v>
      </c>
      <c r="M23" s="2">
        <f t="shared" si="2"/>
        <v>0</v>
      </c>
      <c r="N23" s="2">
        <v>-1.8666473306840681E-2</v>
      </c>
      <c r="O23" s="2">
        <f t="shared" si="3"/>
        <v>0</v>
      </c>
      <c r="P23" s="2">
        <v>-1.5482382134503467</v>
      </c>
      <c r="Q23" s="2">
        <v>-7.9856714777786237</v>
      </c>
    </row>
    <row r="24" spans="1:17" ht="15">
      <c r="A24" s="2" t="s">
        <v>13</v>
      </c>
      <c r="B24" s="2">
        <v>1455.1547288428992</v>
      </c>
      <c r="C24" s="2">
        <v>1078.5621651331894</v>
      </c>
      <c r="D24" s="2">
        <v>713.91538735479116</v>
      </c>
      <c r="E24" s="2">
        <v>301.60245181294158</v>
      </c>
      <c r="F24" s="2">
        <v>19.450641822069883</v>
      </c>
      <c r="G24" s="2">
        <v>0.81791210633004086</v>
      </c>
      <c r="H24" s="2">
        <v>35</v>
      </c>
      <c r="I24" s="2">
        <v>25</v>
      </c>
      <c r="J24" s="2">
        <f>(IF(A24='Hybrid Calculator'!$B$6,0,1))^2+((B24-'Hybrid Calculator'!$B$7)/1500)^2+((C24-'Hybrid Calculator'!$B$8)/1300)^2+((D24-'Hybrid Calculator'!$B$9)/800)^2+((E24-'Hybrid Calculator'!$B$10)/350)^2+((F24-'Hybrid Calculator'!$B$11)/30)^2+(G24-'Hybrid Calculator'!$B$12)^2+((H24-'Hybrid Calculator'!$E$14)/IF(A24="Lightning",100,30000))^2+((I24-'Hybrid Calculator'!$E$17)/IF(A24="Lightning",100,30000))^2</f>
        <v>0.31394274405290895</v>
      </c>
      <c r="K24" s="2">
        <f t="shared" si="0"/>
        <v>614</v>
      </c>
      <c r="L24" s="2">
        <f t="shared" si="1"/>
        <v>0</v>
      </c>
      <c r="M24" s="2">
        <f t="shared" si="2"/>
        <v>0</v>
      </c>
      <c r="N24" s="2">
        <v>3.314101168987893E-3</v>
      </c>
      <c r="O24" s="2">
        <f t="shared" si="3"/>
        <v>0</v>
      </c>
      <c r="P24" s="2">
        <v>-4.1262596578157229E-2</v>
      </c>
      <c r="Q24" s="2">
        <v>-13.470749014838702</v>
      </c>
    </row>
    <row r="25" spans="1:17" ht="15">
      <c r="A25" s="2" t="s">
        <v>13</v>
      </c>
      <c r="B25" s="2">
        <v>1479.4425189611502</v>
      </c>
      <c r="C25" s="2">
        <v>791.89735266845673</v>
      </c>
      <c r="D25" s="2">
        <v>531.1659355647862</v>
      </c>
      <c r="E25" s="2">
        <v>157.07697805017233</v>
      </c>
      <c r="F25" s="2">
        <v>18.199724155012518</v>
      </c>
      <c r="G25" s="2">
        <v>0.83786287422757599</v>
      </c>
      <c r="H25" s="2">
        <v>50</v>
      </c>
      <c r="I25" s="2">
        <v>25</v>
      </c>
      <c r="J25" s="2">
        <f>(IF(A25='Hybrid Calculator'!$B$6,0,1))^2+((B25-'Hybrid Calculator'!$B$7)/1500)^2+((C25-'Hybrid Calculator'!$B$8)/1300)^2+((D25-'Hybrid Calculator'!$B$9)/800)^2+((E25-'Hybrid Calculator'!$B$10)/350)^2+((F25-'Hybrid Calculator'!$B$11)/30)^2+(G25-'Hybrid Calculator'!$B$12)^2+((H25-'Hybrid Calculator'!$E$14)/IF(A25="Lightning",100,30000))^2+((I25-'Hybrid Calculator'!$E$17)/IF(A25="Lightning",100,30000))^2</f>
        <v>5.6607049886297283E-3</v>
      </c>
      <c r="K25" s="2">
        <f t="shared" si="0"/>
        <v>2</v>
      </c>
      <c r="L25" s="2">
        <f t="shared" si="1"/>
        <v>1</v>
      </c>
      <c r="M25" s="2">
        <f t="shared" si="2"/>
        <v>176.62523957152075</v>
      </c>
      <c r="N25" s="2">
        <v>-1.2315053656522412E-2</v>
      </c>
      <c r="O25" s="2">
        <f t="shared" si="3"/>
        <v>176.62523957152075</v>
      </c>
      <c r="P25" s="2">
        <v>0.26101117394845375</v>
      </c>
      <c r="Q25" s="2">
        <v>5.9001240635793692</v>
      </c>
    </row>
    <row r="26" spans="1:17" ht="15">
      <c r="A26" s="2" t="s">
        <v>13</v>
      </c>
      <c r="B26" s="2">
        <v>1499.6580671751872</v>
      </c>
      <c r="C26" s="2">
        <v>1161.9248888571747</v>
      </c>
      <c r="D26" s="2">
        <v>675.58102831244469</v>
      </c>
      <c r="E26" s="2">
        <v>239.73685070639476</v>
      </c>
      <c r="F26" s="2">
        <v>11.558636835776269</v>
      </c>
      <c r="G26" s="2">
        <v>0.8255490733101033</v>
      </c>
      <c r="H26" s="2">
        <v>35</v>
      </c>
      <c r="I26" s="2">
        <v>25</v>
      </c>
      <c r="J26" s="2">
        <f>(IF(A26='Hybrid Calculator'!$B$6,0,1))^2+((B26-'Hybrid Calculator'!$B$7)/1500)^2+((C26-'Hybrid Calculator'!$B$8)/1300)^2+((D26-'Hybrid Calculator'!$B$9)/800)^2+((E26-'Hybrid Calculator'!$B$10)/350)^2+((F26-'Hybrid Calculator'!$B$11)/30)^2+(G26-'Hybrid Calculator'!$B$12)^2+((H26-'Hybrid Calculator'!$E$14)/IF(A26="Lightning",100,30000))^2+((I26-'Hybrid Calculator'!$E$17)/IF(A26="Lightning",100,30000))^2</f>
        <v>0.25002264061190843</v>
      </c>
      <c r="K26" s="2">
        <f t="shared" si="0"/>
        <v>541</v>
      </c>
      <c r="L26" s="2">
        <f t="shared" si="1"/>
        <v>0</v>
      </c>
      <c r="M26" s="2">
        <f t="shared" si="2"/>
        <v>0</v>
      </c>
      <c r="N26" s="2">
        <v>6.5698739967412489E-3</v>
      </c>
      <c r="O26" s="2">
        <f t="shared" si="3"/>
        <v>0</v>
      </c>
      <c r="P26" s="2">
        <v>0.26247458591249284</v>
      </c>
      <c r="Q26" s="2">
        <v>-2.5593246948751585</v>
      </c>
    </row>
    <row r="27" spans="1:17" ht="15">
      <c r="A27" s="2" t="s">
        <v>13</v>
      </c>
      <c r="B27" s="2">
        <v>1365.7694546389394</v>
      </c>
      <c r="C27" s="2">
        <v>759.86999794840813</v>
      </c>
      <c r="D27" s="2">
        <v>572.63338854536414</v>
      </c>
      <c r="E27" s="2">
        <v>164.68478836584836</v>
      </c>
      <c r="F27" s="2">
        <v>8.5607058121822774</v>
      </c>
      <c r="G27" s="2">
        <v>0.8155675576161594</v>
      </c>
      <c r="H27" s="2">
        <v>50</v>
      </c>
      <c r="I27" s="2">
        <v>25</v>
      </c>
      <c r="J27" s="2">
        <f>(IF(A27='Hybrid Calculator'!$B$6,0,1))^2+((B27-'Hybrid Calculator'!$B$7)/1500)^2+((C27-'Hybrid Calculator'!$B$8)/1300)^2+((D27-'Hybrid Calculator'!$B$9)/800)^2+((E27-'Hybrid Calculator'!$B$10)/350)^2+((F27-'Hybrid Calculator'!$B$11)/30)^2+(G27-'Hybrid Calculator'!$B$12)^2+((H27-'Hybrid Calculator'!$E$14)/IF(A27="Lightning",100,30000))^2+((I27-'Hybrid Calculator'!$E$17)/IF(A27="Lightning",100,30000))^2</f>
        <v>0.12615530597293462</v>
      </c>
      <c r="K27" s="2">
        <f t="shared" si="0"/>
        <v>266</v>
      </c>
      <c r="L27" s="2">
        <f t="shared" si="1"/>
        <v>0</v>
      </c>
      <c r="M27" s="2">
        <f t="shared" si="2"/>
        <v>0</v>
      </c>
      <c r="N27" s="2">
        <v>-1.2778326283324759E-4</v>
      </c>
      <c r="O27" s="2">
        <f t="shared" si="3"/>
        <v>0</v>
      </c>
      <c r="P27" s="2">
        <v>1.3513455054294354E-2</v>
      </c>
      <c r="Q27" s="2">
        <v>14.79390739591463</v>
      </c>
    </row>
    <row r="28" spans="1:17" ht="15">
      <c r="A28" s="2" t="s">
        <v>13</v>
      </c>
      <c r="B28" s="2">
        <v>1366.6506922803819</v>
      </c>
      <c r="C28" s="2">
        <v>725.57219410082325</v>
      </c>
      <c r="D28" s="2">
        <v>540.66452626138926</v>
      </c>
      <c r="E28" s="2">
        <v>308.12651755521074</v>
      </c>
      <c r="F28" s="2">
        <v>16.857251072302461</v>
      </c>
      <c r="G28" s="2">
        <v>0.85056469890521846</v>
      </c>
      <c r="H28" s="2">
        <v>45</v>
      </c>
      <c r="I28" s="2">
        <v>25</v>
      </c>
      <c r="J28" s="2">
        <f>(IF(A28='Hybrid Calculator'!$B$6,0,1))^2+((B28-'Hybrid Calculator'!$B$7)/1500)^2+((C28-'Hybrid Calculator'!$B$8)/1300)^2+((D28-'Hybrid Calculator'!$B$9)/800)^2+((E28-'Hybrid Calculator'!$B$10)/350)^2+((F28-'Hybrid Calculator'!$B$11)/30)^2+(G28-'Hybrid Calculator'!$B$12)^2+((H28-'Hybrid Calculator'!$E$14)/IF(A28="Lightning",100,30000))^2+((I28-'Hybrid Calculator'!$E$17)/IF(A28="Lightning",100,30000))^2</f>
        <v>0.2238049630285226</v>
      </c>
      <c r="K28" s="2">
        <f t="shared" si="0"/>
        <v>494</v>
      </c>
      <c r="L28" s="2">
        <f t="shared" si="1"/>
        <v>0</v>
      </c>
      <c r="M28" s="2">
        <f t="shared" si="2"/>
        <v>0</v>
      </c>
      <c r="N28" s="2">
        <v>1.0929089524155167E-2</v>
      </c>
      <c r="O28" s="2">
        <f t="shared" si="3"/>
        <v>0</v>
      </c>
      <c r="P28" s="2">
        <v>-0.14203637088147758</v>
      </c>
      <c r="Q28" s="2">
        <v>9.220175747461326</v>
      </c>
    </row>
    <row r="29" spans="1:17" ht="15">
      <c r="A29" s="2" t="s">
        <v>13</v>
      </c>
      <c r="B29" s="2">
        <v>1485.5111466371454</v>
      </c>
      <c r="C29" s="2">
        <v>1149.3210251675919</v>
      </c>
      <c r="D29" s="2">
        <v>647.14539581909776</v>
      </c>
      <c r="E29" s="2">
        <v>101.50185802020133</v>
      </c>
      <c r="F29" s="2">
        <v>24.652950056362897</v>
      </c>
      <c r="G29" s="2">
        <v>0.80554656362626709</v>
      </c>
      <c r="H29" s="2">
        <v>35</v>
      </c>
      <c r="I29" s="2">
        <v>25</v>
      </c>
      <c r="J29" s="2">
        <f>(IF(A29='Hybrid Calculator'!$B$6,0,1))^2+((B29-'Hybrid Calculator'!$B$7)/1500)^2+((C29-'Hybrid Calculator'!$B$8)/1300)^2+((D29-'Hybrid Calculator'!$B$9)/800)^2+((E29-'Hybrid Calculator'!$B$10)/350)^2+((F29-'Hybrid Calculator'!$B$11)/30)^2+(G29-'Hybrid Calculator'!$B$12)^2+((H29-'Hybrid Calculator'!$E$14)/IF(A29="Lightning",100,30000))^2+((I29-'Hybrid Calculator'!$E$17)/IF(A29="Lightning",100,30000))^2</f>
        <v>0.17244671703698425</v>
      </c>
      <c r="K29" s="2">
        <f t="shared" si="0"/>
        <v>387</v>
      </c>
      <c r="L29" s="2">
        <f t="shared" si="1"/>
        <v>0</v>
      </c>
      <c r="M29" s="2">
        <f t="shared" si="2"/>
        <v>0</v>
      </c>
      <c r="N29" s="2">
        <v>1.1342313896740341E-2</v>
      </c>
      <c r="O29" s="2">
        <f t="shared" si="3"/>
        <v>0</v>
      </c>
      <c r="P29" s="2">
        <v>2.1555965306326641E-2</v>
      </c>
      <c r="Q29" s="2">
        <v>-16.436282543352036</v>
      </c>
    </row>
    <row r="30" spans="1:17" ht="15">
      <c r="A30" s="2" t="s">
        <v>13</v>
      </c>
      <c r="B30" s="2">
        <v>1366.9065205380321</v>
      </c>
      <c r="C30" s="2">
        <v>649.8713095090352</v>
      </c>
      <c r="D30" s="2">
        <v>377.63366717845201</v>
      </c>
      <c r="E30" s="2">
        <v>220.17962623620406</v>
      </c>
      <c r="F30" s="2">
        <v>12.521247347816825</v>
      </c>
      <c r="G30" s="2">
        <v>0.84865720064612105</v>
      </c>
      <c r="H30" s="2">
        <v>60</v>
      </c>
      <c r="I30" s="2">
        <v>25</v>
      </c>
      <c r="J30" s="2">
        <f>(IF(A30='Hybrid Calculator'!$B$6,0,1))^2+((B30-'Hybrid Calculator'!$B$7)/1500)^2+((C30-'Hybrid Calculator'!$B$8)/1300)^2+((D30-'Hybrid Calculator'!$B$9)/800)^2+((E30-'Hybrid Calculator'!$B$10)/350)^2+((F30-'Hybrid Calculator'!$B$11)/30)^2+(G30-'Hybrid Calculator'!$B$12)^2+((H30-'Hybrid Calculator'!$E$14)/IF(A30="Lightning",100,30000))^2+((I30-'Hybrid Calculator'!$E$17)/IF(A30="Lightning",100,30000))^2</f>
        <v>0.13933915590483181</v>
      </c>
      <c r="K30" s="2">
        <f t="shared" si="0"/>
        <v>300</v>
      </c>
      <c r="L30" s="2">
        <f t="shared" si="1"/>
        <v>0</v>
      </c>
      <c r="M30" s="2">
        <f t="shared" si="2"/>
        <v>0</v>
      </c>
      <c r="N30" s="2">
        <v>-1.3549345484786812E-4</v>
      </c>
      <c r="O30" s="2">
        <f t="shared" si="3"/>
        <v>0</v>
      </c>
      <c r="P30" s="2">
        <v>0.1804200467638637</v>
      </c>
      <c r="Q30" s="2">
        <v>22.856071489811939</v>
      </c>
    </row>
    <row r="31" spans="1:17" ht="15">
      <c r="A31" s="2" t="s">
        <v>13</v>
      </c>
      <c r="B31" s="2">
        <v>1447.5146677927114</v>
      </c>
      <c r="C31" s="2">
        <v>763.87738848570734</v>
      </c>
      <c r="D31" s="2">
        <v>635.23898730054498</v>
      </c>
      <c r="E31" s="2">
        <v>279.85226797871292</v>
      </c>
      <c r="F31" s="2">
        <v>21.672934908885509</v>
      </c>
      <c r="G31" s="2">
        <v>0.8319131619902328</v>
      </c>
      <c r="H31" s="2">
        <v>45</v>
      </c>
      <c r="I31" s="2">
        <v>25</v>
      </c>
      <c r="J31" s="2">
        <f>(IF(A31='Hybrid Calculator'!$B$6,0,1))^2+((B31-'Hybrid Calculator'!$B$7)/1500)^2+((C31-'Hybrid Calculator'!$B$8)/1300)^2+((D31-'Hybrid Calculator'!$B$9)/800)^2+((E31-'Hybrid Calculator'!$B$10)/350)^2+((F31-'Hybrid Calculator'!$B$11)/30)^2+(G31-'Hybrid Calculator'!$B$12)^2+((H31-'Hybrid Calculator'!$E$14)/IF(A31="Lightning",100,30000))^2+((I31-'Hybrid Calculator'!$E$17)/IF(A31="Lightning",100,30000))^2</f>
        <v>0.18466544742580357</v>
      </c>
      <c r="K31" s="2">
        <f t="shared" si="0"/>
        <v>412</v>
      </c>
      <c r="L31" s="2">
        <f t="shared" si="1"/>
        <v>0</v>
      </c>
      <c r="M31" s="2">
        <f t="shared" si="2"/>
        <v>0</v>
      </c>
      <c r="N31" s="2">
        <v>-5.1673674874181952E-3</v>
      </c>
      <c r="O31" s="2">
        <f t="shared" si="3"/>
        <v>0</v>
      </c>
      <c r="P31" s="2">
        <v>-0.79151039258825762</v>
      </c>
      <c r="Q31" s="2">
        <v>-3.0320121465340435</v>
      </c>
    </row>
    <row r="32" spans="1:17" ht="15">
      <c r="A32" s="2" t="s">
        <v>13</v>
      </c>
      <c r="B32" s="2">
        <v>1451.939935865812</v>
      </c>
      <c r="C32" s="2">
        <v>1064.3480254919268</v>
      </c>
      <c r="D32" s="2">
        <v>442.6622349768877</v>
      </c>
      <c r="E32" s="2">
        <v>268.18880821345374</v>
      </c>
      <c r="F32" s="2">
        <v>11.080747322179377</v>
      </c>
      <c r="G32" s="2">
        <v>0.80950437373248862</v>
      </c>
      <c r="H32" s="2">
        <v>45</v>
      </c>
      <c r="I32" s="2">
        <v>25</v>
      </c>
      <c r="J32" s="2">
        <f>(IF(A32='Hybrid Calculator'!$B$6,0,1))^2+((B32-'Hybrid Calculator'!$B$7)/1500)^2+((C32-'Hybrid Calculator'!$B$8)/1300)^2+((D32-'Hybrid Calculator'!$B$9)/800)^2+((E32-'Hybrid Calculator'!$B$10)/350)^2+((F32-'Hybrid Calculator'!$B$11)/30)^2+(G32-'Hybrid Calculator'!$B$12)^2+((H32-'Hybrid Calculator'!$E$14)/IF(A32="Lightning",100,30000))^2+((I32-'Hybrid Calculator'!$E$17)/IF(A32="Lightning",100,30000))^2</f>
        <v>0.21044685672985203</v>
      </c>
      <c r="K32" s="2">
        <f t="shared" si="0"/>
        <v>465</v>
      </c>
      <c r="L32" s="2">
        <f t="shared" si="1"/>
        <v>0</v>
      </c>
      <c r="M32" s="2">
        <f t="shared" si="2"/>
        <v>0</v>
      </c>
      <c r="N32" s="2">
        <v>6.3333564798295772E-3</v>
      </c>
      <c r="O32" s="2">
        <f t="shared" si="3"/>
        <v>0</v>
      </c>
      <c r="P32" s="2">
        <v>0.6226457764973361</v>
      </c>
      <c r="Q32" s="2">
        <v>4.153189249991101</v>
      </c>
    </row>
    <row r="33" spans="1:17" ht="15">
      <c r="A33" s="2" t="s">
        <v>13</v>
      </c>
      <c r="B33" s="2">
        <v>1478.7662638700567</v>
      </c>
      <c r="C33" s="2">
        <v>603.37350904010236</v>
      </c>
      <c r="D33" s="2">
        <v>407.58717460557818</v>
      </c>
      <c r="E33" s="2">
        <v>196.39846197795123</v>
      </c>
      <c r="F33" s="2">
        <v>26.386794138234109</v>
      </c>
      <c r="G33" s="2">
        <v>0.80815685305744411</v>
      </c>
      <c r="H33" s="2">
        <v>55</v>
      </c>
      <c r="I33" s="2">
        <v>25</v>
      </c>
      <c r="J33" s="2">
        <f>(IF(A33='Hybrid Calculator'!$B$6,0,1))^2+((B33-'Hybrid Calculator'!$B$7)/1500)^2+((C33-'Hybrid Calculator'!$B$8)/1300)^2+((D33-'Hybrid Calculator'!$B$9)/800)^2+((E33-'Hybrid Calculator'!$B$10)/350)^2+((F33-'Hybrid Calculator'!$B$11)/30)^2+(G33-'Hybrid Calculator'!$B$12)^2+((H33-'Hybrid Calculator'!$E$14)/IF(A33="Lightning",100,30000))^2+((I33-'Hybrid Calculator'!$E$17)/IF(A33="Lightning",100,30000))^2</f>
        <v>0.13994674218935019</v>
      </c>
      <c r="K33" s="2">
        <f t="shared" si="0"/>
        <v>301</v>
      </c>
      <c r="L33" s="2">
        <f t="shared" si="1"/>
        <v>0</v>
      </c>
      <c r="M33" s="2">
        <f t="shared" si="2"/>
        <v>0</v>
      </c>
      <c r="N33" s="2">
        <v>-8.6612834400221494E-3</v>
      </c>
      <c r="O33" s="2">
        <f t="shared" si="3"/>
        <v>0</v>
      </c>
      <c r="P33" s="2">
        <v>-0.31088987716979233</v>
      </c>
      <c r="Q33" s="2">
        <v>10.679610708599057</v>
      </c>
    </row>
    <row r="34" spans="1:17" ht="15">
      <c r="A34" s="2" t="s">
        <v>13</v>
      </c>
      <c r="B34" s="2">
        <v>1401.3010127004236</v>
      </c>
      <c r="C34" s="2">
        <v>615.49326357198879</v>
      </c>
      <c r="D34" s="2">
        <v>551.84082891792059</v>
      </c>
      <c r="E34" s="2">
        <v>80.113619316834956</v>
      </c>
      <c r="F34" s="2">
        <v>23.94651061668992</v>
      </c>
      <c r="G34" s="2">
        <v>0.84974735833937309</v>
      </c>
      <c r="H34" s="2">
        <v>60</v>
      </c>
      <c r="I34" s="2">
        <v>25</v>
      </c>
      <c r="J34" s="2">
        <f>(IF(A34='Hybrid Calculator'!$B$6,0,1))^2+((B34-'Hybrid Calculator'!$B$7)/1500)^2+((C34-'Hybrid Calculator'!$B$8)/1300)^2+((D34-'Hybrid Calculator'!$B$9)/800)^2+((E34-'Hybrid Calculator'!$B$10)/350)^2+((F34-'Hybrid Calculator'!$B$11)/30)^2+(G34-'Hybrid Calculator'!$B$12)^2+((H34-'Hybrid Calculator'!$E$14)/IF(A34="Lightning",100,30000))^2+((I34-'Hybrid Calculator'!$E$17)/IF(A34="Lightning",100,30000))^2</f>
        <v>0.12070496296500613</v>
      </c>
      <c r="K34" s="2">
        <f t="shared" si="0"/>
        <v>251</v>
      </c>
      <c r="L34" s="2">
        <f t="shared" si="1"/>
        <v>0</v>
      </c>
      <c r="M34" s="2">
        <f t="shared" si="2"/>
        <v>0</v>
      </c>
      <c r="N34" s="2">
        <v>-1.5316521778895975E-2</v>
      </c>
      <c r="O34" s="2">
        <f t="shared" si="3"/>
        <v>0</v>
      </c>
      <c r="P34" s="2">
        <v>-1.1196774744099827</v>
      </c>
      <c r="Q34" s="2">
        <v>-0.54624067806730636</v>
      </c>
    </row>
    <row r="35" spans="1:17" ht="15">
      <c r="A35" s="2" t="s">
        <v>13</v>
      </c>
      <c r="B35" s="2">
        <v>1359.6719762426801</v>
      </c>
      <c r="C35" s="2">
        <v>953.88401977252215</v>
      </c>
      <c r="D35" s="2">
        <v>412.43448602035642</v>
      </c>
      <c r="E35" s="2">
        <v>240.79388931393623</v>
      </c>
      <c r="F35" s="2">
        <v>8.6712000169791281</v>
      </c>
      <c r="G35" s="2">
        <v>0.81673286504577847</v>
      </c>
      <c r="H35" s="2">
        <v>50</v>
      </c>
      <c r="I35" s="2">
        <v>25</v>
      </c>
      <c r="J35" s="2">
        <f>(IF(A35='Hybrid Calculator'!$B$6,0,1))^2+((B35-'Hybrid Calculator'!$B$7)/1500)^2+((C35-'Hybrid Calculator'!$B$8)/1300)^2+((D35-'Hybrid Calculator'!$B$9)/800)^2+((E35-'Hybrid Calculator'!$B$10)/350)^2+((F35-'Hybrid Calculator'!$B$11)/30)^2+(G35-'Hybrid Calculator'!$B$12)^2+((H35-'Hybrid Calculator'!$E$14)/IF(A35="Lightning",100,30000))^2+((I35-'Hybrid Calculator'!$E$17)/IF(A35="Lightning",100,30000))^2</f>
        <v>0.19490735457267422</v>
      </c>
      <c r="K35" s="2">
        <f t="shared" si="0"/>
        <v>435</v>
      </c>
      <c r="L35" s="2">
        <f t="shared" si="1"/>
        <v>0</v>
      </c>
      <c r="M35" s="2">
        <f t="shared" si="2"/>
        <v>0</v>
      </c>
      <c r="N35" s="2">
        <v>-3.2518478109526683E-3</v>
      </c>
      <c r="O35" s="2">
        <f t="shared" si="3"/>
        <v>0</v>
      </c>
      <c r="P35" s="2">
        <v>0.28192952396345561</v>
      </c>
      <c r="Q35" s="2">
        <v>8.1825133473003007</v>
      </c>
    </row>
    <row r="36" spans="1:17" ht="15">
      <c r="A36" s="2" t="s">
        <v>13</v>
      </c>
      <c r="B36" s="2">
        <v>1454.0374139556661</v>
      </c>
      <c r="C36" s="2">
        <v>651.45725469337776</v>
      </c>
      <c r="D36" s="2">
        <v>497.88472428917885</v>
      </c>
      <c r="E36" s="2">
        <v>276.95289660012349</v>
      </c>
      <c r="F36" s="2">
        <v>14.972267611883581</v>
      </c>
      <c r="G36" s="2">
        <v>0.8311732551991009</v>
      </c>
      <c r="H36" s="2">
        <v>55</v>
      </c>
      <c r="I36" s="2">
        <v>25</v>
      </c>
      <c r="J36" s="2">
        <f>(IF(A36='Hybrid Calculator'!$B$6,0,1))^2+((B36-'Hybrid Calculator'!$B$7)/1500)^2+((C36-'Hybrid Calculator'!$B$8)/1300)^2+((D36-'Hybrid Calculator'!$B$9)/800)^2+((E36-'Hybrid Calculator'!$B$10)/350)^2+((F36-'Hybrid Calculator'!$B$11)/30)^2+(G36-'Hybrid Calculator'!$B$12)^2+((H36-'Hybrid Calculator'!$E$14)/IF(A36="Lightning",100,30000))^2+((I36-'Hybrid Calculator'!$E$17)/IF(A36="Lightning",100,30000))^2</f>
        <v>0.17172687775864254</v>
      </c>
      <c r="K36" s="2">
        <f t="shared" si="0"/>
        <v>384</v>
      </c>
      <c r="L36" s="2">
        <f t="shared" si="1"/>
        <v>0</v>
      </c>
      <c r="M36" s="2">
        <f t="shared" si="2"/>
        <v>0</v>
      </c>
      <c r="N36" s="2">
        <v>-1.0001695446156589E-2</v>
      </c>
      <c r="O36" s="2">
        <f t="shared" si="3"/>
        <v>0</v>
      </c>
      <c r="P36" s="2">
        <v>-0.13136738017872318</v>
      </c>
      <c r="Q36" s="2">
        <v>6.2252216272495389</v>
      </c>
    </row>
    <row r="37" spans="1:17" ht="15">
      <c r="A37" s="2" t="s">
        <v>13</v>
      </c>
      <c r="B37" s="2">
        <v>1427.9104266199283</v>
      </c>
      <c r="C37" s="2">
        <v>765.87883923202753</v>
      </c>
      <c r="D37" s="2">
        <v>367.42576798424125</v>
      </c>
      <c r="E37" s="2">
        <v>155.55072393734008</v>
      </c>
      <c r="F37" s="2">
        <v>19.244533890392631</v>
      </c>
      <c r="G37" s="2">
        <v>0.8058053674455733</v>
      </c>
      <c r="H37" s="2">
        <v>60</v>
      </c>
      <c r="I37" s="2">
        <v>25</v>
      </c>
      <c r="J37" s="2">
        <f>(IF(A37='Hybrid Calculator'!$B$6,0,1))^2+((B37-'Hybrid Calculator'!$B$7)/1500)^2+((C37-'Hybrid Calculator'!$B$8)/1300)^2+((D37-'Hybrid Calculator'!$B$9)/800)^2+((E37-'Hybrid Calculator'!$B$10)/350)^2+((F37-'Hybrid Calculator'!$B$11)/30)^2+(G37-'Hybrid Calculator'!$B$12)^2+((H37-'Hybrid Calculator'!$E$14)/IF(A37="Lightning",100,30000))^2+((I37-'Hybrid Calculator'!$E$17)/IF(A37="Lightning",100,30000))^2</f>
        <v>4.272227682230189E-2</v>
      </c>
      <c r="K37" s="2">
        <f t="shared" si="0"/>
        <v>38</v>
      </c>
      <c r="L37" s="2">
        <f t="shared" si="1"/>
        <v>0</v>
      </c>
      <c r="M37" s="2">
        <f t="shared" si="2"/>
        <v>0</v>
      </c>
      <c r="N37" s="2">
        <v>3.0828409448124816E-3</v>
      </c>
      <c r="O37" s="2">
        <f t="shared" si="3"/>
        <v>0</v>
      </c>
      <c r="P37" s="2">
        <v>-0.75372491690352916</v>
      </c>
      <c r="Q37" s="2">
        <v>8.2962149020634115</v>
      </c>
    </row>
    <row r="38" spans="1:17" ht="15">
      <c r="A38" s="2" t="s">
        <v>13</v>
      </c>
      <c r="B38" s="2">
        <v>1424.8981227166951</v>
      </c>
      <c r="C38" s="2">
        <v>743.54254541685805</v>
      </c>
      <c r="D38" s="2">
        <v>386.21795568615198</v>
      </c>
      <c r="E38" s="2">
        <v>196.94730079034343</v>
      </c>
      <c r="F38" s="2">
        <v>9.3081234861165285</v>
      </c>
      <c r="G38" s="2">
        <v>0.80094298391835772</v>
      </c>
      <c r="H38" s="2">
        <v>60</v>
      </c>
      <c r="I38" s="2">
        <v>25</v>
      </c>
      <c r="J38" s="2">
        <f>(IF(A38='Hybrid Calculator'!$B$6,0,1))^2+((B38-'Hybrid Calculator'!$B$7)/1500)^2+((C38-'Hybrid Calculator'!$B$8)/1300)^2+((D38-'Hybrid Calculator'!$B$9)/800)^2+((E38-'Hybrid Calculator'!$B$10)/350)^2+((F38-'Hybrid Calculator'!$B$11)/30)^2+(G38-'Hybrid Calculator'!$B$12)^2+((H38-'Hybrid Calculator'!$E$14)/IF(A38="Lightning",100,30000))^2+((I38-'Hybrid Calculator'!$E$17)/IF(A38="Lightning",100,30000))^2</f>
        <v>0.1491685561205901</v>
      </c>
      <c r="K38" s="2">
        <f t="shared" si="0"/>
        <v>325</v>
      </c>
      <c r="L38" s="2">
        <f t="shared" si="1"/>
        <v>0</v>
      </c>
      <c r="M38" s="2">
        <f t="shared" si="2"/>
        <v>0</v>
      </c>
      <c r="N38" s="2">
        <v>3.5334277163086014E-3</v>
      </c>
      <c r="O38" s="2">
        <f t="shared" si="3"/>
        <v>0</v>
      </c>
      <c r="P38" s="2">
        <v>-1.0090807699672837</v>
      </c>
      <c r="Q38" s="2">
        <v>13.406182681361543</v>
      </c>
    </row>
    <row r="39" spans="1:17" ht="15">
      <c r="A39" s="2" t="s">
        <v>13</v>
      </c>
      <c r="B39" s="2">
        <v>1410.8754671760835</v>
      </c>
      <c r="C39" s="2">
        <v>697.11635385174304</v>
      </c>
      <c r="D39" s="2">
        <v>566.82415688410401</v>
      </c>
      <c r="E39" s="2">
        <v>157.60293898172677</v>
      </c>
      <c r="F39" s="2">
        <v>16.010248572099954</v>
      </c>
      <c r="G39" s="2">
        <v>0.82244808661285795</v>
      </c>
      <c r="H39" s="2">
        <v>55</v>
      </c>
      <c r="I39" s="2">
        <v>25</v>
      </c>
      <c r="J39" s="2">
        <f>(IF(A39='Hybrid Calculator'!$B$6,0,1))^2+((B39-'Hybrid Calculator'!$B$7)/1500)^2+((C39-'Hybrid Calculator'!$B$8)/1300)^2+((D39-'Hybrid Calculator'!$B$9)/800)^2+((E39-'Hybrid Calculator'!$B$10)/350)^2+((F39-'Hybrid Calculator'!$B$11)/30)^2+(G39-'Hybrid Calculator'!$B$12)^2+((H39-'Hybrid Calculator'!$E$14)/IF(A39="Lightning",100,30000))^2+((I39-'Hybrid Calculator'!$E$17)/IF(A39="Lightning",100,30000))^2</f>
        <v>3.0761873799817228E-2</v>
      </c>
      <c r="K39" s="2">
        <f t="shared" si="0"/>
        <v>24</v>
      </c>
      <c r="L39" s="2">
        <f t="shared" si="1"/>
        <v>0</v>
      </c>
      <c r="M39" s="2">
        <f t="shared" si="2"/>
        <v>0</v>
      </c>
      <c r="N39" s="2">
        <v>9.9903982339468733E-3</v>
      </c>
      <c r="O39" s="2">
        <f t="shared" si="3"/>
        <v>0</v>
      </c>
      <c r="P39" s="2">
        <v>-0.72471642728696395</v>
      </c>
      <c r="Q39" s="2">
        <v>12.157136608960627</v>
      </c>
    </row>
    <row r="40" spans="1:17" ht="15">
      <c r="A40" s="2" t="s">
        <v>13</v>
      </c>
      <c r="B40" s="2">
        <v>1429.5092044165358</v>
      </c>
      <c r="C40" s="2">
        <v>1006.8637307384051</v>
      </c>
      <c r="D40" s="2">
        <v>352.98555456101894</v>
      </c>
      <c r="E40" s="2">
        <v>95.395543246995658</v>
      </c>
      <c r="F40" s="2">
        <v>14.656337481923401</v>
      </c>
      <c r="G40" s="2">
        <v>0.80699279893888165</v>
      </c>
      <c r="H40" s="2">
        <v>50</v>
      </c>
      <c r="I40" s="2">
        <v>25</v>
      </c>
      <c r="J40" s="2">
        <f>(IF(A40='Hybrid Calculator'!$B$6,0,1))^2+((B40-'Hybrid Calculator'!$B$7)/1500)^2+((C40-'Hybrid Calculator'!$B$8)/1300)^2+((D40-'Hybrid Calculator'!$B$9)/800)^2+((E40-'Hybrid Calculator'!$B$10)/350)^2+((F40-'Hybrid Calculator'!$B$11)/30)^2+(G40-'Hybrid Calculator'!$B$12)^2+((H40-'Hybrid Calculator'!$E$14)/IF(A40="Lightning",100,30000))^2+((I40-'Hybrid Calculator'!$E$17)/IF(A40="Lightning",100,30000))^2</f>
        <v>8.9264063686337783E-2</v>
      </c>
      <c r="K40" s="2">
        <f t="shared" si="0"/>
        <v>171</v>
      </c>
      <c r="L40" s="2">
        <f t="shared" si="1"/>
        <v>0</v>
      </c>
      <c r="M40" s="2">
        <f t="shared" si="2"/>
        <v>0</v>
      </c>
      <c r="N40" s="2">
        <v>7.3966150280799781E-3</v>
      </c>
      <c r="O40" s="2">
        <f t="shared" si="3"/>
        <v>0</v>
      </c>
      <c r="P40" s="2">
        <v>1.0567016881532254</v>
      </c>
      <c r="Q40" s="2">
        <v>12.18962321408867</v>
      </c>
    </row>
    <row r="41" spans="1:17" ht="15">
      <c r="A41" s="2" t="s">
        <v>13</v>
      </c>
      <c r="B41" s="2">
        <v>1392.1426073997281</v>
      </c>
      <c r="C41" s="2">
        <v>1072.2996565047652</v>
      </c>
      <c r="D41" s="2">
        <v>681.80786250159144</v>
      </c>
      <c r="E41" s="2">
        <v>190.47353164758533</v>
      </c>
      <c r="F41" s="2">
        <v>9.2568767364136875</v>
      </c>
      <c r="G41" s="2">
        <v>0.84709191853180532</v>
      </c>
      <c r="H41" s="2">
        <v>40</v>
      </c>
      <c r="I41" s="2">
        <v>25</v>
      </c>
      <c r="J41" s="2">
        <f>(IF(A41='Hybrid Calculator'!$B$6,0,1))^2+((B41-'Hybrid Calculator'!$B$7)/1500)^2+((C41-'Hybrid Calculator'!$B$8)/1300)^2+((D41-'Hybrid Calculator'!$B$9)/800)^2+((E41-'Hybrid Calculator'!$B$10)/350)^2+((F41-'Hybrid Calculator'!$B$11)/30)^2+(G41-'Hybrid Calculator'!$B$12)^2+((H41-'Hybrid Calculator'!$E$14)/IF(A41="Lightning",100,30000))^2+((I41-'Hybrid Calculator'!$E$17)/IF(A41="Lightning",100,30000))^2</f>
        <v>0.20040217901812013</v>
      </c>
      <c r="K41" s="2">
        <f t="shared" si="0"/>
        <v>448</v>
      </c>
      <c r="L41" s="2">
        <f t="shared" si="1"/>
        <v>0</v>
      </c>
      <c r="M41" s="2">
        <f t="shared" si="2"/>
        <v>0</v>
      </c>
      <c r="N41" s="2">
        <v>2.3926821153103184E-2</v>
      </c>
      <c r="O41" s="2">
        <f t="shared" si="3"/>
        <v>0</v>
      </c>
      <c r="P41" s="2">
        <v>-1.2905875874189121E-2</v>
      </c>
      <c r="Q41" s="2">
        <v>-7.5021944714480924</v>
      </c>
    </row>
    <row r="42" spans="1:17" ht="15">
      <c r="A42" s="2" t="s">
        <v>13</v>
      </c>
      <c r="B42" s="2">
        <v>1365.1213158387691</v>
      </c>
      <c r="C42" s="2">
        <v>1222.5124664488249</v>
      </c>
      <c r="D42" s="2">
        <v>729.48302309960127</v>
      </c>
      <c r="E42" s="2">
        <v>250.907533087302</v>
      </c>
      <c r="F42" s="2">
        <v>23.0065638422966</v>
      </c>
      <c r="G42" s="2">
        <v>0.80868711775401614</v>
      </c>
      <c r="H42" s="2">
        <v>30</v>
      </c>
      <c r="I42" s="2">
        <v>25</v>
      </c>
      <c r="J42" s="2">
        <f>(IF(A42='Hybrid Calculator'!$B$6,0,1))^2+((B42-'Hybrid Calculator'!$B$7)/1500)^2+((C42-'Hybrid Calculator'!$B$8)/1300)^2+((D42-'Hybrid Calculator'!$B$9)/800)^2+((E42-'Hybrid Calculator'!$B$10)/350)^2+((F42-'Hybrid Calculator'!$B$11)/30)^2+(G42-'Hybrid Calculator'!$B$12)^2+((H42-'Hybrid Calculator'!$E$14)/IF(A42="Lightning",100,30000))^2+((I42-'Hybrid Calculator'!$E$17)/IF(A42="Lightning",100,30000))^2</f>
        <v>0.31180314314673863</v>
      </c>
      <c r="K42" s="2">
        <f t="shared" si="0"/>
        <v>610</v>
      </c>
      <c r="L42" s="2">
        <f t="shared" si="1"/>
        <v>0</v>
      </c>
      <c r="M42" s="2">
        <f t="shared" si="2"/>
        <v>0</v>
      </c>
      <c r="N42" s="2">
        <v>1.8070931066222151E-2</v>
      </c>
      <c r="O42" s="2">
        <f t="shared" si="3"/>
        <v>0</v>
      </c>
      <c r="P42" s="2">
        <v>-0.29707321272589837</v>
      </c>
      <c r="Q42" s="2">
        <v>-16.590545745663803</v>
      </c>
    </row>
    <row r="43" spans="1:17" ht="15">
      <c r="A43" s="2" t="s">
        <v>13</v>
      </c>
      <c r="B43" s="2">
        <v>1370.1679543708451</v>
      </c>
      <c r="C43" s="2">
        <v>1031.8570831557736</v>
      </c>
      <c r="D43" s="2">
        <v>420.63633622601628</v>
      </c>
      <c r="E43" s="2">
        <v>106.2398743070662</v>
      </c>
      <c r="F43" s="2">
        <v>28.750220707152039</v>
      </c>
      <c r="G43" s="2">
        <v>0.83555112434085466</v>
      </c>
      <c r="H43" s="2">
        <v>45</v>
      </c>
      <c r="I43" s="2">
        <v>25</v>
      </c>
      <c r="J43" s="2">
        <f>(IF(A43='Hybrid Calculator'!$B$6,0,1))^2+((B43-'Hybrid Calculator'!$B$7)/1500)^2+((C43-'Hybrid Calculator'!$B$8)/1300)^2+((D43-'Hybrid Calculator'!$B$9)/800)^2+((E43-'Hybrid Calculator'!$B$10)/350)^2+((F43-'Hybrid Calculator'!$B$11)/30)^2+(G43-'Hybrid Calculator'!$B$12)^2+((H43-'Hybrid Calculator'!$E$14)/IF(A43="Lightning",100,30000))^2+((I43-'Hybrid Calculator'!$E$17)/IF(A43="Lightning",100,30000))^2</f>
        <v>0.16586223383913409</v>
      </c>
      <c r="K43" s="2">
        <f t="shared" si="0"/>
        <v>371</v>
      </c>
      <c r="L43" s="2">
        <f t="shared" si="1"/>
        <v>0</v>
      </c>
      <c r="M43" s="2">
        <f t="shared" si="2"/>
        <v>0</v>
      </c>
      <c r="N43" s="2">
        <v>-1.5338118437612014E-2</v>
      </c>
      <c r="O43" s="2">
        <f t="shared" si="3"/>
        <v>0</v>
      </c>
      <c r="P43" s="2">
        <v>1.1901068896869305</v>
      </c>
      <c r="Q43" s="2">
        <v>-15.779230188988549</v>
      </c>
    </row>
    <row r="44" spans="1:17" ht="15">
      <c r="A44" s="2" t="s">
        <v>13</v>
      </c>
      <c r="B44" s="2">
        <v>1361.2942542415112</v>
      </c>
      <c r="C44" s="2">
        <v>1050.4567053983919</v>
      </c>
      <c r="D44" s="2">
        <v>442.92150195688009</v>
      </c>
      <c r="E44" s="2">
        <v>240.91997810872272</v>
      </c>
      <c r="F44" s="2">
        <v>19.930900510400534</v>
      </c>
      <c r="G44" s="2">
        <v>0.85161772225284949</v>
      </c>
      <c r="H44" s="2">
        <v>45</v>
      </c>
      <c r="I44" s="2">
        <v>25</v>
      </c>
      <c r="J44" s="2">
        <f>(IF(A44='Hybrid Calculator'!$B$6,0,1))^2+((B44-'Hybrid Calculator'!$B$7)/1500)^2+((C44-'Hybrid Calculator'!$B$8)/1300)^2+((D44-'Hybrid Calculator'!$B$9)/800)^2+((E44-'Hybrid Calculator'!$B$10)/350)^2+((F44-'Hybrid Calculator'!$B$11)/30)^2+(G44-'Hybrid Calculator'!$B$12)^2+((H44-'Hybrid Calculator'!$E$14)/IF(A44="Lightning",100,30000))^2+((I44-'Hybrid Calculator'!$E$17)/IF(A44="Lightning",100,30000))^2</f>
        <v>0.10392697274856383</v>
      </c>
      <c r="K44" s="2">
        <f t="shared" si="0"/>
        <v>213</v>
      </c>
      <c r="L44" s="2">
        <f t="shared" si="1"/>
        <v>0</v>
      </c>
      <c r="M44" s="2">
        <f t="shared" si="2"/>
        <v>0</v>
      </c>
      <c r="N44" s="2">
        <v>6.142440566687668E-3</v>
      </c>
      <c r="O44" s="2">
        <f t="shared" si="3"/>
        <v>0</v>
      </c>
      <c r="P44" s="2">
        <v>-0.68111771197084892</v>
      </c>
      <c r="Q44" s="2">
        <v>-4.6789737461874665</v>
      </c>
    </row>
    <row r="45" spans="1:17" ht="15">
      <c r="A45" s="2" t="s">
        <v>13</v>
      </c>
      <c r="B45" s="2">
        <v>1462.3568754759617</v>
      </c>
      <c r="C45" s="2">
        <v>1092.1012247679755</v>
      </c>
      <c r="D45" s="2">
        <v>685.13913648203015</v>
      </c>
      <c r="E45" s="2">
        <v>308.4874627366662</v>
      </c>
      <c r="F45" s="2">
        <v>21.457729341927916</v>
      </c>
      <c r="G45" s="2">
        <v>0.79676571625750514</v>
      </c>
      <c r="H45" s="2">
        <v>30</v>
      </c>
      <c r="I45" s="2">
        <v>25</v>
      </c>
      <c r="J45" s="2">
        <f>(IF(A45='Hybrid Calculator'!$B$6,0,1))^2+((B45-'Hybrid Calculator'!$B$7)/1500)^2+((C45-'Hybrid Calculator'!$B$8)/1300)^2+((D45-'Hybrid Calculator'!$B$9)/800)^2+((E45-'Hybrid Calculator'!$B$10)/350)^2+((F45-'Hybrid Calculator'!$B$11)/30)^2+(G45-'Hybrid Calculator'!$B$12)^2+((H45-'Hybrid Calculator'!$E$14)/IF(A45="Lightning",100,30000))^2+((I45-'Hybrid Calculator'!$E$17)/IF(A45="Lightning",100,30000))^2</f>
        <v>0.34416668227932701</v>
      </c>
      <c r="K45" s="2">
        <f t="shared" si="0"/>
        <v>643</v>
      </c>
      <c r="L45" s="2">
        <f t="shared" si="1"/>
        <v>0</v>
      </c>
      <c r="M45" s="2">
        <f t="shared" si="2"/>
        <v>0</v>
      </c>
      <c r="N45" s="2">
        <v>1.3774070465905952E-2</v>
      </c>
      <c r="O45" s="2">
        <f t="shared" si="3"/>
        <v>0</v>
      </c>
      <c r="P45" s="2">
        <v>1.1744527149314621</v>
      </c>
      <c r="Q45" s="2">
        <v>-23.946965899363477</v>
      </c>
    </row>
    <row r="46" spans="1:17" ht="15">
      <c r="A46" s="2" t="s">
        <v>13</v>
      </c>
      <c r="B46" s="2">
        <v>1389.1219146782532</v>
      </c>
      <c r="C46" s="2">
        <v>991.90673335688189</v>
      </c>
      <c r="D46" s="2">
        <v>355.40618225932121</v>
      </c>
      <c r="E46" s="2">
        <v>92.470241112168878</v>
      </c>
      <c r="F46" s="2">
        <v>15.66517189797014</v>
      </c>
      <c r="G46" s="2">
        <v>0.85187670411309235</v>
      </c>
      <c r="H46" s="2">
        <v>50</v>
      </c>
      <c r="I46" s="2">
        <v>25</v>
      </c>
      <c r="J46" s="2">
        <f>(IF(A46='Hybrid Calculator'!$B$6,0,1))^2+((B46-'Hybrid Calculator'!$B$7)/1500)^2+((C46-'Hybrid Calculator'!$B$8)/1300)^2+((D46-'Hybrid Calculator'!$B$9)/800)^2+((E46-'Hybrid Calculator'!$B$10)/350)^2+((F46-'Hybrid Calculator'!$B$11)/30)^2+(G46-'Hybrid Calculator'!$B$12)^2+((H46-'Hybrid Calculator'!$E$14)/IF(A46="Lightning",100,30000))^2+((I46-'Hybrid Calculator'!$E$17)/IF(A46="Lightning",100,30000))^2</f>
        <v>8.2118598573824433E-2</v>
      </c>
      <c r="K46" s="2">
        <f t="shared" si="0"/>
        <v>146</v>
      </c>
      <c r="L46" s="2">
        <f t="shared" si="1"/>
        <v>0</v>
      </c>
      <c r="M46" s="2">
        <f t="shared" si="2"/>
        <v>0</v>
      </c>
      <c r="N46" s="2">
        <v>1.0572801124243414E-2</v>
      </c>
      <c r="O46" s="2">
        <f t="shared" si="3"/>
        <v>0</v>
      </c>
      <c r="P46" s="2">
        <v>1.2667723664983299</v>
      </c>
      <c r="Q46" s="2">
        <v>2.72825505114929</v>
      </c>
    </row>
    <row r="47" spans="1:17" ht="15">
      <c r="A47" s="2" t="s">
        <v>13</v>
      </c>
      <c r="B47" s="2">
        <v>1447.4562385934405</v>
      </c>
      <c r="C47" s="2">
        <v>1167.4714174121618</v>
      </c>
      <c r="D47" s="2">
        <v>512.77671447023749</v>
      </c>
      <c r="E47" s="2">
        <v>83.175475751049817</v>
      </c>
      <c r="F47" s="2">
        <v>27.165652827825397</v>
      </c>
      <c r="G47" s="2">
        <v>0.85193960013799375</v>
      </c>
      <c r="H47" s="2">
        <v>40</v>
      </c>
      <c r="I47" s="2">
        <v>25</v>
      </c>
      <c r="J47" s="2">
        <f>(IF(A47='Hybrid Calculator'!$B$6,0,1))^2+((B47-'Hybrid Calculator'!$B$7)/1500)^2+((C47-'Hybrid Calculator'!$B$8)/1300)^2+((D47-'Hybrid Calculator'!$B$9)/800)^2+((E47-'Hybrid Calculator'!$B$10)/350)^2+((F47-'Hybrid Calculator'!$B$11)/30)^2+(G47-'Hybrid Calculator'!$B$12)^2+((H47-'Hybrid Calculator'!$E$14)/IF(A47="Lightning",100,30000))^2+((I47-'Hybrid Calculator'!$E$17)/IF(A47="Lightning",100,30000))^2</f>
        <v>0.19102772843300192</v>
      </c>
      <c r="K47" s="2">
        <f t="shared" si="0"/>
        <v>425</v>
      </c>
      <c r="L47" s="2">
        <f t="shared" si="1"/>
        <v>0</v>
      </c>
      <c r="M47" s="2">
        <f t="shared" si="2"/>
        <v>0</v>
      </c>
      <c r="N47" s="2">
        <v>-1.8295439522519885E-4</v>
      </c>
      <c r="O47" s="2">
        <f t="shared" si="3"/>
        <v>0</v>
      </c>
      <c r="P47" s="2">
        <v>-0.31852007028054174</v>
      </c>
      <c r="Q47" s="2">
        <v>-15.064800259783624</v>
      </c>
    </row>
    <row r="48" spans="1:17" ht="15">
      <c r="A48" s="2" t="s">
        <v>13</v>
      </c>
      <c r="B48" s="2">
        <v>1376.1366072110832</v>
      </c>
      <c r="C48" s="2">
        <v>1126.6223046346568</v>
      </c>
      <c r="D48" s="2">
        <v>623.88688270002604</v>
      </c>
      <c r="E48" s="2">
        <v>116.15840623388067</v>
      </c>
      <c r="F48" s="2">
        <v>19.453503021970391</v>
      </c>
      <c r="G48" s="2">
        <v>0.85144453848944979</v>
      </c>
      <c r="H48" s="2">
        <v>40</v>
      </c>
      <c r="I48" s="2">
        <v>25</v>
      </c>
      <c r="J48" s="2">
        <f>(IF(A48='Hybrid Calculator'!$B$6,0,1))^2+((B48-'Hybrid Calculator'!$B$7)/1500)^2+((C48-'Hybrid Calculator'!$B$8)/1300)^2+((D48-'Hybrid Calculator'!$B$9)/800)^2+((E48-'Hybrid Calculator'!$B$10)/350)^2+((F48-'Hybrid Calculator'!$B$11)/30)^2+(G48-'Hybrid Calculator'!$B$12)^2+((H48-'Hybrid Calculator'!$E$14)/IF(A48="Lightning",100,30000))^2+((I48-'Hybrid Calculator'!$E$17)/IF(A48="Lightning",100,30000))^2</f>
        <v>9.1668357025337266E-2</v>
      </c>
      <c r="K48" s="2">
        <f t="shared" si="0"/>
        <v>179</v>
      </c>
      <c r="L48" s="2">
        <f t="shared" si="1"/>
        <v>0</v>
      </c>
      <c r="M48" s="2">
        <f t="shared" si="2"/>
        <v>0</v>
      </c>
      <c r="N48" s="2">
        <v>6.6385346165827031E-3</v>
      </c>
      <c r="O48" s="2">
        <f t="shared" si="3"/>
        <v>0</v>
      </c>
      <c r="P48" s="2">
        <v>0.83625463197229521</v>
      </c>
      <c r="Q48" s="2">
        <v>-14.318016130700926</v>
      </c>
    </row>
    <row r="49" spans="1:17" ht="15">
      <c r="A49" s="2" t="s">
        <v>13</v>
      </c>
      <c r="B49" s="2">
        <v>1437.7821055823006</v>
      </c>
      <c r="C49" s="2">
        <v>1010.3864907519892</v>
      </c>
      <c r="D49" s="2">
        <v>397.36193055287004</v>
      </c>
      <c r="E49" s="2">
        <v>87.425440708175302</v>
      </c>
      <c r="F49" s="2">
        <v>20.382635646034032</v>
      </c>
      <c r="G49" s="2">
        <v>0.80842975972685971</v>
      </c>
      <c r="H49" s="2">
        <v>50</v>
      </c>
      <c r="I49" s="2">
        <v>25</v>
      </c>
      <c r="J49" s="2">
        <f>(IF(A49='Hybrid Calculator'!$B$6,0,1))^2+((B49-'Hybrid Calculator'!$B$7)/1500)^2+((C49-'Hybrid Calculator'!$B$8)/1300)^2+((D49-'Hybrid Calculator'!$B$9)/800)^2+((E49-'Hybrid Calculator'!$B$10)/350)^2+((F49-'Hybrid Calculator'!$B$11)/30)^2+(G49-'Hybrid Calculator'!$B$12)^2+((H49-'Hybrid Calculator'!$E$14)/IF(A49="Lightning",100,30000))^2+((I49-'Hybrid Calculator'!$E$17)/IF(A49="Lightning",100,30000))^2</f>
        <v>6.7789965990317003E-2</v>
      </c>
      <c r="K49" s="2">
        <f t="shared" si="0"/>
        <v>105</v>
      </c>
      <c r="L49" s="2">
        <f t="shared" si="1"/>
        <v>0</v>
      </c>
      <c r="M49" s="2">
        <f t="shared" si="2"/>
        <v>0</v>
      </c>
      <c r="N49" s="2">
        <v>-1.228697222394004E-2</v>
      </c>
      <c r="O49" s="2">
        <f t="shared" si="3"/>
        <v>0</v>
      </c>
      <c r="P49" s="2">
        <v>-0.49685496227759529</v>
      </c>
      <c r="Q49" s="2">
        <v>4.5292849566487803</v>
      </c>
    </row>
    <row r="50" spans="1:17" ht="15">
      <c r="A50" s="2" t="s">
        <v>13</v>
      </c>
      <c r="B50" s="2">
        <v>1392.8062971448526</v>
      </c>
      <c r="C50" s="2">
        <v>977.71600388223305</v>
      </c>
      <c r="D50" s="2">
        <v>463.72692696750164</v>
      </c>
      <c r="E50" s="2">
        <v>209.71110612852499</v>
      </c>
      <c r="F50" s="2">
        <v>24.539210711605847</v>
      </c>
      <c r="G50" s="2">
        <v>0.83741937176091596</v>
      </c>
      <c r="H50" s="2">
        <v>45</v>
      </c>
      <c r="I50" s="2">
        <v>25</v>
      </c>
      <c r="J50" s="2">
        <f>(IF(A50='Hybrid Calculator'!$B$6,0,1))^2+((B50-'Hybrid Calculator'!$B$7)/1500)^2+((C50-'Hybrid Calculator'!$B$8)/1300)^2+((D50-'Hybrid Calculator'!$B$9)/800)^2+((E50-'Hybrid Calculator'!$B$10)/350)^2+((F50-'Hybrid Calculator'!$B$11)/30)^2+(G50-'Hybrid Calculator'!$B$12)^2+((H50-'Hybrid Calculator'!$E$14)/IF(A50="Lightning",100,30000))^2+((I50-'Hybrid Calculator'!$E$17)/IF(A50="Lightning",100,30000))^2</f>
        <v>8.460156817615147E-2</v>
      </c>
      <c r="K50" s="2">
        <f t="shared" si="0"/>
        <v>151</v>
      </c>
      <c r="L50" s="2">
        <f t="shared" si="1"/>
        <v>0</v>
      </c>
      <c r="M50" s="2">
        <f t="shared" si="2"/>
        <v>0</v>
      </c>
      <c r="N50" s="2">
        <v>-1.380959487861233E-2</v>
      </c>
      <c r="O50" s="2">
        <f t="shared" si="3"/>
        <v>0</v>
      </c>
      <c r="P50" s="2">
        <v>0.61454209344034894</v>
      </c>
      <c r="Q50" s="2">
        <v>-7.779869328603354</v>
      </c>
    </row>
    <row r="51" spans="1:17" ht="15">
      <c r="A51" s="2" t="s">
        <v>13</v>
      </c>
      <c r="B51" s="2">
        <v>1452.3369840695523</v>
      </c>
      <c r="C51" s="2">
        <v>1049.8804588336498</v>
      </c>
      <c r="D51" s="2">
        <v>580.26723889634013</v>
      </c>
      <c r="E51" s="2">
        <v>123.9069498097524</v>
      </c>
      <c r="F51" s="2">
        <v>10.169118277262896</v>
      </c>
      <c r="G51" s="2">
        <v>0.80525349771603949</v>
      </c>
      <c r="H51" s="2">
        <v>40</v>
      </c>
      <c r="I51" s="2">
        <v>25</v>
      </c>
      <c r="J51" s="2">
        <f>(IF(A51='Hybrid Calculator'!$B$6,0,1))^2+((B51-'Hybrid Calculator'!$B$7)/1500)^2+((C51-'Hybrid Calculator'!$B$8)/1300)^2+((D51-'Hybrid Calculator'!$B$9)/800)^2+((E51-'Hybrid Calculator'!$B$10)/350)^2+((F51-'Hybrid Calculator'!$B$11)/30)^2+(G51-'Hybrid Calculator'!$B$12)^2+((H51-'Hybrid Calculator'!$E$14)/IF(A51="Lightning",100,30000))^2+((I51-'Hybrid Calculator'!$E$17)/IF(A51="Lightning",100,30000))^2</f>
        <v>0.12692990966459758</v>
      </c>
      <c r="K51" s="2">
        <f t="shared" si="0"/>
        <v>269</v>
      </c>
      <c r="L51" s="2">
        <f t="shared" si="1"/>
        <v>0</v>
      </c>
      <c r="M51" s="2">
        <f t="shared" si="2"/>
        <v>0</v>
      </c>
      <c r="N51" s="2">
        <v>-9.2939351976517592E-4</v>
      </c>
      <c r="O51" s="2">
        <f t="shared" si="3"/>
        <v>0</v>
      </c>
      <c r="P51" s="2">
        <v>1.3489846767786489</v>
      </c>
      <c r="Q51" s="2">
        <v>3.1746485332264456</v>
      </c>
    </row>
    <row r="52" spans="1:17" ht="15">
      <c r="A52" s="2" t="s">
        <v>13</v>
      </c>
      <c r="B52" s="2">
        <v>1399.6517332736403</v>
      </c>
      <c r="C52" s="2">
        <v>759.19584202347323</v>
      </c>
      <c r="D52" s="2">
        <v>419.16203331202269</v>
      </c>
      <c r="E52" s="2">
        <v>97.453677312005311</v>
      </c>
      <c r="F52" s="2">
        <v>20.429538778960705</v>
      </c>
      <c r="G52" s="2">
        <v>0.85754855217644943</v>
      </c>
      <c r="H52" s="2">
        <v>60</v>
      </c>
      <c r="I52" s="2">
        <v>25</v>
      </c>
      <c r="J52" s="2">
        <f>(IF(A52='Hybrid Calculator'!$B$6,0,1))^2+((B52-'Hybrid Calculator'!$B$7)/1500)^2+((C52-'Hybrid Calculator'!$B$8)/1300)^2+((D52-'Hybrid Calculator'!$B$9)/800)^2+((E52-'Hybrid Calculator'!$B$10)/350)^2+((F52-'Hybrid Calculator'!$B$11)/30)^2+(G52-'Hybrid Calculator'!$B$12)^2+((H52-'Hybrid Calculator'!$E$14)/IF(A52="Lightning",100,30000))^2+((I52-'Hybrid Calculator'!$E$17)/IF(A52="Lightning",100,30000))^2</f>
        <v>5.3461508137892889E-2</v>
      </c>
      <c r="K52" s="2">
        <f t="shared" si="0"/>
        <v>63</v>
      </c>
      <c r="L52" s="2">
        <f t="shared" si="1"/>
        <v>0</v>
      </c>
      <c r="M52" s="2">
        <f t="shared" si="2"/>
        <v>0</v>
      </c>
      <c r="N52" s="2">
        <v>-1.1014725672604309E-2</v>
      </c>
      <c r="O52" s="2">
        <f t="shared" si="3"/>
        <v>0</v>
      </c>
      <c r="P52" s="2">
        <v>-1.3566694788258786</v>
      </c>
      <c r="Q52" s="2">
        <v>7.6176188762881338</v>
      </c>
    </row>
    <row r="53" spans="1:17" ht="15">
      <c r="A53" s="2" t="s">
        <v>13</v>
      </c>
      <c r="B53" s="2">
        <v>1430.1515317638405</v>
      </c>
      <c r="C53" s="2">
        <v>876.55074407812208</v>
      </c>
      <c r="D53" s="2">
        <v>553.52665754035115</v>
      </c>
      <c r="E53" s="2">
        <v>145.04346383735538</v>
      </c>
      <c r="F53" s="2">
        <v>10.698156310711056</v>
      </c>
      <c r="G53" s="2">
        <v>0.81490276002790785</v>
      </c>
      <c r="H53" s="2">
        <v>50</v>
      </c>
      <c r="I53" s="2">
        <v>25</v>
      </c>
      <c r="J53" s="2">
        <f>(IF(A53='Hybrid Calculator'!$B$6,0,1))^2+((B53-'Hybrid Calculator'!$B$7)/1500)^2+((C53-'Hybrid Calculator'!$B$8)/1300)^2+((D53-'Hybrid Calculator'!$B$9)/800)^2+((E53-'Hybrid Calculator'!$B$10)/350)^2+((F53-'Hybrid Calculator'!$B$11)/30)^2+(G53-'Hybrid Calculator'!$B$12)^2+((H53-'Hybrid Calculator'!$E$14)/IF(A53="Lightning",100,30000))^2+((I53-'Hybrid Calculator'!$E$17)/IF(A53="Lightning",100,30000))^2</f>
        <v>7.2764135682912956E-2</v>
      </c>
      <c r="K53" s="2">
        <f t="shared" si="0"/>
        <v>117</v>
      </c>
      <c r="L53" s="2">
        <f t="shared" si="1"/>
        <v>0</v>
      </c>
      <c r="M53" s="2">
        <f t="shared" si="2"/>
        <v>0</v>
      </c>
      <c r="N53" s="2">
        <v>-2.5740224094288333E-3</v>
      </c>
      <c r="O53" s="2">
        <f t="shared" si="3"/>
        <v>0</v>
      </c>
      <c r="P53" s="2">
        <v>0.94819771848199252</v>
      </c>
      <c r="Q53" s="2">
        <v>14.595026207381352</v>
      </c>
    </row>
    <row r="54" spans="1:17" ht="15">
      <c r="A54" s="2" t="s">
        <v>13</v>
      </c>
      <c r="B54" s="2">
        <v>1358.8952935533598</v>
      </c>
      <c r="C54" s="2">
        <v>1136.9524426874705</v>
      </c>
      <c r="D54" s="2">
        <v>422.68218100070953</v>
      </c>
      <c r="E54" s="2">
        <v>206.09837198397145</v>
      </c>
      <c r="F54" s="2">
        <v>25.744637968949974</v>
      </c>
      <c r="G54" s="2">
        <v>0.83043696954613555</v>
      </c>
      <c r="H54" s="2">
        <v>40</v>
      </c>
      <c r="I54" s="2">
        <v>25</v>
      </c>
      <c r="J54" s="2">
        <f>(IF(A54='Hybrid Calculator'!$B$6,0,1))^2+((B54-'Hybrid Calculator'!$B$7)/1500)^2+((C54-'Hybrid Calculator'!$B$8)/1300)^2+((D54-'Hybrid Calculator'!$B$9)/800)^2+((E54-'Hybrid Calculator'!$B$10)/350)^2+((F54-'Hybrid Calculator'!$B$11)/30)^2+(G54-'Hybrid Calculator'!$B$12)^2+((H54-'Hybrid Calculator'!$E$14)/IF(A54="Lightning",100,30000))^2+((I54-'Hybrid Calculator'!$E$17)/IF(A54="Lightning",100,30000))^2</f>
        <v>0.15412111603965845</v>
      </c>
      <c r="K54" s="2">
        <f t="shared" si="0"/>
        <v>337</v>
      </c>
      <c r="L54" s="2">
        <f t="shared" si="1"/>
        <v>0</v>
      </c>
      <c r="M54" s="2">
        <f t="shared" si="2"/>
        <v>0</v>
      </c>
      <c r="N54" s="2">
        <v>-1.2626988671631256E-2</v>
      </c>
      <c r="O54" s="2">
        <f t="shared" si="3"/>
        <v>0</v>
      </c>
      <c r="P54" s="2">
        <v>1.2993128079358911</v>
      </c>
      <c r="Q54" s="2">
        <v>-7.5634010160317757</v>
      </c>
    </row>
    <row r="55" spans="1:17" ht="15">
      <c r="A55" s="2" t="s">
        <v>13</v>
      </c>
      <c r="B55" s="2">
        <v>1453.8600531290285</v>
      </c>
      <c r="C55" s="2">
        <v>1208.1607659347355</v>
      </c>
      <c r="D55" s="2">
        <v>351.45335262641311</v>
      </c>
      <c r="E55" s="2">
        <v>102.62979338411242</v>
      </c>
      <c r="F55" s="2">
        <v>22.594772098120302</v>
      </c>
      <c r="G55" s="2">
        <v>0.79070037894882261</v>
      </c>
      <c r="H55" s="2">
        <v>40</v>
      </c>
      <c r="I55" s="2">
        <v>25</v>
      </c>
      <c r="J55" s="2">
        <f>(IF(A55='Hybrid Calculator'!$B$6,0,1))^2+((B55-'Hybrid Calculator'!$B$7)/1500)^2+((C55-'Hybrid Calculator'!$B$8)/1300)^2+((D55-'Hybrid Calculator'!$B$9)/800)^2+((E55-'Hybrid Calculator'!$B$10)/350)^2+((F55-'Hybrid Calculator'!$B$11)/30)^2+(G55-'Hybrid Calculator'!$B$12)^2+((H55-'Hybrid Calculator'!$E$14)/IF(A55="Lightning",100,30000))^2+((I55-'Hybrid Calculator'!$E$17)/IF(A55="Lightning",100,30000))^2</f>
        <v>0.15855977617180661</v>
      </c>
      <c r="K55" s="2">
        <f t="shared" si="0"/>
        <v>347</v>
      </c>
      <c r="L55" s="2">
        <f t="shared" si="1"/>
        <v>0</v>
      </c>
      <c r="M55" s="2">
        <f t="shared" si="2"/>
        <v>0</v>
      </c>
      <c r="N55" s="2">
        <v>-1.9837264309301439E-3</v>
      </c>
      <c r="O55" s="2">
        <f t="shared" si="3"/>
        <v>0</v>
      </c>
      <c r="P55" s="2">
        <v>0.29595185588548389</v>
      </c>
      <c r="Q55" s="2">
        <v>-8.5235505790060415</v>
      </c>
    </row>
    <row r="56" spans="1:17" ht="15">
      <c r="A56" s="2" t="s">
        <v>13</v>
      </c>
      <c r="B56" s="2">
        <v>1372.0306986942887</v>
      </c>
      <c r="C56" s="2">
        <v>748.00199646269903</v>
      </c>
      <c r="D56" s="2">
        <v>704.83461935073137</v>
      </c>
      <c r="E56" s="2">
        <v>323.25122829759493</v>
      </c>
      <c r="F56" s="2">
        <v>13.262316172942519</v>
      </c>
      <c r="G56" s="2">
        <v>0.80915856265695774</v>
      </c>
      <c r="H56" s="2">
        <v>40</v>
      </c>
      <c r="I56" s="2">
        <v>25</v>
      </c>
      <c r="J56" s="2">
        <f>(IF(A56='Hybrid Calculator'!$B$6,0,1))^2+((B56-'Hybrid Calculator'!$B$7)/1500)^2+((C56-'Hybrid Calculator'!$B$8)/1300)^2+((D56-'Hybrid Calculator'!$B$9)/800)^2+((E56-'Hybrid Calculator'!$B$10)/350)^2+((F56-'Hybrid Calculator'!$B$11)/30)^2+(G56-'Hybrid Calculator'!$B$12)^2+((H56-'Hybrid Calculator'!$E$14)/IF(A56="Lightning",100,30000))^2+((I56-'Hybrid Calculator'!$E$17)/IF(A56="Lightning",100,30000))^2</f>
        <v>0.35858861985928214</v>
      </c>
      <c r="K56" s="2">
        <f t="shared" si="0"/>
        <v>656</v>
      </c>
      <c r="L56" s="2">
        <f t="shared" si="1"/>
        <v>0</v>
      </c>
      <c r="M56" s="2">
        <f t="shared" si="2"/>
        <v>0</v>
      </c>
      <c r="N56" s="2">
        <v>4.9743405631916815E-3</v>
      </c>
      <c r="O56" s="2">
        <f t="shared" si="3"/>
        <v>0</v>
      </c>
      <c r="P56" s="2">
        <v>-0.19311809185111883</v>
      </c>
      <c r="Q56" s="2">
        <v>-4.9938476772081231</v>
      </c>
    </row>
    <row r="57" spans="1:17" ht="15">
      <c r="A57" s="2" t="s">
        <v>13</v>
      </c>
      <c r="B57" s="2">
        <v>1401.5314587042667</v>
      </c>
      <c r="C57" s="2">
        <v>759.07630028668791</v>
      </c>
      <c r="D57" s="2">
        <v>369.80238864198327</v>
      </c>
      <c r="E57" s="2">
        <v>120.86342896334827</v>
      </c>
      <c r="F57" s="2">
        <v>8.713874523062259</v>
      </c>
      <c r="G57" s="2">
        <v>0.80013089512009172</v>
      </c>
      <c r="H57" s="2">
        <v>60</v>
      </c>
      <c r="I57" s="2">
        <v>25</v>
      </c>
      <c r="J57" s="2">
        <f>(IF(A57='Hybrid Calculator'!$B$6,0,1))^2+((B57-'Hybrid Calculator'!$B$7)/1500)^2+((C57-'Hybrid Calculator'!$B$8)/1300)^2+((D57-'Hybrid Calculator'!$B$9)/800)^2+((E57-'Hybrid Calculator'!$B$10)/350)^2+((F57-'Hybrid Calculator'!$B$11)/30)^2+(G57-'Hybrid Calculator'!$B$12)^2+((H57-'Hybrid Calculator'!$E$14)/IF(A57="Lightning",100,30000))^2+((I57-'Hybrid Calculator'!$E$17)/IF(A57="Lightning",100,30000))^2</f>
        <v>0.15535723550525193</v>
      </c>
      <c r="K57" s="2">
        <f t="shared" si="0"/>
        <v>343</v>
      </c>
      <c r="L57" s="2">
        <f t="shared" si="1"/>
        <v>0</v>
      </c>
      <c r="M57" s="2">
        <f t="shared" si="2"/>
        <v>0</v>
      </c>
      <c r="N57" s="2">
        <v>-1.3178057426315171E-2</v>
      </c>
      <c r="O57" s="2">
        <f t="shared" si="3"/>
        <v>0</v>
      </c>
      <c r="P57" s="2">
        <v>-0.45298143892699017</v>
      </c>
      <c r="Q57" s="2">
        <v>26.439185048378476</v>
      </c>
    </row>
    <row r="58" spans="1:17" ht="15">
      <c r="A58" s="2" t="s">
        <v>13</v>
      </c>
      <c r="B58" s="2">
        <v>1357.3221699334681</v>
      </c>
      <c r="C58" s="2">
        <v>688.04770832648501</v>
      </c>
      <c r="D58" s="2">
        <v>543.93619988113642</v>
      </c>
      <c r="E58" s="2">
        <v>172.20896108308807</v>
      </c>
      <c r="F58" s="2">
        <v>23.836816193535924</v>
      </c>
      <c r="G58" s="2">
        <v>0.81439831159310416</v>
      </c>
      <c r="H58" s="2">
        <v>50</v>
      </c>
      <c r="I58" s="2">
        <v>25</v>
      </c>
      <c r="J58" s="2">
        <f>(IF(A58='Hybrid Calculator'!$B$6,0,1))^2+((B58-'Hybrid Calculator'!$B$7)/1500)^2+((C58-'Hybrid Calculator'!$B$8)/1300)^2+((D58-'Hybrid Calculator'!$B$9)/800)^2+((E58-'Hybrid Calculator'!$B$10)/350)^2+((F58-'Hybrid Calculator'!$B$11)/30)^2+(G58-'Hybrid Calculator'!$B$12)^2+((H58-'Hybrid Calculator'!$E$14)/IF(A58="Lightning",100,30000))^2+((I58-'Hybrid Calculator'!$E$17)/IF(A58="Lightning",100,30000))^2</f>
        <v>5.6275807954174112E-2</v>
      </c>
      <c r="K58" s="2">
        <f t="shared" si="0"/>
        <v>73</v>
      </c>
      <c r="L58" s="2">
        <f t="shared" si="1"/>
        <v>0</v>
      </c>
      <c r="M58" s="2">
        <f t="shared" si="2"/>
        <v>0</v>
      </c>
      <c r="N58" s="2">
        <v>1.7774106099521791E-3</v>
      </c>
      <c r="O58" s="2">
        <f t="shared" si="3"/>
        <v>0</v>
      </c>
      <c r="P58" s="2">
        <v>-0.73870965328332971</v>
      </c>
      <c r="Q58" s="2">
        <v>-7.1821378809117959</v>
      </c>
    </row>
    <row r="59" spans="1:17" ht="15">
      <c r="A59" s="2" t="s">
        <v>13</v>
      </c>
      <c r="B59" s="2">
        <v>1378.5685557522811</v>
      </c>
      <c r="C59" s="2">
        <v>1079.5863003702834</v>
      </c>
      <c r="D59" s="2">
        <v>559.27263284102082</v>
      </c>
      <c r="E59" s="2">
        <v>94.754305826500058</v>
      </c>
      <c r="F59" s="2">
        <v>27.353210643399507</v>
      </c>
      <c r="G59" s="2">
        <v>0.8286263180756942</v>
      </c>
      <c r="H59" s="2">
        <v>40</v>
      </c>
      <c r="I59" s="2">
        <v>25</v>
      </c>
      <c r="J59" s="2">
        <f>(IF(A59='Hybrid Calculator'!$B$6,0,1))^2+((B59-'Hybrid Calculator'!$B$7)/1500)^2+((C59-'Hybrid Calculator'!$B$8)/1300)^2+((D59-'Hybrid Calculator'!$B$9)/800)^2+((E59-'Hybrid Calculator'!$B$10)/350)^2+((F59-'Hybrid Calculator'!$B$11)/30)^2+(G59-'Hybrid Calculator'!$B$12)^2+((H59-'Hybrid Calculator'!$E$14)/IF(A59="Lightning",100,30000))^2+((I59-'Hybrid Calculator'!$E$17)/IF(A59="Lightning",100,30000))^2</f>
        <v>0.15971444669708718</v>
      </c>
      <c r="K59" s="2">
        <f t="shared" si="0"/>
        <v>353</v>
      </c>
      <c r="L59" s="2">
        <f t="shared" si="1"/>
        <v>0</v>
      </c>
      <c r="M59" s="2">
        <f t="shared" si="2"/>
        <v>0</v>
      </c>
      <c r="N59" s="2">
        <v>2.3293888810715924E-3</v>
      </c>
      <c r="O59" s="2">
        <f t="shared" si="3"/>
        <v>0</v>
      </c>
      <c r="P59" s="2">
        <v>0.87463392075397906</v>
      </c>
      <c r="Q59" s="2">
        <v>-17.525000217544857</v>
      </c>
    </row>
    <row r="60" spans="1:17" ht="15">
      <c r="A60" s="2" t="s">
        <v>13</v>
      </c>
      <c r="B60" s="2">
        <v>1496.6327244183049</v>
      </c>
      <c r="C60" s="2">
        <v>691.09782424056903</v>
      </c>
      <c r="D60" s="2">
        <v>448.05428646504879</v>
      </c>
      <c r="E60" s="2">
        <v>271.003390296828</v>
      </c>
      <c r="F60" s="2">
        <v>27.998072233982384</v>
      </c>
      <c r="G60" s="2">
        <v>0.85484152477933095</v>
      </c>
      <c r="H60" s="2">
        <v>50</v>
      </c>
      <c r="I60" s="2">
        <v>25</v>
      </c>
      <c r="J60" s="2">
        <f>(IF(A60='Hybrid Calculator'!$B$6,0,1))^2+((B60-'Hybrid Calculator'!$B$7)/1500)^2+((C60-'Hybrid Calculator'!$B$8)/1300)^2+((D60-'Hybrid Calculator'!$B$9)/800)^2+((E60-'Hybrid Calculator'!$B$10)/350)^2+((F60-'Hybrid Calculator'!$B$11)/30)^2+(G60-'Hybrid Calculator'!$B$12)^2+((H60-'Hybrid Calculator'!$E$14)/IF(A60="Lightning",100,30000))^2+((I60-'Hybrid Calculator'!$E$17)/IF(A60="Lightning",100,30000))^2</f>
        <v>0.2424135889440282</v>
      </c>
      <c r="K60" s="2">
        <f t="shared" si="0"/>
        <v>526</v>
      </c>
      <c r="L60" s="2">
        <f t="shared" si="1"/>
        <v>0</v>
      </c>
      <c r="M60" s="2">
        <f t="shared" si="2"/>
        <v>0</v>
      </c>
      <c r="N60" s="2">
        <v>-1.7702633201457596E-2</v>
      </c>
      <c r="O60" s="2">
        <f t="shared" si="3"/>
        <v>0</v>
      </c>
      <c r="P60" s="2">
        <v>-0.41061902269177608</v>
      </c>
      <c r="Q60" s="2">
        <v>-9.6509696414859718</v>
      </c>
    </row>
    <row r="61" spans="1:17" ht="15">
      <c r="A61" s="2" t="s">
        <v>13</v>
      </c>
      <c r="B61" s="2">
        <v>1466.6385856806301</v>
      </c>
      <c r="C61" s="2">
        <v>718.04106892086565</v>
      </c>
      <c r="D61" s="2">
        <v>635.34749923273921</v>
      </c>
      <c r="E61" s="2">
        <v>167.8672277322039</v>
      </c>
      <c r="F61" s="2">
        <v>8.550698712002486</v>
      </c>
      <c r="G61" s="2">
        <v>0.80580438153818257</v>
      </c>
      <c r="H61" s="2">
        <v>45</v>
      </c>
      <c r="I61" s="2">
        <v>25</v>
      </c>
      <c r="J61" s="2">
        <f>(IF(A61='Hybrid Calculator'!$B$6,0,1))^2+((B61-'Hybrid Calculator'!$B$7)/1500)^2+((C61-'Hybrid Calculator'!$B$8)/1300)^2+((D61-'Hybrid Calculator'!$B$9)/800)^2+((E61-'Hybrid Calculator'!$B$10)/350)^2+((F61-'Hybrid Calculator'!$B$11)/30)^2+(G61-'Hybrid Calculator'!$B$12)^2+((H61-'Hybrid Calculator'!$E$14)/IF(A61="Lightning",100,30000))^2+((I61-'Hybrid Calculator'!$E$17)/IF(A61="Lightning",100,30000))^2</f>
        <v>0.15499243002260077</v>
      </c>
      <c r="K61" s="2">
        <f t="shared" si="0"/>
        <v>340</v>
      </c>
      <c r="L61" s="2">
        <f t="shared" si="1"/>
        <v>0</v>
      </c>
      <c r="M61" s="2">
        <f t="shared" si="2"/>
        <v>0</v>
      </c>
      <c r="N61" s="2">
        <v>3.8145922211409999E-3</v>
      </c>
      <c r="O61" s="2">
        <f t="shared" si="3"/>
        <v>0</v>
      </c>
      <c r="P61" s="2">
        <v>-0.5498223350124789</v>
      </c>
      <c r="Q61" s="2">
        <v>18.586219949086171</v>
      </c>
    </row>
    <row r="62" spans="1:17" ht="15">
      <c r="A62" s="2" t="s">
        <v>13</v>
      </c>
      <c r="B62" s="2">
        <v>1395.7971290219575</v>
      </c>
      <c r="C62" s="2">
        <v>823.58036896912381</v>
      </c>
      <c r="D62" s="2">
        <v>575.90923886746168</v>
      </c>
      <c r="E62" s="2">
        <v>123.90815674560145</v>
      </c>
      <c r="F62" s="2">
        <v>10.958908960223198</v>
      </c>
      <c r="G62" s="2">
        <v>0.85723344383994116</v>
      </c>
      <c r="H62" s="2">
        <v>50</v>
      </c>
      <c r="I62" s="2">
        <v>25</v>
      </c>
      <c r="J62" s="2">
        <f>(IF(A62='Hybrid Calculator'!$B$6,0,1))^2+((B62-'Hybrid Calculator'!$B$7)/1500)^2+((C62-'Hybrid Calculator'!$B$8)/1300)^2+((D62-'Hybrid Calculator'!$B$9)/800)^2+((E62-'Hybrid Calculator'!$B$10)/350)^2+((F62-'Hybrid Calculator'!$B$11)/30)^2+(G62-'Hybrid Calculator'!$B$12)^2+((H62-'Hybrid Calculator'!$E$14)/IF(A62="Lightning",100,30000))^2+((I62-'Hybrid Calculator'!$E$17)/IF(A62="Lightning",100,30000))^2</f>
        <v>7.9925977469008841E-2</v>
      </c>
      <c r="K62" s="2">
        <f t="shared" si="0"/>
        <v>140</v>
      </c>
      <c r="L62" s="2">
        <f t="shared" si="1"/>
        <v>0</v>
      </c>
      <c r="M62" s="2">
        <f t="shared" si="2"/>
        <v>0</v>
      </c>
      <c r="N62" s="2">
        <v>3.711717206360543E-3</v>
      </c>
      <c r="O62" s="2">
        <f t="shared" si="3"/>
        <v>0</v>
      </c>
      <c r="P62" s="2">
        <v>-0.29530718391395538</v>
      </c>
      <c r="Q62" s="2">
        <v>13.093900705262058</v>
      </c>
    </row>
    <row r="63" spans="1:17" ht="15">
      <c r="A63" s="2" t="s">
        <v>13</v>
      </c>
      <c r="B63" s="2">
        <v>1367.3760888283141</v>
      </c>
      <c r="C63" s="2">
        <v>1118.5576302697882</v>
      </c>
      <c r="D63" s="2">
        <v>591.82707788422704</v>
      </c>
      <c r="E63" s="2">
        <v>149.5265200920403</v>
      </c>
      <c r="F63" s="2">
        <v>24.708841300103813</v>
      </c>
      <c r="G63" s="2">
        <v>0.85764084314461797</v>
      </c>
      <c r="H63" s="2">
        <v>45</v>
      </c>
      <c r="I63" s="2">
        <v>25</v>
      </c>
      <c r="J63" s="2">
        <f>(IF(A63='Hybrid Calculator'!$B$6,0,1))^2+((B63-'Hybrid Calculator'!$B$7)/1500)^2+((C63-'Hybrid Calculator'!$B$8)/1300)^2+((D63-'Hybrid Calculator'!$B$9)/800)^2+((E63-'Hybrid Calculator'!$B$10)/350)^2+((F63-'Hybrid Calculator'!$B$11)/30)^2+(G63-'Hybrid Calculator'!$B$12)^2+((H63-'Hybrid Calculator'!$E$14)/IF(A63="Lightning",100,30000))^2+((I63-'Hybrid Calculator'!$E$17)/IF(A63="Lightning",100,30000))^2</f>
        <v>0.10407924085612753</v>
      </c>
      <c r="K63" s="2">
        <f t="shared" si="0"/>
        <v>215</v>
      </c>
      <c r="L63" s="2">
        <f t="shared" si="1"/>
        <v>0</v>
      </c>
      <c r="M63" s="2">
        <f t="shared" si="2"/>
        <v>0</v>
      </c>
      <c r="N63" s="2">
        <v>-1.0736203105737196E-2</v>
      </c>
      <c r="O63" s="2">
        <f t="shared" si="3"/>
        <v>0</v>
      </c>
      <c r="P63" s="2">
        <v>8.2315136943101663E-2</v>
      </c>
      <c r="Q63" s="2">
        <v>-17.2341395406836</v>
      </c>
    </row>
    <row r="64" spans="1:17" ht="15">
      <c r="A64" s="2" t="s">
        <v>13</v>
      </c>
      <c r="B64" s="2">
        <v>1483.2062606932595</v>
      </c>
      <c r="C64" s="2">
        <v>1191.4594562840648</v>
      </c>
      <c r="D64" s="2">
        <v>414.56333249807358</v>
      </c>
      <c r="E64" s="2">
        <v>189.65846566250548</v>
      </c>
      <c r="F64" s="2">
        <v>13.858501012437046</v>
      </c>
      <c r="G64" s="2">
        <v>0.84279025237774485</v>
      </c>
      <c r="H64" s="2">
        <v>40</v>
      </c>
      <c r="I64" s="2">
        <v>25</v>
      </c>
      <c r="J64" s="2">
        <f>(IF(A64='Hybrid Calculator'!$B$6,0,1))^2+((B64-'Hybrid Calculator'!$B$7)/1500)^2+((C64-'Hybrid Calculator'!$B$8)/1300)^2+((D64-'Hybrid Calculator'!$B$9)/800)^2+((E64-'Hybrid Calculator'!$B$10)/350)^2+((F64-'Hybrid Calculator'!$B$11)/30)^2+(G64-'Hybrid Calculator'!$B$12)^2+((H64-'Hybrid Calculator'!$E$14)/IF(A64="Lightning",100,30000))^2+((I64-'Hybrid Calculator'!$E$17)/IF(A64="Lightning",100,30000))^2</f>
        <v>0.12919774419089561</v>
      </c>
      <c r="K64" s="2">
        <f t="shared" si="0"/>
        <v>274</v>
      </c>
      <c r="L64" s="2">
        <f t="shared" si="1"/>
        <v>0</v>
      </c>
      <c r="M64" s="2">
        <f t="shared" si="2"/>
        <v>0</v>
      </c>
      <c r="N64" s="2">
        <v>1.8755397351670755E-2</v>
      </c>
      <c r="O64" s="2">
        <f t="shared" si="3"/>
        <v>0</v>
      </c>
      <c r="P64" s="2">
        <v>0.11157108878848021</v>
      </c>
      <c r="Q64" s="2">
        <v>-5.6795526597904882</v>
      </c>
    </row>
    <row r="65" spans="1:17" ht="15">
      <c r="A65" s="2" t="s">
        <v>13</v>
      </c>
      <c r="B65" s="2">
        <v>1493.1096407468431</v>
      </c>
      <c r="C65" s="2">
        <v>644.08878451213241</v>
      </c>
      <c r="D65" s="2">
        <v>403.83645510300994</v>
      </c>
      <c r="E65" s="2">
        <v>217.41095422301441</v>
      </c>
      <c r="F65" s="2">
        <v>10.428364952560514</v>
      </c>
      <c r="G65" s="2">
        <v>0.85161958788521597</v>
      </c>
      <c r="H65" s="2">
        <v>60</v>
      </c>
      <c r="I65" s="2">
        <v>25</v>
      </c>
      <c r="J65" s="2">
        <f>(IF(A65='Hybrid Calculator'!$B$6,0,1))^2+((B65-'Hybrid Calculator'!$B$7)/1500)^2+((C65-'Hybrid Calculator'!$B$8)/1300)^2+((D65-'Hybrid Calculator'!$B$9)/800)^2+((E65-'Hybrid Calculator'!$B$10)/350)^2+((F65-'Hybrid Calculator'!$B$11)/30)^2+(G65-'Hybrid Calculator'!$B$12)^2+((H65-'Hybrid Calculator'!$E$14)/IF(A65="Lightning",100,30000))^2+((I65-'Hybrid Calculator'!$E$17)/IF(A65="Lightning",100,30000))^2</f>
        <v>0.16208520157387943</v>
      </c>
      <c r="K65" s="2">
        <f t="shared" si="0"/>
        <v>359</v>
      </c>
      <c r="L65" s="2">
        <f t="shared" si="1"/>
        <v>0</v>
      </c>
      <c r="M65" s="2">
        <f t="shared" si="2"/>
        <v>0</v>
      </c>
      <c r="N65" s="2">
        <v>-1.4213796437274384E-2</v>
      </c>
      <c r="O65" s="2">
        <f t="shared" si="3"/>
        <v>0</v>
      </c>
      <c r="P65" s="2">
        <v>-5.75869916727072E-2</v>
      </c>
      <c r="Q65" s="2">
        <v>16.319861644560888</v>
      </c>
    </row>
    <row r="66" spans="1:17" ht="15">
      <c r="A66" s="2" t="s">
        <v>13</v>
      </c>
      <c r="B66" s="2">
        <v>1496.3152773678303</v>
      </c>
      <c r="C66" s="2">
        <v>914.04049567645416</v>
      </c>
      <c r="D66" s="2">
        <v>571.23694289475679</v>
      </c>
      <c r="E66" s="2">
        <v>152.99942761892453</v>
      </c>
      <c r="F66" s="2">
        <v>23.95214575342834</v>
      </c>
      <c r="G66" s="2">
        <v>0.80464820225955924</v>
      </c>
      <c r="H66" s="2">
        <v>40</v>
      </c>
      <c r="I66" s="2">
        <v>25</v>
      </c>
      <c r="J66" s="2">
        <f>(IF(A66='Hybrid Calculator'!$B$6,0,1))^2+((B66-'Hybrid Calculator'!$B$7)/1500)^2+((C66-'Hybrid Calculator'!$B$8)/1300)^2+((D66-'Hybrid Calculator'!$B$9)/800)^2+((E66-'Hybrid Calculator'!$B$10)/350)^2+((F66-'Hybrid Calculator'!$B$11)/30)^2+(G66-'Hybrid Calculator'!$B$12)^2+((H66-'Hybrid Calculator'!$E$14)/IF(A66="Lightning",100,30000))^2+((I66-'Hybrid Calculator'!$E$17)/IF(A66="Lightning",100,30000))^2</f>
        <v>5.5954234192356345E-2</v>
      </c>
      <c r="K66" s="2">
        <f t="shared" ref="K66:K129" si="4">RANK(J66,$J$2:$J$1401,1)</f>
        <v>71</v>
      </c>
      <c r="L66" s="2">
        <f t="shared" ref="L66:L129" si="5">IF(K66&lt;=7,1,0)</f>
        <v>0</v>
      </c>
      <c r="M66" s="2">
        <f t="shared" ref="M66:M129" si="6">IF(L66=1,1/(J66+0.000001),0)</f>
        <v>0</v>
      </c>
      <c r="N66" s="2">
        <v>3.7563379275593611E-3</v>
      </c>
      <c r="O66" s="2">
        <f t="shared" ref="O66:O129" si="7">M66</f>
        <v>0</v>
      </c>
      <c r="P66" s="2">
        <v>-0.35240730489775984</v>
      </c>
      <c r="Q66" s="2">
        <v>-2.7938248393293179</v>
      </c>
    </row>
    <row r="67" spans="1:17" ht="15">
      <c r="A67" s="2" t="s">
        <v>13</v>
      </c>
      <c r="B67" s="2">
        <v>1438.4760497719981</v>
      </c>
      <c r="C67" s="2">
        <v>739.34670111630112</v>
      </c>
      <c r="D67" s="2">
        <v>486.07371905818582</v>
      </c>
      <c r="E67" s="2">
        <v>206.02657242678106</v>
      </c>
      <c r="F67" s="2">
        <v>24.674739923793823</v>
      </c>
      <c r="G67" s="2">
        <v>0.84938910827506342</v>
      </c>
      <c r="H67" s="2">
        <v>50</v>
      </c>
      <c r="I67" s="2">
        <v>25</v>
      </c>
      <c r="J67" s="2">
        <f>(IF(A67='Hybrid Calculator'!$B$6,0,1))^2+((B67-'Hybrid Calculator'!$B$7)/1500)^2+((C67-'Hybrid Calculator'!$B$8)/1300)^2+((D67-'Hybrid Calculator'!$B$9)/800)^2+((E67-'Hybrid Calculator'!$B$10)/350)^2+((F67-'Hybrid Calculator'!$B$11)/30)^2+(G67-'Hybrid Calculator'!$B$12)^2+((H67-'Hybrid Calculator'!$E$14)/IF(A67="Lightning",100,30000))^2+((I67-'Hybrid Calculator'!$E$17)/IF(A67="Lightning",100,30000))^2</f>
        <v>7.6480619419766971E-2</v>
      </c>
      <c r="K67" s="2">
        <f t="shared" si="4"/>
        <v>126</v>
      </c>
      <c r="L67" s="2">
        <f t="shared" si="5"/>
        <v>0</v>
      </c>
      <c r="M67" s="2">
        <f t="shared" si="6"/>
        <v>0</v>
      </c>
      <c r="N67" s="2">
        <v>-6.7130569651978611E-3</v>
      </c>
      <c r="O67" s="2">
        <f t="shared" si="7"/>
        <v>0</v>
      </c>
      <c r="P67" s="2">
        <v>0.36423934079258657</v>
      </c>
      <c r="Q67" s="2">
        <v>-9.6302203035836556</v>
      </c>
    </row>
    <row r="68" spans="1:17" ht="15">
      <c r="A68" s="2" t="s">
        <v>13</v>
      </c>
      <c r="B68" s="2">
        <v>1365.5809768242761</v>
      </c>
      <c r="C68" s="2">
        <v>1080.3873714641668</v>
      </c>
      <c r="D68" s="2">
        <v>714.8803535848856</v>
      </c>
      <c r="E68" s="2">
        <v>183.1112942728214</v>
      </c>
      <c r="F68" s="2">
        <v>19.978248589672148</v>
      </c>
      <c r="G68" s="2">
        <v>0.80726842547534039</v>
      </c>
      <c r="H68" s="2">
        <v>35</v>
      </c>
      <c r="I68" s="2">
        <v>25</v>
      </c>
      <c r="J68" s="2">
        <f>(IF(A68='Hybrid Calculator'!$B$6,0,1))^2+((B68-'Hybrid Calculator'!$B$7)/1500)^2+((C68-'Hybrid Calculator'!$B$8)/1300)^2+((D68-'Hybrid Calculator'!$B$9)/800)^2+((E68-'Hybrid Calculator'!$B$10)/350)^2+((F68-'Hybrid Calculator'!$B$11)/30)^2+(G68-'Hybrid Calculator'!$B$12)^2+((H68-'Hybrid Calculator'!$E$14)/IF(A68="Lightning",100,30000))^2+((I68-'Hybrid Calculator'!$E$17)/IF(A68="Lightning",100,30000))^2</f>
        <v>0.13916263798503836</v>
      </c>
      <c r="K68" s="2">
        <f t="shared" si="4"/>
        <v>299</v>
      </c>
      <c r="L68" s="2">
        <f t="shared" si="5"/>
        <v>0</v>
      </c>
      <c r="M68" s="2">
        <f t="shared" si="6"/>
        <v>0</v>
      </c>
      <c r="N68" s="2">
        <v>1.7558789638723704E-2</v>
      </c>
      <c r="O68" s="2">
        <f t="shared" si="7"/>
        <v>0</v>
      </c>
      <c r="P68" s="2">
        <v>-0.37240940965838831</v>
      </c>
      <c r="Q68" s="2">
        <v>-7.3024358538505112</v>
      </c>
    </row>
    <row r="69" spans="1:17" ht="15">
      <c r="A69" s="2" t="s">
        <v>13</v>
      </c>
      <c r="B69" s="2">
        <v>1438.4242594591342</v>
      </c>
      <c r="C69" s="2">
        <v>928.84111548773944</v>
      </c>
      <c r="D69" s="2">
        <v>387.66240729019046</v>
      </c>
      <c r="E69" s="2">
        <v>150.57618338149041</v>
      </c>
      <c r="F69" s="2">
        <v>19.498086031060666</v>
      </c>
      <c r="G69" s="2">
        <v>0.79268655754625805</v>
      </c>
      <c r="H69" s="2">
        <v>45</v>
      </c>
      <c r="I69" s="2">
        <v>25</v>
      </c>
      <c r="J69" s="2">
        <f>(IF(A69='Hybrid Calculator'!$B$6,0,1))^2+((B69-'Hybrid Calculator'!$B$7)/1500)^2+((C69-'Hybrid Calculator'!$B$8)/1300)^2+((D69-'Hybrid Calculator'!$B$9)/800)^2+((E69-'Hybrid Calculator'!$B$10)/350)^2+((F69-'Hybrid Calculator'!$B$11)/30)^2+(G69-'Hybrid Calculator'!$B$12)^2+((H69-'Hybrid Calculator'!$E$14)/IF(A69="Lightning",100,30000))^2+((I69-'Hybrid Calculator'!$E$17)/IF(A69="Lightning",100,30000))^2</f>
        <v>2.7832085398021358E-2</v>
      </c>
      <c r="K69" s="2">
        <f t="shared" si="4"/>
        <v>21</v>
      </c>
      <c r="L69" s="2">
        <f t="shared" si="5"/>
        <v>0</v>
      </c>
      <c r="M69" s="2">
        <f t="shared" si="6"/>
        <v>0</v>
      </c>
      <c r="N69" s="2">
        <v>8.7686447727697292E-4</v>
      </c>
      <c r="O69" s="2">
        <f t="shared" si="7"/>
        <v>0</v>
      </c>
      <c r="P69" s="2">
        <v>-0.38256236511492148</v>
      </c>
      <c r="Q69" s="2">
        <v>2.4096589551279521</v>
      </c>
    </row>
    <row r="70" spans="1:17" ht="15">
      <c r="A70" s="2" t="s">
        <v>13</v>
      </c>
      <c r="B70" s="2">
        <v>1391.3488320540637</v>
      </c>
      <c r="C70" s="2">
        <v>817.03494050307199</v>
      </c>
      <c r="D70" s="2">
        <v>742.48311277478933</v>
      </c>
      <c r="E70" s="2">
        <v>109.82415334554389</v>
      </c>
      <c r="F70" s="2">
        <v>17.492074649780989</v>
      </c>
      <c r="G70" s="2">
        <v>0.84329520669067282</v>
      </c>
      <c r="H70" s="2">
        <v>45</v>
      </c>
      <c r="I70" s="2">
        <v>25</v>
      </c>
      <c r="J70" s="2">
        <f>(IF(A70='Hybrid Calculator'!$B$6,0,1))^2+((B70-'Hybrid Calculator'!$B$7)/1500)^2+((C70-'Hybrid Calculator'!$B$8)/1300)^2+((D70-'Hybrid Calculator'!$B$9)/800)^2+((E70-'Hybrid Calculator'!$B$10)/350)^2+((F70-'Hybrid Calculator'!$B$11)/30)^2+(G70-'Hybrid Calculator'!$B$12)^2+((H70-'Hybrid Calculator'!$E$14)/IF(A70="Lightning",100,30000))^2+((I70-'Hybrid Calculator'!$E$17)/IF(A70="Lightning",100,30000))^2</f>
        <v>0.11036604797169097</v>
      </c>
      <c r="K70" s="2">
        <f t="shared" si="4"/>
        <v>229</v>
      </c>
      <c r="L70" s="2">
        <f t="shared" si="5"/>
        <v>0</v>
      </c>
      <c r="M70" s="2">
        <f t="shared" si="6"/>
        <v>0</v>
      </c>
      <c r="N70" s="2">
        <v>-5.647669414382106E-3</v>
      </c>
      <c r="O70" s="2">
        <f t="shared" si="7"/>
        <v>0</v>
      </c>
      <c r="P70" s="2">
        <v>-1.0819357710588875</v>
      </c>
      <c r="Q70" s="2">
        <v>1.9579449100267539</v>
      </c>
    </row>
    <row r="71" spans="1:17" ht="15">
      <c r="A71" s="2" t="s">
        <v>13</v>
      </c>
      <c r="B71" s="2">
        <v>1466.0836003837176</v>
      </c>
      <c r="C71" s="2">
        <v>991.46858144085854</v>
      </c>
      <c r="D71" s="2">
        <v>746.28740148618817</v>
      </c>
      <c r="E71" s="2">
        <v>318.36624156683683</v>
      </c>
      <c r="F71" s="2">
        <v>19.198970841709524</v>
      </c>
      <c r="G71" s="2">
        <v>0.85406206529121853</v>
      </c>
      <c r="H71" s="2">
        <v>35</v>
      </c>
      <c r="I71" s="2">
        <v>25</v>
      </c>
      <c r="J71" s="2">
        <f>(IF(A71='Hybrid Calculator'!$B$6,0,1))^2+((B71-'Hybrid Calculator'!$B$7)/1500)^2+((C71-'Hybrid Calculator'!$B$8)/1300)^2+((D71-'Hybrid Calculator'!$B$9)/800)^2+((E71-'Hybrid Calculator'!$B$10)/350)^2+((F71-'Hybrid Calculator'!$B$11)/30)^2+(G71-'Hybrid Calculator'!$B$12)^2+((H71-'Hybrid Calculator'!$E$14)/IF(A71="Lightning",100,30000))^2+((I71-'Hybrid Calculator'!$E$17)/IF(A71="Lightning",100,30000))^2</f>
        <v>0.36297841677838755</v>
      </c>
      <c r="K71" s="2">
        <f t="shared" si="4"/>
        <v>660</v>
      </c>
      <c r="L71" s="2">
        <f t="shared" si="5"/>
        <v>0</v>
      </c>
      <c r="M71" s="2">
        <f t="shared" si="6"/>
        <v>0</v>
      </c>
      <c r="N71" s="2">
        <v>1.0229401863875109E-2</v>
      </c>
      <c r="O71" s="2">
        <f t="shared" si="7"/>
        <v>0</v>
      </c>
      <c r="P71" s="2">
        <v>-0.63643760207763478</v>
      </c>
      <c r="Q71" s="2">
        <v>-7.2274301325346642</v>
      </c>
    </row>
    <row r="72" spans="1:17" ht="15">
      <c r="A72" s="2" t="s">
        <v>13</v>
      </c>
      <c r="B72" s="2">
        <v>1390.3548358473927</v>
      </c>
      <c r="C72" s="2">
        <v>680.37933463929221</v>
      </c>
      <c r="D72" s="2">
        <v>451.80593859404325</v>
      </c>
      <c r="E72" s="2">
        <v>220.22839936660603</v>
      </c>
      <c r="F72" s="2">
        <v>28.721596993505955</v>
      </c>
      <c r="G72" s="2">
        <v>0.85818353468785069</v>
      </c>
      <c r="H72" s="2">
        <v>55</v>
      </c>
      <c r="I72" s="2">
        <v>25</v>
      </c>
      <c r="J72" s="2">
        <f>(IF(A72='Hybrid Calculator'!$B$6,0,1))^2+((B72-'Hybrid Calculator'!$B$7)/1500)^2+((C72-'Hybrid Calculator'!$B$8)/1300)^2+((D72-'Hybrid Calculator'!$B$9)/800)^2+((E72-'Hybrid Calculator'!$B$10)/350)^2+((F72-'Hybrid Calculator'!$B$11)/30)^2+(G72-'Hybrid Calculator'!$B$12)^2+((H72-'Hybrid Calculator'!$E$14)/IF(A72="Lightning",100,30000))^2+((I72-'Hybrid Calculator'!$E$17)/IF(A72="Lightning",100,30000))^2</f>
        <v>0.18149647626130458</v>
      </c>
      <c r="K72" s="2">
        <f t="shared" si="4"/>
        <v>404</v>
      </c>
      <c r="L72" s="2">
        <f t="shared" si="5"/>
        <v>0</v>
      </c>
      <c r="M72" s="2">
        <f t="shared" si="6"/>
        <v>0</v>
      </c>
      <c r="N72" s="2">
        <v>-8.6680568576134043E-3</v>
      </c>
      <c r="O72" s="2">
        <f t="shared" si="7"/>
        <v>0</v>
      </c>
      <c r="P72" s="2">
        <v>-0.61898696103519057</v>
      </c>
      <c r="Q72" s="2">
        <v>-4.1328233046183414</v>
      </c>
    </row>
    <row r="73" spans="1:17" ht="15">
      <c r="A73" s="2" t="s">
        <v>13</v>
      </c>
      <c r="B73" s="2">
        <v>1432.3505061795004</v>
      </c>
      <c r="C73" s="2">
        <v>650.73739138897508</v>
      </c>
      <c r="D73" s="2">
        <v>725.28979452326894</v>
      </c>
      <c r="E73" s="2">
        <v>167.2850208543241</v>
      </c>
      <c r="F73" s="2">
        <v>21.935199259314686</v>
      </c>
      <c r="G73" s="2">
        <v>0.83053829239215704</v>
      </c>
      <c r="H73" s="2">
        <v>45</v>
      </c>
      <c r="I73" s="2">
        <v>25</v>
      </c>
      <c r="J73" s="2">
        <f>(IF(A73='Hybrid Calculator'!$B$6,0,1))^2+((B73-'Hybrid Calculator'!$B$7)/1500)^2+((C73-'Hybrid Calculator'!$B$8)/1300)^2+((D73-'Hybrid Calculator'!$B$9)/800)^2+((E73-'Hybrid Calculator'!$B$10)/350)^2+((F73-'Hybrid Calculator'!$B$11)/30)^2+(G73-'Hybrid Calculator'!$B$12)^2+((H73-'Hybrid Calculator'!$E$14)/IF(A73="Lightning",100,30000))^2+((I73-'Hybrid Calculator'!$E$17)/IF(A73="Lightning",100,30000))^2</f>
        <v>0.12098568041576503</v>
      </c>
      <c r="K73" s="2">
        <f t="shared" si="4"/>
        <v>252</v>
      </c>
      <c r="L73" s="2">
        <f t="shared" si="5"/>
        <v>0</v>
      </c>
      <c r="M73" s="2">
        <f t="shared" si="6"/>
        <v>0</v>
      </c>
      <c r="N73" s="2">
        <v>-7.0242055845586293E-3</v>
      </c>
      <c r="O73" s="2">
        <f t="shared" si="7"/>
        <v>0</v>
      </c>
      <c r="P73" s="2">
        <v>0.38916489675398935</v>
      </c>
      <c r="Q73" s="2">
        <v>4.5466232989685977</v>
      </c>
    </row>
    <row r="74" spans="1:17" ht="15">
      <c r="A74" s="2" t="s">
        <v>13</v>
      </c>
      <c r="B74" s="2">
        <v>1388.6294099735096</v>
      </c>
      <c r="C74" s="2">
        <v>834.20085870893672</v>
      </c>
      <c r="D74" s="2">
        <v>588.63795399665833</v>
      </c>
      <c r="E74" s="2">
        <v>164.25217302283272</v>
      </c>
      <c r="F74" s="2">
        <v>21.843968498520553</v>
      </c>
      <c r="G74" s="2">
        <v>0.79273157603805888</v>
      </c>
      <c r="H74" s="2">
        <v>45</v>
      </c>
      <c r="I74" s="2">
        <v>25</v>
      </c>
      <c r="J74" s="2">
        <f>(IF(A74='Hybrid Calculator'!$B$6,0,1))^2+((B74-'Hybrid Calculator'!$B$7)/1500)^2+((C74-'Hybrid Calculator'!$B$8)/1300)^2+((D74-'Hybrid Calculator'!$B$9)/800)^2+((E74-'Hybrid Calculator'!$B$10)/350)^2+((F74-'Hybrid Calculator'!$B$11)/30)^2+(G74-'Hybrid Calculator'!$B$12)^2+((H74-'Hybrid Calculator'!$E$14)/IF(A74="Lightning",100,30000))^2+((I74-'Hybrid Calculator'!$E$17)/IF(A74="Lightning",100,30000))^2</f>
        <v>3.0338002396990513E-2</v>
      </c>
      <c r="K74" s="2">
        <f t="shared" si="4"/>
        <v>23</v>
      </c>
      <c r="L74" s="2">
        <f t="shared" si="5"/>
        <v>0</v>
      </c>
      <c r="M74" s="2">
        <f t="shared" si="6"/>
        <v>0</v>
      </c>
      <c r="N74" s="2">
        <v>-1.1014447015632811E-2</v>
      </c>
      <c r="O74" s="2">
        <f t="shared" si="7"/>
        <v>0</v>
      </c>
      <c r="P74" s="2">
        <v>0.6286606718692056</v>
      </c>
      <c r="Q74" s="2">
        <v>-6.3978286163546727</v>
      </c>
    </row>
    <row r="75" spans="1:17" ht="15">
      <c r="A75" s="2" t="s">
        <v>13</v>
      </c>
      <c r="B75" s="2">
        <v>1398.9494779030792</v>
      </c>
      <c r="C75" s="2">
        <v>882.17288190498948</v>
      </c>
      <c r="D75" s="2">
        <v>639.04435997828841</v>
      </c>
      <c r="E75" s="2">
        <v>116.07503103557974</v>
      </c>
      <c r="F75" s="2">
        <v>16.804531258996576</v>
      </c>
      <c r="G75" s="2">
        <v>0.79505074397660791</v>
      </c>
      <c r="H75" s="2">
        <v>45</v>
      </c>
      <c r="I75" s="2">
        <v>25</v>
      </c>
      <c r="J75" s="2">
        <f>(IF(A75='Hybrid Calculator'!$B$6,0,1))^2+((B75-'Hybrid Calculator'!$B$7)/1500)^2+((C75-'Hybrid Calculator'!$B$8)/1300)^2+((D75-'Hybrid Calculator'!$B$9)/800)^2+((E75-'Hybrid Calculator'!$B$10)/350)^2+((F75-'Hybrid Calculator'!$B$11)/30)^2+(G75-'Hybrid Calculator'!$B$12)^2+((H75-'Hybrid Calculator'!$E$14)/IF(A75="Lightning",100,30000))^2+((I75-'Hybrid Calculator'!$E$17)/IF(A75="Lightning",100,30000))^2</f>
        <v>4.683404147370443E-2</v>
      </c>
      <c r="K75" s="2">
        <f t="shared" si="4"/>
        <v>47</v>
      </c>
      <c r="L75" s="2">
        <f t="shared" si="5"/>
        <v>0</v>
      </c>
      <c r="M75" s="2">
        <f t="shared" si="6"/>
        <v>0</v>
      </c>
      <c r="N75" s="2">
        <v>3.3717044830887666E-3</v>
      </c>
      <c r="O75" s="2">
        <f t="shared" si="7"/>
        <v>0</v>
      </c>
      <c r="P75" s="2">
        <v>-0.50569212872860447</v>
      </c>
      <c r="Q75" s="2">
        <v>2.1608813033483329</v>
      </c>
    </row>
    <row r="76" spans="1:17" ht="15">
      <c r="A76" s="2" t="s">
        <v>13</v>
      </c>
      <c r="B76" s="2">
        <v>1384.7956677898765</v>
      </c>
      <c r="C76" s="2">
        <v>1225.4652735195123</v>
      </c>
      <c r="D76" s="2">
        <v>557.90722984820604</v>
      </c>
      <c r="E76" s="2">
        <v>127.61892143869773</v>
      </c>
      <c r="F76" s="2">
        <v>25.091777255758643</v>
      </c>
      <c r="G76" s="2">
        <v>0.85914134518476204</v>
      </c>
      <c r="H76" s="2">
        <v>35</v>
      </c>
      <c r="I76" s="2">
        <v>25</v>
      </c>
      <c r="J76" s="2">
        <f>(IF(A76='Hybrid Calculator'!$B$6,0,1))^2+((B76-'Hybrid Calculator'!$B$7)/1500)^2+((C76-'Hybrid Calculator'!$B$8)/1300)^2+((D76-'Hybrid Calculator'!$B$9)/800)^2+((E76-'Hybrid Calculator'!$B$10)/350)^2+((F76-'Hybrid Calculator'!$B$11)/30)^2+(G76-'Hybrid Calculator'!$B$12)^2+((H76-'Hybrid Calculator'!$E$14)/IF(A76="Lightning",100,30000))^2+((I76-'Hybrid Calculator'!$E$17)/IF(A76="Lightning",100,30000))^2</f>
        <v>0.16577511612938964</v>
      </c>
      <c r="K76" s="2">
        <f t="shared" si="4"/>
        <v>369</v>
      </c>
      <c r="L76" s="2">
        <f t="shared" si="5"/>
        <v>0</v>
      </c>
      <c r="M76" s="2">
        <f t="shared" si="6"/>
        <v>0</v>
      </c>
      <c r="N76" s="2">
        <v>-1.5525787268355629E-3</v>
      </c>
      <c r="O76" s="2">
        <f t="shared" si="7"/>
        <v>0</v>
      </c>
      <c r="P76" s="2">
        <v>0.84617616493742531</v>
      </c>
      <c r="Q76" s="2">
        <v>-10.978001958096911</v>
      </c>
    </row>
    <row r="77" spans="1:17" ht="15">
      <c r="A77" s="2" t="s">
        <v>13</v>
      </c>
      <c r="B77" s="2">
        <v>1478.6868204013444</v>
      </c>
      <c r="C77" s="2">
        <v>882.26788977626711</v>
      </c>
      <c r="D77" s="2">
        <v>357.79939899221063</v>
      </c>
      <c r="E77" s="2">
        <v>323.14668658189476</v>
      </c>
      <c r="F77" s="2">
        <v>12.179975498933345</v>
      </c>
      <c r="G77" s="2">
        <v>0.79926181909162552</v>
      </c>
      <c r="H77" s="2">
        <v>45</v>
      </c>
      <c r="I77" s="2">
        <v>25</v>
      </c>
      <c r="J77" s="2">
        <f>(IF(A77='Hybrid Calculator'!$B$6,0,1))^2+((B77-'Hybrid Calculator'!$B$7)/1500)^2+((C77-'Hybrid Calculator'!$B$8)/1300)^2+((D77-'Hybrid Calculator'!$B$9)/800)^2+((E77-'Hybrid Calculator'!$B$10)/350)^2+((F77-'Hybrid Calculator'!$B$11)/30)^2+(G77-'Hybrid Calculator'!$B$12)^2+((H77-'Hybrid Calculator'!$E$14)/IF(A77="Lightning",100,30000))^2+((I77-'Hybrid Calculator'!$E$17)/IF(A77="Lightning",100,30000))^2</f>
        <v>0.3255361635525853</v>
      </c>
      <c r="K77" s="2">
        <f t="shared" si="4"/>
        <v>630</v>
      </c>
      <c r="L77" s="2">
        <f t="shared" si="5"/>
        <v>0</v>
      </c>
      <c r="M77" s="2">
        <f t="shared" si="6"/>
        <v>0</v>
      </c>
      <c r="N77" s="2">
        <v>1.2006195056406543E-3</v>
      </c>
      <c r="O77" s="2">
        <f t="shared" si="7"/>
        <v>0</v>
      </c>
      <c r="P77" s="2">
        <v>0.44655267757473638</v>
      </c>
      <c r="Q77" s="2">
        <v>18.428658538449781</v>
      </c>
    </row>
    <row r="78" spans="1:17" ht="15">
      <c r="A78" s="2" t="s">
        <v>13</v>
      </c>
      <c r="B78" s="2">
        <v>1485.9021848766133</v>
      </c>
      <c r="C78" s="2">
        <v>685.33174308249727</v>
      </c>
      <c r="D78" s="2">
        <v>518.0606622248888</v>
      </c>
      <c r="E78" s="2">
        <v>122.63567010639235</v>
      </c>
      <c r="F78" s="2">
        <v>25.406473563052714</v>
      </c>
      <c r="G78" s="2">
        <v>0.85873056820360949</v>
      </c>
      <c r="H78" s="2">
        <v>55</v>
      </c>
      <c r="I78" s="2">
        <v>25</v>
      </c>
      <c r="J78" s="2">
        <f>(IF(A78='Hybrid Calculator'!$B$6,0,1))^2+((B78-'Hybrid Calculator'!$B$7)/1500)^2+((C78-'Hybrid Calculator'!$B$8)/1300)^2+((D78-'Hybrid Calculator'!$B$9)/800)^2+((E78-'Hybrid Calculator'!$B$10)/350)^2+((F78-'Hybrid Calculator'!$B$11)/30)^2+(G78-'Hybrid Calculator'!$B$12)^2+((H78-'Hybrid Calculator'!$E$14)/IF(A78="Lightning",100,30000))^2+((I78-'Hybrid Calculator'!$E$17)/IF(A78="Lightning",100,30000))^2</f>
        <v>8.1314971929531313E-2</v>
      </c>
      <c r="K78" s="2">
        <f t="shared" si="4"/>
        <v>143</v>
      </c>
      <c r="L78" s="2">
        <f t="shared" si="5"/>
        <v>0</v>
      </c>
      <c r="M78" s="2">
        <f t="shared" si="6"/>
        <v>0</v>
      </c>
      <c r="N78" s="2">
        <v>-1.1832200632659218E-2</v>
      </c>
      <c r="O78" s="2">
        <f t="shared" si="7"/>
        <v>0</v>
      </c>
      <c r="P78" s="2">
        <v>0.50385268396176031</v>
      </c>
      <c r="Q78" s="2">
        <v>-5.871406594247901</v>
      </c>
    </row>
    <row r="79" spans="1:17" ht="15">
      <c r="A79" s="2" t="s">
        <v>13</v>
      </c>
      <c r="B79" s="2">
        <v>1455.4486072040163</v>
      </c>
      <c r="C79" s="2">
        <v>1156.0379983391613</v>
      </c>
      <c r="D79" s="2">
        <v>597.772107552737</v>
      </c>
      <c r="E79" s="2">
        <v>181.09463043045253</v>
      </c>
      <c r="F79" s="2">
        <v>16.688613313715905</v>
      </c>
      <c r="G79" s="2">
        <v>0.83858479935675867</v>
      </c>
      <c r="H79" s="2">
        <v>40</v>
      </c>
      <c r="I79" s="2">
        <v>25</v>
      </c>
      <c r="J79" s="2">
        <f>(IF(A79='Hybrid Calculator'!$B$6,0,1))^2+((B79-'Hybrid Calculator'!$B$7)/1500)^2+((C79-'Hybrid Calculator'!$B$8)/1300)^2+((D79-'Hybrid Calculator'!$B$9)/800)^2+((E79-'Hybrid Calculator'!$B$10)/350)^2+((F79-'Hybrid Calculator'!$B$11)/30)^2+(G79-'Hybrid Calculator'!$B$12)^2+((H79-'Hybrid Calculator'!$E$14)/IF(A79="Lightning",100,30000))^2+((I79-'Hybrid Calculator'!$E$17)/IF(A79="Lightning",100,30000))^2</f>
        <v>9.2652220969312471E-2</v>
      </c>
      <c r="K79" s="2">
        <f t="shared" si="4"/>
        <v>181</v>
      </c>
      <c r="L79" s="2">
        <f t="shared" si="5"/>
        <v>0</v>
      </c>
      <c r="M79" s="2">
        <f t="shared" si="6"/>
        <v>0</v>
      </c>
      <c r="N79" s="2">
        <v>1.536507936054643E-2</v>
      </c>
      <c r="O79" s="2">
        <f t="shared" si="7"/>
        <v>0</v>
      </c>
      <c r="P79" s="2">
        <v>0.2640699025043034</v>
      </c>
      <c r="Q79" s="2">
        <v>-1.3836984950978604</v>
      </c>
    </row>
    <row r="80" spans="1:17" ht="15">
      <c r="A80" s="2" t="s">
        <v>13</v>
      </c>
      <c r="B80" s="2">
        <v>1377.9735838528723</v>
      </c>
      <c r="C80" s="2">
        <v>881.98255848838016</v>
      </c>
      <c r="D80" s="2">
        <v>486.37664820998907</v>
      </c>
      <c r="E80" s="2">
        <v>101.74307574750856</v>
      </c>
      <c r="F80" s="2">
        <v>25.79145411029458</v>
      </c>
      <c r="G80" s="2">
        <v>0.83882956110173845</v>
      </c>
      <c r="H80" s="2">
        <v>50</v>
      </c>
      <c r="I80" s="2">
        <v>25</v>
      </c>
      <c r="J80" s="2">
        <f>(IF(A80='Hybrid Calculator'!$B$6,0,1))^2+((B80-'Hybrid Calculator'!$B$7)/1500)^2+((C80-'Hybrid Calculator'!$B$8)/1300)^2+((D80-'Hybrid Calculator'!$B$9)/800)^2+((E80-'Hybrid Calculator'!$B$10)/350)^2+((F80-'Hybrid Calculator'!$B$11)/30)^2+(G80-'Hybrid Calculator'!$B$12)^2+((H80-'Hybrid Calculator'!$E$14)/IF(A80="Lightning",100,30000))^2+((I80-'Hybrid Calculator'!$E$17)/IF(A80="Lightning",100,30000))^2</f>
        <v>8.0315289982558755E-2</v>
      </c>
      <c r="K80" s="2">
        <f t="shared" si="4"/>
        <v>141</v>
      </c>
      <c r="L80" s="2">
        <f t="shared" si="5"/>
        <v>0</v>
      </c>
      <c r="M80" s="2">
        <f t="shared" si="6"/>
        <v>0</v>
      </c>
      <c r="N80" s="2">
        <v>7.4603851749954764E-4</v>
      </c>
      <c r="O80" s="2">
        <f t="shared" si="7"/>
        <v>0</v>
      </c>
      <c r="P80" s="2">
        <v>-0.42180672163694766</v>
      </c>
      <c r="Q80" s="2">
        <v>-12.982379182008344</v>
      </c>
    </row>
    <row r="81" spans="1:17" ht="15">
      <c r="A81" s="2" t="s">
        <v>13</v>
      </c>
      <c r="B81" s="2">
        <v>1401.7369372886606</v>
      </c>
      <c r="C81" s="2">
        <v>864.11928243469447</v>
      </c>
      <c r="D81" s="2">
        <v>720.48541055992246</v>
      </c>
      <c r="E81" s="2">
        <v>281.52465254068375</v>
      </c>
      <c r="F81" s="2">
        <v>19.553280184511095</v>
      </c>
      <c r="G81" s="2">
        <v>0.7928401505155489</v>
      </c>
      <c r="H81" s="2">
        <v>40</v>
      </c>
      <c r="I81" s="2">
        <v>25</v>
      </c>
      <c r="J81" s="2">
        <f>(IF(A81='Hybrid Calculator'!$B$6,0,1))^2+((B81-'Hybrid Calculator'!$B$7)/1500)^2+((C81-'Hybrid Calculator'!$B$8)/1300)^2+((D81-'Hybrid Calculator'!$B$9)/800)^2+((E81-'Hybrid Calculator'!$B$10)/350)^2+((F81-'Hybrid Calculator'!$B$11)/30)^2+(G81-'Hybrid Calculator'!$B$12)^2+((H81-'Hybrid Calculator'!$E$14)/IF(A81="Lightning",100,30000))^2+((I81-'Hybrid Calculator'!$E$17)/IF(A81="Lightning",100,30000))^2</f>
        <v>0.2295020490770743</v>
      </c>
      <c r="K81" s="2">
        <f t="shared" si="4"/>
        <v>503</v>
      </c>
      <c r="L81" s="2">
        <f t="shared" si="5"/>
        <v>0</v>
      </c>
      <c r="M81" s="2">
        <f t="shared" si="6"/>
        <v>0</v>
      </c>
      <c r="N81" s="2">
        <v>1.7637243656166923E-2</v>
      </c>
      <c r="O81" s="2">
        <f t="shared" si="7"/>
        <v>0</v>
      </c>
      <c r="P81" s="2">
        <v>-0.32036743126595013</v>
      </c>
      <c r="Q81" s="2">
        <v>-5.1697050918023706</v>
      </c>
    </row>
    <row r="82" spans="1:17" ht="15">
      <c r="A82" s="2" t="s">
        <v>13</v>
      </c>
      <c r="B82" s="2">
        <v>1470.7862111041322</v>
      </c>
      <c r="C82" s="2">
        <v>1048.2759737526067</v>
      </c>
      <c r="D82" s="2">
        <v>669.17214766144753</v>
      </c>
      <c r="E82" s="2">
        <v>150.94585004961118</v>
      </c>
      <c r="F82" s="2">
        <v>25.606232359074056</v>
      </c>
      <c r="G82" s="2">
        <v>0.84444403728237383</v>
      </c>
      <c r="H82" s="2">
        <v>35</v>
      </c>
      <c r="I82" s="2">
        <v>25</v>
      </c>
      <c r="J82" s="2">
        <f>(IF(A82='Hybrid Calculator'!$B$6,0,1))^2+((B82-'Hybrid Calculator'!$B$7)/1500)^2+((C82-'Hybrid Calculator'!$B$8)/1300)^2+((D82-'Hybrid Calculator'!$B$9)/800)^2+((E82-'Hybrid Calculator'!$B$10)/350)^2+((F82-'Hybrid Calculator'!$B$11)/30)^2+(G82-'Hybrid Calculator'!$B$12)^2+((H82-'Hybrid Calculator'!$E$14)/IF(A82="Lightning",100,30000))^2+((I82-'Hybrid Calculator'!$E$17)/IF(A82="Lightning",100,30000))^2</f>
        <v>0.14812589282226654</v>
      </c>
      <c r="K82" s="2">
        <f t="shared" si="4"/>
        <v>321</v>
      </c>
      <c r="L82" s="2">
        <f t="shared" si="5"/>
        <v>0</v>
      </c>
      <c r="M82" s="2">
        <f t="shared" si="6"/>
        <v>0</v>
      </c>
      <c r="N82" s="2">
        <v>-8.5907089154055871E-3</v>
      </c>
      <c r="O82" s="2">
        <f t="shared" si="7"/>
        <v>0</v>
      </c>
      <c r="P82" s="2">
        <v>0.95665368647585325</v>
      </c>
      <c r="Q82" s="2">
        <v>-9.8478415898491676</v>
      </c>
    </row>
    <row r="83" spans="1:17" ht="15">
      <c r="A83" s="2" t="s">
        <v>13</v>
      </c>
      <c r="B83" s="2">
        <v>1371.4684542152099</v>
      </c>
      <c r="C83" s="2">
        <v>661.37199569493532</v>
      </c>
      <c r="D83" s="2">
        <v>395.89433511719108</v>
      </c>
      <c r="E83" s="2">
        <v>306.61758225876838</v>
      </c>
      <c r="F83" s="2">
        <v>24.731111729051918</v>
      </c>
      <c r="G83" s="2">
        <v>0.85664094037376348</v>
      </c>
      <c r="H83" s="2">
        <v>55</v>
      </c>
      <c r="I83" s="2">
        <v>25</v>
      </c>
      <c r="J83" s="2">
        <f>(IF(A83='Hybrid Calculator'!$B$6,0,1))^2+((B83-'Hybrid Calculator'!$B$7)/1500)^2+((C83-'Hybrid Calculator'!$B$8)/1300)^2+((D83-'Hybrid Calculator'!$B$9)/800)^2+((E83-'Hybrid Calculator'!$B$10)/350)^2+((F83-'Hybrid Calculator'!$B$11)/30)^2+(G83-'Hybrid Calculator'!$B$12)^2+((H83-'Hybrid Calculator'!$E$14)/IF(A83="Lightning",100,30000))^2+((I83-'Hybrid Calculator'!$E$17)/IF(A83="Lightning",100,30000))^2</f>
        <v>0.28648221259032991</v>
      </c>
      <c r="K83" s="2">
        <f t="shared" si="4"/>
        <v>589</v>
      </c>
      <c r="L83" s="2">
        <f t="shared" si="5"/>
        <v>0</v>
      </c>
      <c r="M83" s="2">
        <f t="shared" si="6"/>
        <v>0</v>
      </c>
      <c r="N83" s="2">
        <v>-1.3406444301499176E-2</v>
      </c>
      <c r="O83" s="2">
        <f t="shared" si="7"/>
        <v>0</v>
      </c>
      <c r="P83" s="2">
        <v>0.22154580083700637</v>
      </c>
      <c r="Q83" s="2">
        <v>3.0001797887350676</v>
      </c>
    </row>
    <row r="84" spans="1:17" ht="15">
      <c r="A84" s="2" t="s">
        <v>13</v>
      </c>
      <c r="B84" s="2">
        <v>1433.6769861169159</v>
      </c>
      <c r="C84" s="2">
        <v>1123.1479735462926</v>
      </c>
      <c r="D84" s="2">
        <v>586.37620005756617</v>
      </c>
      <c r="E84" s="2">
        <v>198.01750591257587</v>
      </c>
      <c r="F84" s="2">
        <v>21.028058873489499</v>
      </c>
      <c r="G84" s="2">
        <v>0.79919510617153722</v>
      </c>
      <c r="H84" s="2">
        <v>40</v>
      </c>
      <c r="I84" s="2">
        <v>25</v>
      </c>
      <c r="J84" s="2">
        <f>(IF(A84='Hybrid Calculator'!$B$6,0,1))^2+((B84-'Hybrid Calculator'!$B$7)/1500)^2+((C84-'Hybrid Calculator'!$B$8)/1300)^2+((D84-'Hybrid Calculator'!$B$9)/800)^2+((E84-'Hybrid Calculator'!$B$10)/350)^2+((F84-'Hybrid Calculator'!$B$11)/30)^2+(G84-'Hybrid Calculator'!$B$12)^2+((H84-'Hybrid Calculator'!$E$14)/IF(A84="Lightning",100,30000))^2+((I84-'Hybrid Calculator'!$E$17)/IF(A84="Lightning",100,30000))^2</f>
        <v>9.2194787102909542E-2</v>
      </c>
      <c r="K84" s="2">
        <f t="shared" si="4"/>
        <v>180</v>
      </c>
      <c r="L84" s="2">
        <f t="shared" si="5"/>
        <v>0</v>
      </c>
      <c r="M84" s="2">
        <f t="shared" si="6"/>
        <v>0</v>
      </c>
      <c r="N84" s="2">
        <v>-6.9719323024726165E-3</v>
      </c>
      <c r="O84" s="2">
        <f t="shared" si="7"/>
        <v>0</v>
      </c>
      <c r="P84" s="2">
        <v>0.6866183819016598</v>
      </c>
      <c r="Q84" s="2">
        <v>-14.524362729418954</v>
      </c>
    </row>
    <row r="85" spans="1:17" ht="15">
      <c r="A85" s="2" t="s">
        <v>13</v>
      </c>
      <c r="B85" s="2">
        <v>1416.7070388444699</v>
      </c>
      <c r="C85" s="2">
        <v>683.38541139382869</v>
      </c>
      <c r="D85" s="2">
        <v>445.59661233797669</v>
      </c>
      <c r="E85" s="2">
        <v>233.48691237159073</v>
      </c>
      <c r="F85" s="2">
        <v>17.841243744362146</v>
      </c>
      <c r="G85" s="2">
        <v>0.85820889028254899</v>
      </c>
      <c r="H85" s="2">
        <v>55</v>
      </c>
      <c r="I85" s="2">
        <v>25</v>
      </c>
      <c r="J85" s="2">
        <f>(IF(A85='Hybrid Calculator'!$B$6,0,1))^2+((B85-'Hybrid Calculator'!$B$7)/1500)^2+((C85-'Hybrid Calculator'!$B$8)/1300)^2+((D85-'Hybrid Calculator'!$B$9)/800)^2+((E85-'Hybrid Calculator'!$B$10)/350)^2+((F85-'Hybrid Calculator'!$B$11)/30)^2+(G85-'Hybrid Calculator'!$B$12)^2+((H85-'Hybrid Calculator'!$E$14)/IF(A85="Lightning",100,30000))^2+((I85-'Hybrid Calculator'!$E$17)/IF(A85="Lightning",100,30000))^2</f>
        <v>8.2422009361459644E-2</v>
      </c>
      <c r="K85" s="2">
        <f t="shared" si="4"/>
        <v>147</v>
      </c>
      <c r="L85" s="2">
        <f t="shared" si="5"/>
        <v>0</v>
      </c>
      <c r="M85" s="2">
        <f t="shared" si="6"/>
        <v>0</v>
      </c>
      <c r="N85" s="2">
        <v>-3.229424882792209E-3</v>
      </c>
      <c r="O85" s="2">
        <f t="shared" si="7"/>
        <v>0</v>
      </c>
      <c r="P85" s="2">
        <v>-0.56337687148342042</v>
      </c>
      <c r="Q85" s="2">
        <v>4.7137630873207854</v>
      </c>
    </row>
    <row r="86" spans="1:17" ht="15">
      <c r="A86" s="2" t="s">
        <v>13</v>
      </c>
      <c r="B86" s="2">
        <v>1380.1651988178492</v>
      </c>
      <c r="C86" s="2">
        <v>872.88073062663898</v>
      </c>
      <c r="D86" s="2">
        <v>474.05568528920412</v>
      </c>
      <c r="E86" s="2">
        <v>257.48950101668015</v>
      </c>
      <c r="F86" s="2">
        <v>9.8213168811053038</v>
      </c>
      <c r="G86" s="2">
        <v>0.82396596384467558</v>
      </c>
      <c r="H86" s="2">
        <v>50</v>
      </c>
      <c r="I86" s="2">
        <v>25</v>
      </c>
      <c r="J86" s="2">
        <f>(IF(A86='Hybrid Calculator'!$B$6,0,1))^2+((B86-'Hybrid Calculator'!$B$7)/1500)^2+((C86-'Hybrid Calculator'!$B$8)/1300)^2+((D86-'Hybrid Calculator'!$B$9)/800)^2+((E86-'Hybrid Calculator'!$B$10)/350)^2+((F86-'Hybrid Calculator'!$B$11)/30)^2+(G86-'Hybrid Calculator'!$B$12)^2+((H86-'Hybrid Calculator'!$E$14)/IF(A86="Lightning",100,30000))^2+((I86-'Hybrid Calculator'!$E$17)/IF(A86="Lightning",100,30000))^2</f>
        <v>0.18027733058242237</v>
      </c>
      <c r="K86" s="2">
        <f t="shared" si="4"/>
        <v>402</v>
      </c>
      <c r="L86" s="2">
        <f t="shared" si="5"/>
        <v>0</v>
      </c>
      <c r="M86" s="2">
        <f t="shared" si="6"/>
        <v>0</v>
      </c>
      <c r="N86" s="2">
        <v>5.2054649174366752E-3</v>
      </c>
      <c r="O86" s="2">
        <f t="shared" si="7"/>
        <v>0</v>
      </c>
      <c r="P86" s="2">
        <v>-9.1240361633751377E-2</v>
      </c>
      <c r="Q86" s="2">
        <v>9.3521767579866264</v>
      </c>
    </row>
    <row r="87" spans="1:17" ht="15">
      <c r="A87" s="2" t="s">
        <v>13</v>
      </c>
      <c r="B87" s="2">
        <v>1358.3049754262902</v>
      </c>
      <c r="C87" s="2">
        <v>706.73711358103901</v>
      </c>
      <c r="D87" s="2">
        <v>533.0324069596827</v>
      </c>
      <c r="E87" s="2">
        <v>149.76359686814249</v>
      </c>
      <c r="F87" s="2">
        <v>13.288266551215202</v>
      </c>
      <c r="G87" s="2">
        <v>0.83796481736470019</v>
      </c>
      <c r="H87" s="2">
        <v>55</v>
      </c>
      <c r="I87" s="2">
        <v>25</v>
      </c>
      <c r="J87" s="2">
        <f>(IF(A87='Hybrid Calculator'!$B$6,0,1))^2+((B87-'Hybrid Calculator'!$B$7)/1500)^2+((C87-'Hybrid Calculator'!$B$8)/1300)^2+((D87-'Hybrid Calculator'!$B$9)/800)^2+((E87-'Hybrid Calculator'!$B$10)/350)^2+((F87-'Hybrid Calculator'!$B$11)/30)^2+(G87-'Hybrid Calculator'!$B$12)^2+((H87-'Hybrid Calculator'!$E$14)/IF(A87="Lightning",100,30000))^2+((I87-'Hybrid Calculator'!$E$17)/IF(A87="Lightning",100,30000))^2</f>
        <v>4.8829799754018868E-2</v>
      </c>
      <c r="K87" s="2">
        <f t="shared" si="4"/>
        <v>49</v>
      </c>
      <c r="L87" s="2">
        <f t="shared" si="5"/>
        <v>0</v>
      </c>
      <c r="M87" s="2">
        <f t="shared" si="6"/>
        <v>0</v>
      </c>
      <c r="N87" s="2">
        <v>-7.9029813299809071E-3</v>
      </c>
      <c r="O87" s="2">
        <f t="shared" si="7"/>
        <v>0</v>
      </c>
      <c r="P87" s="2">
        <v>-1.5954408221001941</v>
      </c>
      <c r="Q87" s="2">
        <v>17.659994532926703</v>
      </c>
    </row>
    <row r="88" spans="1:17" ht="15">
      <c r="A88" s="2" t="s">
        <v>13</v>
      </c>
      <c r="B88" s="2">
        <v>1405.3079490317032</v>
      </c>
      <c r="C88" s="2">
        <v>813.51283049443737</v>
      </c>
      <c r="D88" s="2">
        <v>563.92180658876896</v>
      </c>
      <c r="E88" s="2">
        <v>260.96209986833856</v>
      </c>
      <c r="F88" s="2">
        <v>29.850429871119559</v>
      </c>
      <c r="G88" s="2">
        <v>0.8408286567288451</v>
      </c>
      <c r="H88" s="2">
        <v>45</v>
      </c>
      <c r="I88" s="2">
        <v>25</v>
      </c>
      <c r="J88" s="2">
        <f>(IF(A88='Hybrid Calculator'!$B$6,0,1))^2+((B88-'Hybrid Calculator'!$B$7)/1500)^2+((C88-'Hybrid Calculator'!$B$8)/1300)^2+((D88-'Hybrid Calculator'!$B$9)/800)^2+((E88-'Hybrid Calculator'!$B$10)/350)^2+((F88-'Hybrid Calculator'!$B$11)/30)^2+(G88-'Hybrid Calculator'!$B$12)^2+((H88-'Hybrid Calculator'!$E$14)/IF(A88="Lightning",100,30000))^2+((I88-'Hybrid Calculator'!$E$17)/IF(A88="Lightning",100,30000))^2</f>
        <v>0.25393618144245111</v>
      </c>
      <c r="K88" s="2">
        <f t="shared" si="4"/>
        <v>549</v>
      </c>
      <c r="L88" s="2">
        <f t="shared" si="5"/>
        <v>0</v>
      </c>
      <c r="M88" s="2">
        <f t="shared" si="6"/>
        <v>0</v>
      </c>
      <c r="N88" s="2">
        <v>-1.1462704366583809E-2</v>
      </c>
      <c r="O88" s="2">
        <f t="shared" si="7"/>
        <v>0</v>
      </c>
      <c r="P88" s="2">
        <v>-0.80856763554862709</v>
      </c>
      <c r="Q88" s="2">
        <v>-9.7070872654312552</v>
      </c>
    </row>
    <row r="89" spans="1:17" ht="15">
      <c r="A89" s="2" t="s">
        <v>13</v>
      </c>
      <c r="B89" s="2">
        <v>1446.9655406079255</v>
      </c>
      <c r="C89" s="2">
        <v>1041.5259468834847</v>
      </c>
      <c r="D89" s="2">
        <v>460.88025523349643</v>
      </c>
      <c r="E89" s="2">
        <v>237.04357798676938</v>
      </c>
      <c r="F89" s="2">
        <v>9.8185570049099624</v>
      </c>
      <c r="G89" s="2">
        <v>0.83706575095653535</v>
      </c>
      <c r="H89" s="2">
        <v>45</v>
      </c>
      <c r="I89" s="2">
        <v>25</v>
      </c>
      <c r="J89" s="2">
        <f>(IF(A89='Hybrid Calculator'!$B$6,0,1))^2+((B89-'Hybrid Calculator'!$B$7)/1500)^2+((C89-'Hybrid Calculator'!$B$8)/1300)^2+((D89-'Hybrid Calculator'!$B$9)/800)^2+((E89-'Hybrid Calculator'!$B$10)/350)^2+((F89-'Hybrid Calculator'!$B$11)/30)^2+(G89-'Hybrid Calculator'!$B$12)^2+((H89-'Hybrid Calculator'!$E$14)/IF(A89="Lightning",100,30000))^2+((I89-'Hybrid Calculator'!$E$17)/IF(A89="Lightning",100,30000))^2</f>
        <v>0.17269357629714963</v>
      </c>
      <c r="K89" s="2">
        <f t="shared" si="4"/>
        <v>389</v>
      </c>
      <c r="L89" s="2">
        <f t="shared" si="5"/>
        <v>0</v>
      </c>
      <c r="M89" s="2">
        <f t="shared" si="6"/>
        <v>0</v>
      </c>
      <c r="N89" s="2">
        <v>6.1818409547302888E-3</v>
      </c>
      <c r="O89" s="2">
        <f t="shared" si="7"/>
        <v>0</v>
      </c>
      <c r="P89" s="2">
        <v>7.929498684514158E-2</v>
      </c>
      <c r="Q89" s="2">
        <v>-1.0007159789149682</v>
      </c>
    </row>
    <row r="90" spans="1:17" ht="15">
      <c r="A90" s="2" t="s">
        <v>13</v>
      </c>
      <c r="B90" s="2">
        <v>1455.3221243899316</v>
      </c>
      <c r="C90" s="2">
        <v>792.87816927535459</v>
      </c>
      <c r="D90" s="2">
        <v>404.25061043351889</v>
      </c>
      <c r="E90" s="2">
        <v>324.8494013515301</v>
      </c>
      <c r="F90" s="2">
        <v>8.7745450995862484</v>
      </c>
      <c r="G90" s="2">
        <v>0.82460349519038578</v>
      </c>
      <c r="H90" s="2">
        <v>50</v>
      </c>
      <c r="I90" s="2">
        <v>25</v>
      </c>
      <c r="J90" s="2">
        <f>(IF(A90='Hybrid Calculator'!$B$6,0,1))^2+((B90-'Hybrid Calculator'!$B$7)/1500)^2+((C90-'Hybrid Calculator'!$B$8)/1300)^2+((D90-'Hybrid Calculator'!$B$9)/800)^2+((E90-'Hybrid Calculator'!$B$10)/350)^2+((F90-'Hybrid Calculator'!$B$11)/30)^2+(G90-'Hybrid Calculator'!$B$12)^2+((H90-'Hybrid Calculator'!$E$14)/IF(A90="Lightning",100,30000))^2+((I90-'Hybrid Calculator'!$E$17)/IF(A90="Lightning",100,30000))^2</f>
        <v>0.37134921763056061</v>
      </c>
      <c r="K90" s="2">
        <f t="shared" si="4"/>
        <v>670</v>
      </c>
      <c r="L90" s="2">
        <f t="shared" si="5"/>
        <v>0</v>
      </c>
      <c r="M90" s="2">
        <f t="shared" si="6"/>
        <v>0</v>
      </c>
      <c r="N90" s="2">
        <v>-1.6201591683071559E-3</v>
      </c>
      <c r="O90" s="2">
        <f t="shared" si="7"/>
        <v>0</v>
      </c>
      <c r="P90" s="2">
        <v>0.57787637327619734</v>
      </c>
      <c r="Q90" s="2">
        <v>17.124149499173882</v>
      </c>
    </row>
    <row r="91" spans="1:17" ht="15">
      <c r="A91" s="2" t="s">
        <v>13</v>
      </c>
      <c r="B91" s="2">
        <v>1497.8187386062928</v>
      </c>
      <c r="C91" s="2">
        <v>692.25161995273083</v>
      </c>
      <c r="D91" s="2">
        <v>707.62830870226026</v>
      </c>
      <c r="E91" s="2">
        <v>176.85613680630922</v>
      </c>
      <c r="F91" s="2">
        <v>9.7718373262323439</v>
      </c>
      <c r="G91" s="2">
        <v>0.84956027093809106</v>
      </c>
      <c r="H91" s="2">
        <v>50</v>
      </c>
      <c r="I91" s="2">
        <v>25</v>
      </c>
      <c r="J91" s="2">
        <f>(IF(A91='Hybrid Calculator'!$B$6,0,1))^2+((B91-'Hybrid Calculator'!$B$7)/1500)^2+((C91-'Hybrid Calculator'!$B$8)/1300)^2+((D91-'Hybrid Calculator'!$B$9)/800)^2+((E91-'Hybrid Calculator'!$B$10)/350)^2+((F91-'Hybrid Calculator'!$B$11)/30)^2+(G91-'Hybrid Calculator'!$B$12)^2+((H91-'Hybrid Calculator'!$E$14)/IF(A91="Lightning",100,30000))^2+((I91-'Hybrid Calculator'!$E$17)/IF(A91="Lightning",100,30000))^2</f>
        <v>0.17584684170643342</v>
      </c>
      <c r="K91" s="2">
        <f t="shared" si="4"/>
        <v>393</v>
      </c>
      <c r="L91" s="2">
        <f t="shared" si="5"/>
        <v>0</v>
      </c>
      <c r="M91" s="2">
        <f t="shared" si="6"/>
        <v>0</v>
      </c>
      <c r="N91" s="2">
        <v>9.5019642511966484E-3</v>
      </c>
      <c r="O91" s="2">
        <f t="shared" si="7"/>
        <v>0</v>
      </c>
      <c r="P91" s="2">
        <v>-1.0666948703087584</v>
      </c>
      <c r="Q91" s="2">
        <v>3.245945384030847</v>
      </c>
    </row>
    <row r="92" spans="1:17" ht="15">
      <c r="A92" s="2" t="s">
        <v>13</v>
      </c>
      <c r="B92" s="2">
        <v>1491.3301825756207</v>
      </c>
      <c r="C92" s="2">
        <v>1066.1014842917211</v>
      </c>
      <c r="D92" s="2">
        <v>550.9752981364727</v>
      </c>
      <c r="E92" s="2">
        <v>144.09862585132942</v>
      </c>
      <c r="F92" s="2">
        <v>14.530671603046358</v>
      </c>
      <c r="G92" s="2">
        <v>0.81336586044868453</v>
      </c>
      <c r="H92" s="2">
        <v>40</v>
      </c>
      <c r="I92" s="2">
        <v>25</v>
      </c>
      <c r="J92" s="2">
        <f>(IF(A92='Hybrid Calculator'!$B$6,0,1))^2+((B92-'Hybrid Calculator'!$B$7)/1500)^2+((C92-'Hybrid Calculator'!$B$8)/1300)^2+((D92-'Hybrid Calculator'!$B$9)/800)^2+((E92-'Hybrid Calculator'!$B$10)/350)^2+((F92-'Hybrid Calculator'!$B$11)/30)^2+(G92-'Hybrid Calculator'!$B$12)^2+((H92-'Hybrid Calculator'!$E$14)/IF(A92="Lightning",100,30000))^2+((I92-'Hybrid Calculator'!$E$17)/IF(A92="Lightning",100,30000))^2</f>
        <v>6.1483088027417303E-2</v>
      </c>
      <c r="K92" s="2">
        <f t="shared" si="4"/>
        <v>87</v>
      </c>
      <c r="L92" s="2">
        <f t="shared" si="5"/>
        <v>0</v>
      </c>
      <c r="M92" s="2">
        <f t="shared" si="6"/>
        <v>0</v>
      </c>
      <c r="N92" s="2">
        <v>4.5954396126015595E-3</v>
      </c>
      <c r="O92" s="2">
        <f t="shared" si="7"/>
        <v>0</v>
      </c>
      <c r="P92" s="2">
        <v>-0.2878336748842969</v>
      </c>
      <c r="Q92" s="2">
        <v>9.1477753127342112</v>
      </c>
    </row>
    <row r="93" spans="1:17" ht="15">
      <c r="A93" s="2" t="s">
        <v>13</v>
      </c>
      <c r="B93" s="2">
        <v>1493.4836627799086</v>
      </c>
      <c r="C93" s="2">
        <v>943.19533444941044</v>
      </c>
      <c r="D93" s="2">
        <v>545.39605369791389</v>
      </c>
      <c r="E93" s="2">
        <v>149.19294327963144</v>
      </c>
      <c r="F93" s="2">
        <v>24.977797911968082</v>
      </c>
      <c r="G93" s="2">
        <v>0.80992745387367904</v>
      </c>
      <c r="H93" s="2">
        <v>40</v>
      </c>
      <c r="I93" s="2">
        <v>25</v>
      </c>
      <c r="J93" s="2">
        <f>(IF(A93='Hybrid Calculator'!$B$6,0,1))^2+((B93-'Hybrid Calculator'!$B$7)/1500)^2+((C93-'Hybrid Calculator'!$B$8)/1300)^2+((D93-'Hybrid Calculator'!$B$9)/800)^2+((E93-'Hybrid Calculator'!$B$10)/350)^2+((F93-'Hybrid Calculator'!$B$11)/30)^2+(G93-'Hybrid Calculator'!$B$12)^2+((H93-'Hybrid Calculator'!$E$14)/IF(A93="Lightning",100,30000))^2+((I93-'Hybrid Calculator'!$E$17)/IF(A93="Lightning",100,30000))^2</f>
        <v>6.7174793426349494E-2</v>
      </c>
      <c r="K93" s="2">
        <f t="shared" si="4"/>
        <v>104</v>
      </c>
      <c r="L93" s="2">
        <f t="shared" si="5"/>
        <v>0</v>
      </c>
      <c r="M93" s="2">
        <f t="shared" si="6"/>
        <v>0</v>
      </c>
      <c r="N93" s="2">
        <v>1.8122133081925895E-3</v>
      </c>
      <c r="O93" s="2">
        <f t="shared" si="7"/>
        <v>0</v>
      </c>
      <c r="P93" s="2">
        <v>0.48113062011019281</v>
      </c>
      <c r="Q93" s="2">
        <v>-9.4224927262769143</v>
      </c>
    </row>
    <row r="94" spans="1:17" ht="15">
      <c r="A94" s="2" t="s">
        <v>13</v>
      </c>
      <c r="B94" s="2">
        <v>1494.7016472928226</v>
      </c>
      <c r="C94" s="2">
        <v>794.43788634380326</v>
      </c>
      <c r="D94" s="2">
        <v>458.43729320913553</v>
      </c>
      <c r="E94" s="2">
        <v>254.94132841238752</v>
      </c>
      <c r="F94" s="2">
        <v>10.084950784221292</v>
      </c>
      <c r="G94" s="2">
        <v>0.79603782247053467</v>
      </c>
      <c r="H94" s="2">
        <v>45</v>
      </c>
      <c r="I94" s="2">
        <v>25</v>
      </c>
      <c r="J94" s="2">
        <f>(IF(A94='Hybrid Calculator'!$B$6,0,1))^2+((B94-'Hybrid Calculator'!$B$7)/1500)^2+((C94-'Hybrid Calculator'!$B$8)/1300)^2+((D94-'Hybrid Calculator'!$B$9)/800)^2+((E94-'Hybrid Calculator'!$B$10)/350)^2+((F94-'Hybrid Calculator'!$B$11)/30)^2+(G94-'Hybrid Calculator'!$B$12)^2+((H94-'Hybrid Calculator'!$E$14)/IF(A94="Lightning",100,30000))^2+((I94-'Hybrid Calculator'!$E$17)/IF(A94="Lightning",100,30000))^2</f>
        <v>0.17833992682659733</v>
      </c>
      <c r="K94" s="2">
        <f t="shared" si="4"/>
        <v>398</v>
      </c>
      <c r="L94" s="2">
        <f t="shared" si="5"/>
        <v>0</v>
      </c>
      <c r="M94" s="2">
        <f t="shared" si="6"/>
        <v>0</v>
      </c>
      <c r="N94" s="2">
        <v>-4.2600618716859273E-3</v>
      </c>
      <c r="O94" s="2">
        <f t="shared" si="7"/>
        <v>0</v>
      </c>
      <c r="P94" s="2">
        <v>0.75179897358616188</v>
      </c>
      <c r="Q94" s="2">
        <v>19.789611275919697</v>
      </c>
    </row>
    <row r="95" spans="1:17" ht="15">
      <c r="A95" s="2" t="s">
        <v>13</v>
      </c>
      <c r="B95" s="2">
        <v>1357.435231434647</v>
      </c>
      <c r="C95" s="2">
        <v>1094.060457427986</v>
      </c>
      <c r="D95" s="2">
        <v>372.36584657803178</v>
      </c>
      <c r="E95" s="2">
        <v>208.2515546772629</v>
      </c>
      <c r="F95" s="2">
        <v>28.06982245342806</v>
      </c>
      <c r="G95" s="2">
        <v>0.82949523373041312</v>
      </c>
      <c r="H95" s="2">
        <v>40</v>
      </c>
      <c r="I95" s="2">
        <v>25</v>
      </c>
      <c r="J95" s="2">
        <f>(IF(A95='Hybrid Calculator'!$B$6,0,1))^2+((B95-'Hybrid Calculator'!$B$7)/1500)^2+((C95-'Hybrid Calculator'!$B$8)/1300)^2+((D95-'Hybrid Calculator'!$B$9)/800)^2+((E95-'Hybrid Calculator'!$B$10)/350)^2+((F95-'Hybrid Calculator'!$B$11)/30)^2+(G95-'Hybrid Calculator'!$B$12)^2+((H95-'Hybrid Calculator'!$E$14)/IF(A95="Lightning",100,30000))^2+((I95-'Hybrid Calculator'!$E$17)/IF(A95="Lightning",100,30000))^2</f>
        <v>0.20227595214924352</v>
      </c>
      <c r="K95" s="2">
        <f t="shared" si="4"/>
        <v>450</v>
      </c>
      <c r="L95" s="2">
        <f t="shared" si="5"/>
        <v>0</v>
      </c>
      <c r="M95" s="2">
        <f t="shared" si="6"/>
        <v>0</v>
      </c>
      <c r="N95" s="2">
        <v>-2.137095661180366E-3</v>
      </c>
      <c r="O95" s="2">
        <f t="shared" si="7"/>
        <v>0</v>
      </c>
      <c r="P95" s="2">
        <v>1.3901778603947719</v>
      </c>
      <c r="Q95" s="2">
        <v>-8.8875772833030169</v>
      </c>
    </row>
    <row r="96" spans="1:17" ht="15">
      <c r="A96" s="2" t="s">
        <v>13</v>
      </c>
      <c r="B96" s="2">
        <v>1382.7012825524434</v>
      </c>
      <c r="C96" s="2">
        <v>1196.9201413565315</v>
      </c>
      <c r="D96" s="2">
        <v>720.29886953532696</v>
      </c>
      <c r="E96" s="2">
        <v>217.65029952628538</v>
      </c>
      <c r="F96" s="2">
        <v>23.297566537745297</v>
      </c>
      <c r="G96" s="2">
        <v>0.83179234147770331</v>
      </c>
      <c r="H96" s="2">
        <v>35</v>
      </c>
      <c r="I96" s="2">
        <v>25</v>
      </c>
      <c r="J96" s="2">
        <f>(IF(A96='Hybrid Calculator'!$B$6,0,1))^2+((B96-'Hybrid Calculator'!$B$7)/1500)^2+((C96-'Hybrid Calculator'!$B$8)/1300)^2+((D96-'Hybrid Calculator'!$B$9)/800)^2+((E96-'Hybrid Calculator'!$B$10)/350)^2+((F96-'Hybrid Calculator'!$B$11)/30)^2+(G96-'Hybrid Calculator'!$B$12)^2+((H96-'Hybrid Calculator'!$E$14)/IF(A96="Lightning",100,30000))^2+((I96-'Hybrid Calculator'!$E$17)/IF(A96="Lightning",100,30000))^2</f>
        <v>0.23341375003227233</v>
      </c>
      <c r="K96" s="2">
        <f t="shared" si="4"/>
        <v>510</v>
      </c>
      <c r="L96" s="2">
        <f t="shared" si="5"/>
        <v>0</v>
      </c>
      <c r="M96" s="2">
        <f t="shared" si="6"/>
        <v>0</v>
      </c>
      <c r="N96" s="2">
        <v>3.5035667443306107E-3</v>
      </c>
      <c r="O96" s="2">
        <f t="shared" si="7"/>
        <v>0</v>
      </c>
      <c r="P96" s="2">
        <v>-3.2841379665917714E-2</v>
      </c>
      <c r="Q96" s="2">
        <v>-11.526392327453323</v>
      </c>
    </row>
    <row r="97" spans="1:17" ht="15">
      <c r="A97" s="2" t="s">
        <v>13</v>
      </c>
      <c r="B97" s="2">
        <v>1498.7604095949791</v>
      </c>
      <c r="C97" s="2">
        <v>1060.1622071582824</v>
      </c>
      <c r="D97" s="2">
        <v>412.34727529808879</v>
      </c>
      <c r="E97" s="2">
        <v>263.02671273704618</v>
      </c>
      <c r="F97" s="2">
        <v>16.62713500065729</v>
      </c>
      <c r="G97" s="2">
        <v>0.80616511425003412</v>
      </c>
      <c r="H97" s="2">
        <v>40</v>
      </c>
      <c r="I97" s="2">
        <v>25</v>
      </c>
      <c r="J97" s="2">
        <f>(IF(A97='Hybrid Calculator'!$B$6,0,1))^2+((B97-'Hybrid Calculator'!$B$7)/1500)^2+((C97-'Hybrid Calculator'!$B$8)/1300)^2+((D97-'Hybrid Calculator'!$B$9)/800)^2+((E97-'Hybrid Calculator'!$B$10)/350)^2+((F97-'Hybrid Calculator'!$B$11)/30)^2+(G97-'Hybrid Calculator'!$B$12)^2+((H97-'Hybrid Calculator'!$E$14)/IF(A97="Lightning",100,30000))^2+((I97-'Hybrid Calculator'!$E$17)/IF(A97="Lightning",100,30000))^2</f>
        <v>0.15893251934522909</v>
      </c>
      <c r="K97" s="2">
        <f t="shared" si="4"/>
        <v>349</v>
      </c>
      <c r="L97" s="2">
        <f t="shared" si="5"/>
        <v>0</v>
      </c>
      <c r="M97" s="2">
        <f t="shared" si="6"/>
        <v>0</v>
      </c>
      <c r="N97" s="2">
        <v>1.4434687166109406E-3</v>
      </c>
      <c r="O97" s="2">
        <f t="shared" si="7"/>
        <v>0</v>
      </c>
      <c r="P97" s="2">
        <v>0.56498997655854311</v>
      </c>
      <c r="Q97" s="2">
        <v>3.4022889002355896</v>
      </c>
    </row>
    <row r="98" spans="1:17" ht="15">
      <c r="A98" s="2" t="s">
        <v>13</v>
      </c>
      <c r="B98" s="2">
        <v>1478.6836231593043</v>
      </c>
      <c r="C98" s="2">
        <v>1220.747559692245</v>
      </c>
      <c r="D98" s="2">
        <v>494.76364087313414</v>
      </c>
      <c r="E98" s="2">
        <v>326.09471420990303</v>
      </c>
      <c r="F98" s="2">
        <v>17.960476420819759</v>
      </c>
      <c r="G98" s="2">
        <v>0.80020682858536019</v>
      </c>
      <c r="H98" s="2">
        <v>30</v>
      </c>
      <c r="I98" s="2">
        <v>25</v>
      </c>
      <c r="J98" s="2">
        <f>(IF(A98='Hybrid Calculator'!$B$6,0,1))^2+((B98-'Hybrid Calculator'!$B$7)/1500)^2+((C98-'Hybrid Calculator'!$B$8)/1300)^2+((D98-'Hybrid Calculator'!$B$9)/800)^2+((E98-'Hybrid Calculator'!$B$10)/350)^2+((F98-'Hybrid Calculator'!$B$11)/30)^2+(G98-'Hybrid Calculator'!$B$12)^2+((H98-'Hybrid Calculator'!$E$14)/IF(A98="Lightning",100,30000))^2+((I98-'Hybrid Calculator'!$E$17)/IF(A98="Lightning",100,30000))^2</f>
        <v>0.37651001888465263</v>
      </c>
      <c r="K98" s="2">
        <f t="shared" si="4"/>
        <v>673</v>
      </c>
      <c r="L98" s="2">
        <f t="shared" si="5"/>
        <v>0</v>
      </c>
      <c r="M98" s="2">
        <f t="shared" si="6"/>
        <v>0</v>
      </c>
      <c r="N98" s="2">
        <v>1.5539994347494313E-2</v>
      </c>
      <c r="O98" s="2">
        <f t="shared" si="7"/>
        <v>0</v>
      </c>
      <c r="P98" s="2">
        <v>0.9646384150008771</v>
      </c>
      <c r="Q98" s="2">
        <v>-1.3633515167157384</v>
      </c>
    </row>
    <row r="99" spans="1:17" ht="15">
      <c r="A99" s="2" t="s">
        <v>13</v>
      </c>
      <c r="B99" s="2">
        <v>1434.2543660779484</v>
      </c>
      <c r="C99" s="2">
        <v>1181.1264026677236</v>
      </c>
      <c r="D99" s="2">
        <v>429.28903074935079</v>
      </c>
      <c r="E99" s="2">
        <v>247.70953265950084</v>
      </c>
      <c r="F99" s="2">
        <v>9.6603002981282771</v>
      </c>
      <c r="G99" s="2">
        <v>0.85537757345940924</v>
      </c>
      <c r="H99" s="2">
        <v>40</v>
      </c>
      <c r="I99" s="2">
        <v>25</v>
      </c>
      <c r="J99" s="2">
        <f>(IF(A99='Hybrid Calculator'!$B$6,0,1))^2+((B99-'Hybrid Calculator'!$B$7)/1500)^2+((C99-'Hybrid Calculator'!$B$8)/1300)^2+((D99-'Hybrid Calculator'!$B$9)/800)^2+((E99-'Hybrid Calculator'!$B$10)/350)^2+((F99-'Hybrid Calculator'!$B$11)/30)^2+(G99-'Hybrid Calculator'!$B$12)^2+((H99-'Hybrid Calculator'!$E$14)/IF(A99="Lightning",100,30000))^2+((I99-'Hybrid Calculator'!$E$17)/IF(A99="Lightning",100,30000))^2</f>
        <v>0.2487392045573277</v>
      </c>
      <c r="K99" s="2">
        <f t="shared" si="4"/>
        <v>534</v>
      </c>
      <c r="L99" s="2">
        <f t="shared" si="5"/>
        <v>0</v>
      </c>
      <c r="M99" s="2">
        <f t="shared" si="6"/>
        <v>0</v>
      </c>
      <c r="N99" s="2">
        <v>2.198585356609617E-2</v>
      </c>
      <c r="O99" s="2">
        <f t="shared" si="7"/>
        <v>0</v>
      </c>
      <c r="P99" s="2">
        <v>0.4211429805323661</v>
      </c>
      <c r="Q99" s="2">
        <v>-2.099253103129513</v>
      </c>
    </row>
    <row r="100" spans="1:17" ht="15">
      <c r="A100" s="2" t="s">
        <v>13</v>
      </c>
      <c r="B100" s="2">
        <v>1412.4134661164135</v>
      </c>
      <c r="C100" s="2">
        <v>643.75634928001091</v>
      </c>
      <c r="D100" s="2">
        <v>682.75661077350378</v>
      </c>
      <c r="E100" s="2">
        <v>199.98434719862416</v>
      </c>
      <c r="F100" s="2">
        <v>8.3993249125778675</v>
      </c>
      <c r="G100" s="2">
        <v>0.80747964933747429</v>
      </c>
      <c r="H100" s="2">
        <v>50</v>
      </c>
      <c r="I100" s="2">
        <v>25</v>
      </c>
      <c r="J100" s="2">
        <f>(IF(A100='Hybrid Calculator'!$B$6,0,1))^2+((B100-'Hybrid Calculator'!$B$7)/1500)^2+((C100-'Hybrid Calculator'!$B$8)/1300)^2+((D100-'Hybrid Calculator'!$B$9)/800)^2+((E100-'Hybrid Calculator'!$B$10)/350)^2+((F100-'Hybrid Calculator'!$B$11)/30)^2+(G100-'Hybrid Calculator'!$B$12)^2+((H100-'Hybrid Calculator'!$E$14)/IF(A100="Lightning",100,30000))^2+((I100-'Hybrid Calculator'!$E$17)/IF(A100="Lightning",100,30000))^2</f>
        <v>0.21133911284104667</v>
      </c>
      <c r="K100" s="2">
        <f t="shared" si="4"/>
        <v>471</v>
      </c>
      <c r="L100" s="2">
        <f t="shared" si="5"/>
        <v>0</v>
      </c>
      <c r="M100" s="2">
        <f t="shared" si="6"/>
        <v>0</v>
      </c>
      <c r="N100" s="2">
        <v>5.7573651695979056E-3</v>
      </c>
      <c r="O100" s="2">
        <f t="shared" si="7"/>
        <v>0</v>
      </c>
      <c r="P100" s="2">
        <v>-0.96225406167614125</v>
      </c>
      <c r="Q100" s="2">
        <v>14.265208269004688</v>
      </c>
    </row>
    <row r="101" spans="1:17" ht="15">
      <c r="A101" s="2" t="s">
        <v>13</v>
      </c>
      <c r="B101" s="2">
        <v>1420.4384708893485</v>
      </c>
      <c r="C101" s="2">
        <v>735.05825146567076</v>
      </c>
      <c r="D101" s="2">
        <v>528.13235567882657</v>
      </c>
      <c r="E101" s="2">
        <v>238.60217995941639</v>
      </c>
      <c r="F101" s="2">
        <v>17.030026788357645</v>
      </c>
      <c r="G101" s="2">
        <v>0.7980607749475167</v>
      </c>
      <c r="H101" s="2">
        <v>50</v>
      </c>
      <c r="I101" s="2">
        <v>25</v>
      </c>
      <c r="J101" s="2">
        <f>(IF(A101='Hybrid Calculator'!$B$6,0,1))^2+((B101-'Hybrid Calculator'!$B$7)/1500)^2+((C101-'Hybrid Calculator'!$B$8)/1300)^2+((D101-'Hybrid Calculator'!$B$9)/800)^2+((E101-'Hybrid Calculator'!$B$10)/350)^2+((F101-'Hybrid Calculator'!$B$11)/30)^2+(G101-'Hybrid Calculator'!$B$12)^2+((H101-'Hybrid Calculator'!$E$14)/IF(A101="Lightning",100,30000))^2+((I101-'Hybrid Calculator'!$E$17)/IF(A101="Lightning",100,30000))^2</f>
        <v>7.6030076000734345E-2</v>
      </c>
      <c r="K101" s="2">
        <f t="shared" si="4"/>
        <v>123</v>
      </c>
      <c r="L101" s="2">
        <f t="shared" si="5"/>
        <v>0</v>
      </c>
      <c r="M101" s="2">
        <f t="shared" si="6"/>
        <v>0</v>
      </c>
      <c r="N101" s="2">
        <v>7.4772629019808079E-3</v>
      </c>
      <c r="O101" s="2">
        <f t="shared" si="7"/>
        <v>0</v>
      </c>
      <c r="P101" s="2">
        <v>0.5874356505486773</v>
      </c>
      <c r="Q101" s="2">
        <v>15.121978976543232</v>
      </c>
    </row>
    <row r="102" spans="1:17" ht="15">
      <c r="A102" s="2" t="s">
        <v>13</v>
      </c>
      <c r="B102" s="2">
        <v>1358.4202198544517</v>
      </c>
      <c r="C102" s="2">
        <v>608.07485106633976</v>
      </c>
      <c r="D102" s="2">
        <v>500.71715787053108</v>
      </c>
      <c r="E102" s="2">
        <v>187.26977180456743</v>
      </c>
      <c r="F102" s="2">
        <v>10.281839190982282</v>
      </c>
      <c r="G102" s="2">
        <v>0.8395500255911611</v>
      </c>
      <c r="H102" s="2">
        <v>60</v>
      </c>
      <c r="I102" s="2">
        <v>25</v>
      </c>
      <c r="J102" s="2">
        <f>(IF(A102='Hybrid Calculator'!$B$6,0,1))^2+((B102-'Hybrid Calculator'!$B$7)/1500)^2+((C102-'Hybrid Calculator'!$B$8)/1300)^2+((D102-'Hybrid Calculator'!$B$9)/800)^2+((E102-'Hybrid Calculator'!$B$10)/350)^2+((F102-'Hybrid Calculator'!$B$11)/30)^2+(G102-'Hybrid Calculator'!$B$12)^2+((H102-'Hybrid Calculator'!$E$14)/IF(A102="Lightning",100,30000))^2+((I102-'Hybrid Calculator'!$E$17)/IF(A102="Lightning",100,30000))^2</f>
        <v>0.13336646776371769</v>
      </c>
      <c r="K102" s="2">
        <f t="shared" si="4"/>
        <v>285</v>
      </c>
      <c r="L102" s="2">
        <f t="shared" si="5"/>
        <v>0</v>
      </c>
      <c r="M102" s="2">
        <f t="shared" si="6"/>
        <v>0</v>
      </c>
      <c r="N102" s="2">
        <v>4.9628897412947737E-3</v>
      </c>
      <c r="O102" s="2">
        <f t="shared" si="7"/>
        <v>0</v>
      </c>
      <c r="P102" s="2">
        <v>-1.7793604038218902</v>
      </c>
      <c r="Q102" s="2">
        <v>20.218112248064017</v>
      </c>
    </row>
    <row r="103" spans="1:17" ht="15">
      <c r="A103" s="2" t="s">
        <v>13</v>
      </c>
      <c r="B103" s="2">
        <v>1369.0455265226774</v>
      </c>
      <c r="C103" s="2">
        <v>775.26320721954107</v>
      </c>
      <c r="D103" s="2">
        <v>592.11771627888083</v>
      </c>
      <c r="E103" s="2">
        <v>258.82268328685313</v>
      </c>
      <c r="F103" s="2">
        <v>19.960523733403534</v>
      </c>
      <c r="G103" s="2">
        <v>0.80260266928933566</v>
      </c>
      <c r="H103" s="2">
        <v>45</v>
      </c>
      <c r="I103" s="2">
        <v>25</v>
      </c>
      <c r="J103" s="2">
        <f>(IF(A103='Hybrid Calculator'!$B$6,0,1))^2+((B103-'Hybrid Calculator'!$B$7)/1500)^2+((C103-'Hybrid Calculator'!$B$8)/1300)^2+((D103-'Hybrid Calculator'!$B$9)/800)^2+((E103-'Hybrid Calculator'!$B$10)/350)^2+((F103-'Hybrid Calculator'!$B$11)/30)^2+(G103-'Hybrid Calculator'!$B$12)^2+((H103-'Hybrid Calculator'!$E$14)/IF(A103="Lightning",100,30000))^2+((I103-'Hybrid Calculator'!$E$17)/IF(A103="Lightning",100,30000))^2</f>
        <v>0.11980073082282715</v>
      </c>
      <c r="K103" s="2">
        <f t="shared" si="4"/>
        <v>250</v>
      </c>
      <c r="L103" s="2">
        <f t="shared" si="5"/>
        <v>0</v>
      </c>
      <c r="M103" s="2">
        <f t="shared" si="6"/>
        <v>0</v>
      </c>
      <c r="N103" s="2">
        <v>-7.7084274889755999E-3</v>
      </c>
      <c r="O103" s="2">
        <f t="shared" si="7"/>
        <v>0</v>
      </c>
      <c r="P103" s="2">
        <v>-0.28691932673712017</v>
      </c>
      <c r="Q103" s="2">
        <v>-6.9007338497328874</v>
      </c>
    </row>
    <row r="104" spans="1:17" ht="15">
      <c r="A104" s="2" t="s">
        <v>13</v>
      </c>
      <c r="B104" s="2">
        <v>1461.1342021264136</v>
      </c>
      <c r="C104" s="2">
        <v>1220.5535461544059</v>
      </c>
      <c r="D104" s="2">
        <v>562.21959684044123</v>
      </c>
      <c r="E104" s="2">
        <v>154.28626535693184</v>
      </c>
      <c r="F104" s="2">
        <v>21.627701135352254</v>
      </c>
      <c r="G104" s="2">
        <v>0.80408214695053182</v>
      </c>
      <c r="H104" s="2">
        <v>35</v>
      </c>
      <c r="I104" s="2">
        <v>25</v>
      </c>
      <c r="J104" s="2">
        <f>(IF(A104='Hybrid Calculator'!$B$6,0,1))^2+((B104-'Hybrid Calculator'!$B$7)/1500)^2+((C104-'Hybrid Calculator'!$B$8)/1300)^2+((D104-'Hybrid Calculator'!$B$9)/800)^2+((E104-'Hybrid Calculator'!$B$10)/350)^2+((F104-'Hybrid Calculator'!$B$11)/30)^2+(G104-'Hybrid Calculator'!$B$12)^2+((H104-'Hybrid Calculator'!$E$14)/IF(A104="Lightning",100,30000))^2+((I104-'Hybrid Calculator'!$E$17)/IF(A104="Lightning",100,30000))^2</f>
        <v>0.12165046890308459</v>
      </c>
      <c r="K104" s="2">
        <f t="shared" si="4"/>
        <v>257</v>
      </c>
      <c r="L104" s="2">
        <f t="shared" si="5"/>
        <v>0</v>
      </c>
      <c r="M104" s="2">
        <f t="shared" si="6"/>
        <v>0</v>
      </c>
      <c r="N104" s="2">
        <v>7.9376775957300527E-3</v>
      </c>
      <c r="O104" s="2">
        <f t="shared" si="7"/>
        <v>0</v>
      </c>
      <c r="P104" s="2">
        <v>9.37279325716176E-2</v>
      </c>
      <c r="Q104" s="2">
        <v>-11.815433928397624</v>
      </c>
    </row>
    <row r="105" spans="1:17" ht="15">
      <c r="A105" s="2" t="s">
        <v>13</v>
      </c>
      <c r="B105" s="2">
        <v>1367.545555124525</v>
      </c>
      <c r="C105" s="2">
        <v>819.06666543800384</v>
      </c>
      <c r="D105" s="2">
        <v>685.21992349997163</v>
      </c>
      <c r="E105" s="2">
        <v>103.49436213262379</v>
      </c>
      <c r="F105" s="2">
        <v>9.0688302968628705</v>
      </c>
      <c r="G105" s="2">
        <v>0.8025471215927974</v>
      </c>
      <c r="H105" s="2">
        <v>50</v>
      </c>
      <c r="I105" s="2">
        <v>25</v>
      </c>
      <c r="J105" s="2">
        <f>(IF(A105='Hybrid Calculator'!$B$6,0,1))^2+((B105-'Hybrid Calculator'!$B$7)/1500)^2+((C105-'Hybrid Calculator'!$B$8)/1300)^2+((D105-'Hybrid Calculator'!$B$9)/800)^2+((E105-'Hybrid Calculator'!$B$10)/350)^2+((F105-'Hybrid Calculator'!$B$11)/30)^2+(G105-'Hybrid Calculator'!$B$12)^2+((H105-'Hybrid Calculator'!$E$14)/IF(A105="Lightning",100,30000))^2+((I105-'Hybrid Calculator'!$E$17)/IF(A105="Lightning",100,30000))^2</f>
        <v>0.17242695586124951</v>
      </c>
      <c r="K105" s="2">
        <f t="shared" si="4"/>
        <v>386</v>
      </c>
      <c r="L105" s="2">
        <f t="shared" si="5"/>
        <v>0</v>
      </c>
      <c r="M105" s="2">
        <f t="shared" si="6"/>
        <v>0</v>
      </c>
      <c r="N105" s="2">
        <v>2.2945214730845098E-3</v>
      </c>
      <c r="O105" s="2">
        <f t="shared" si="7"/>
        <v>0</v>
      </c>
      <c r="P105" s="2">
        <v>0.78121272950765075</v>
      </c>
      <c r="Q105" s="2">
        <v>4.3861593953638476</v>
      </c>
    </row>
    <row r="106" spans="1:17" ht="15">
      <c r="A106" s="2" t="s">
        <v>13</v>
      </c>
      <c r="B106" s="2">
        <v>1462.2360514244065</v>
      </c>
      <c r="C106" s="2">
        <v>1245.265426451806</v>
      </c>
      <c r="D106" s="2">
        <v>711.48238442838192</v>
      </c>
      <c r="E106" s="2">
        <v>180.22990097058937</v>
      </c>
      <c r="F106" s="2">
        <v>28.673845586366951</v>
      </c>
      <c r="G106" s="2">
        <v>0.79642136362148452</v>
      </c>
      <c r="H106" s="2">
        <v>30</v>
      </c>
      <c r="I106" s="2">
        <v>25</v>
      </c>
      <c r="J106" s="2">
        <f>(IF(A106='Hybrid Calculator'!$B$6,0,1))^2+((B106-'Hybrid Calculator'!$B$7)/1500)^2+((C106-'Hybrid Calculator'!$B$8)/1300)^2+((D106-'Hybrid Calculator'!$B$9)/800)^2+((E106-'Hybrid Calculator'!$B$10)/350)^2+((F106-'Hybrid Calculator'!$B$11)/30)^2+(G106-'Hybrid Calculator'!$B$12)^2+((H106-'Hybrid Calculator'!$E$14)/IF(A106="Lightning",100,30000))^2+((I106-'Hybrid Calculator'!$E$17)/IF(A106="Lightning",100,30000))^2</f>
        <v>0.32596918655176299</v>
      </c>
      <c r="K106" s="2">
        <f t="shared" si="4"/>
        <v>632</v>
      </c>
      <c r="L106" s="2">
        <f t="shared" si="5"/>
        <v>0</v>
      </c>
      <c r="M106" s="2">
        <f t="shared" si="6"/>
        <v>0</v>
      </c>
      <c r="N106" s="2">
        <v>2.7015919542181521E-3</v>
      </c>
      <c r="O106" s="2">
        <f t="shared" si="7"/>
        <v>0</v>
      </c>
      <c r="P106" s="2">
        <v>0.71882466383540589</v>
      </c>
      <c r="Q106" s="2">
        <v>-24.593981548657212</v>
      </c>
    </row>
    <row r="107" spans="1:17" ht="15">
      <c r="A107" s="2" t="s">
        <v>13</v>
      </c>
      <c r="B107" s="2">
        <v>1373.3126272796653</v>
      </c>
      <c r="C107" s="2">
        <v>974.10915032960474</v>
      </c>
      <c r="D107" s="2">
        <v>680.39788780733943</v>
      </c>
      <c r="E107" s="2">
        <v>104.14356300141662</v>
      </c>
      <c r="F107" s="2">
        <v>18.843529507052153</v>
      </c>
      <c r="G107" s="2">
        <v>0.80001070441678168</v>
      </c>
      <c r="H107" s="2">
        <v>40</v>
      </c>
      <c r="I107" s="2">
        <v>25</v>
      </c>
      <c r="J107" s="2">
        <f>(IF(A107='Hybrid Calculator'!$B$6,0,1))^2+((B107-'Hybrid Calculator'!$B$7)/1500)^2+((C107-'Hybrid Calculator'!$B$8)/1300)^2+((D107-'Hybrid Calculator'!$B$9)/800)^2+((E107-'Hybrid Calculator'!$B$10)/350)^2+((F107-'Hybrid Calculator'!$B$11)/30)^2+(G107-'Hybrid Calculator'!$B$12)^2+((H107-'Hybrid Calculator'!$E$14)/IF(A107="Lightning",100,30000))^2+((I107-'Hybrid Calculator'!$E$17)/IF(A107="Lightning",100,30000))^2</f>
        <v>8.8847195228878267E-2</v>
      </c>
      <c r="K107" s="2">
        <f t="shared" si="4"/>
        <v>169</v>
      </c>
      <c r="L107" s="2">
        <f t="shared" si="5"/>
        <v>0</v>
      </c>
      <c r="M107" s="2">
        <f t="shared" si="6"/>
        <v>0</v>
      </c>
      <c r="N107" s="2">
        <v>-6.9492255173393414E-3</v>
      </c>
      <c r="O107" s="2">
        <f t="shared" si="7"/>
        <v>0</v>
      </c>
      <c r="P107" s="2">
        <v>-7.7250261548918786E-2</v>
      </c>
      <c r="Q107" s="2">
        <v>-3.5726203358926796</v>
      </c>
    </row>
    <row r="108" spans="1:17" ht="15">
      <c r="A108" s="2" t="s">
        <v>13</v>
      </c>
      <c r="B108" s="2">
        <v>1368.4614785481244</v>
      </c>
      <c r="C108" s="2">
        <v>721.29222190706059</v>
      </c>
      <c r="D108" s="2">
        <v>466.37786608189344</v>
      </c>
      <c r="E108" s="2">
        <v>306.2294705142267</v>
      </c>
      <c r="F108" s="2">
        <v>22.821372404694557</v>
      </c>
      <c r="G108" s="2">
        <v>0.83484906239667911</v>
      </c>
      <c r="H108" s="2">
        <v>50</v>
      </c>
      <c r="I108" s="2">
        <v>25</v>
      </c>
      <c r="J108" s="2">
        <f>(IF(A108='Hybrid Calculator'!$B$6,0,1))^2+((B108-'Hybrid Calculator'!$B$7)/1500)^2+((C108-'Hybrid Calculator'!$B$8)/1300)^2+((D108-'Hybrid Calculator'!$B$9)/800)^2+((E108-'Hybrid Calculator'!$B$10)/350)^2+((F108-'Hybrid Calculator'!$B$11)/30)^2+(G108-'Hybrid Calculator'!$B$12)^2+((H108-'Hybrid Calculator'!$E$14)/IF(A108="Lightning",100,30000))^2+((I108-'Hybrid Calculator'!$E$17)/IF(A108="Lightning",100,30000))^2</f>
        <v>0.23320499611924303</v>
      </c>
      <c r="K108" s="2">
        <f t="shared" si="4"/>
        <v>509</v>
      </c>
      <c r="L108" s="2">
        <f t="shared" si="5"/>
        <v>0</v>
      </c>
      <c r="M108" s="2">
        <f t="shared" si="6"/>
        <v>0</v>
      </c>
      <c r="N108" s="2">
        <v>3.2867308684940699E-3</v>
      </c>
      <c r="O108" s="2">
        <f t="shared" si="7"/>
        <v>0</v>
      </c>
      <c r="P108" s="2">
        <v>-0.42037842098955736</v>
      </c>
      <c r="Q108" s="2">
        <v>0.84227045825923597</v>
      </c>
    </row>
    <row r="109" spans="1:17" ht="15">
      <c r="A109" s="2" t="s">
        <v>13</v>
      </c>
      <c r="B109" s="2">
        <v>1361.9964917306788</v>
      </c>
      <c r="C109" s="2">
        <v>798.50221776869148</v>
      </c>
      <c r="D109" s="2">
        <v>446.90806986764073</v>
      </c>
      <c r="E109" s="2">
        <v>329.63976489380002</v>
      </c>
      <c r="F109" s="2">
        <v>24.603562420699745</v>
      </c>
      <c r="G109" s="2">
        <v>0.82796485205646608</v>
      </c>
      <c r="H109" s="2">
        <v>45</v>
      </c>
      <c r="I109" s="2">
        <v>25</v>
      </c>
      <c r="J109" s="2">
        <f>(IF(A109='Hybrid Calculator'!$B$6,0,1))^2+((B109-'Hybrid Calculator'!$B$7)/1500)^2+((C109-'Hybrid Calculator'!$B$8)/1300)^2+((D109-'Hybrid Calculator'!$B$9)/800)^2+((E109-'Hybrid Calculator'!$B$10)/350)^2+((F109-'Hybrid Calculator'!$B$11)/30)^2+(G109-'Hybrid Calculator'!$B$12)^2+((H109-'Hybrid Calculator'!$E$14)/IF(A109="Lightning",100,30000))^2+((I109-'Hybrid Calculator'!$E$17)/IF(A109="Lightning",100,30000))^2</f>
        <v>0.31512613479419888</v>
      </c>
      <c r="K109" s="2">
        <f t="shared" si="4"/>
        <v>616</v>
      </c>
      <c r="L109" s="2">
        <f t="shared" si="5"/>
        <v>0</v>
      </c>
      <c r="M109" s="2">
        <f t="shared" si="6"/>
        <v>0</v>
      </c>
      <c r="N109" s="2">
        <v>4.8058020360297604E-4</v>
      </c>
      <c r="O109" s="2">
        <f t="shared" si="7"/>
        <v>0</v>
      </c>
      <c r="P109" s="2">
        <v>-1.2073139347487114</v>
      </c>
      <c r="Q109" s="2">
        <v>-8.8852133064858663</v>
      </c>
    </row>
    <row r="110" spans="1:17" ht="15">
      <c r="A110" s="2" t="s">
        <v>13</v>
      </c>
      <c r="B110" s="2">
        <v>1438.3904931368306</v>
      </c>
      <c r="C110" s="2">
        <v>1124.3280420196243</v>
      </c>
      <c r="D110" s="2">
        <v>557.74578303098679</v>
      </c>
      <c r="E110" s="2">
        <v>169.95427651097998</v>
      </c>
      <c r="F110" s="2">
        <v>25.699126030318439</v>
      </c>
      <c r="G110" s="2">
        <v>0.79938353564357389</v>
      </c>
      <c r="H110" s="2">
        <v>40</v>
      </c>
      <c r="I110" s="2">
        <v>25</v>
      </c>
      <c r="J110" s="2">
        <f>(IF(A110='Hybrid Calculator'!$B$6,0,1))^2+((B110-'Hybrid Calculator'!$B$7)/1500)^2+((C110-'Hybrid Calculator'!$B$8)/1300)^2+((D110-'Hybrid Calculator'!$B$9)/800)^2+((E110-'Hybrid Calculator'!$B$10)/350)^2+((F110-'Hybrid Calculator'!$B$11)/30)^2+(G110-'Hybrid Calculator'!$B$12)^2+((H110-'Hybrid Calculator'!$E$14)/IF(A110="Lightning",100,30000))^2+((I110-'Hybrid Calculator'!$E$17)/IF(A110="Lightning",100,30000))^2</f>
        <v>0.12108151774286399</v>
      </c>
      <c r="K110" s="2">
        <f t="shared" si="4"/>
        <v>253</v>
      </c>
      <c r="L110" s="2">
        <f t="shared" si="5"/>
        <v>0</v>
      </c>
      <c r="M110" s="2">
        <f t="shared" si="6"/>
        <v>0</v>
      </c>
      <c r="N110" s="2">
        <v>4.755797873278178E-3</v>
      </c>
      <c r="O110" s="2">
        <f t="shared" si="7"/>
        <v>0</v>
      </c>
      <c r="P110" s="2">
        <v>0.80985706455362561</v>
      </c>
      <c r="Q110" s="2">
        <v>-14.85645508211519</v>
      </c>
    </row>
    <row r="111" spans="1:17" ht="15">
      <c r="A111" s="2" t="s">
        <v>13</v>
      </c>
      <c r="B111" s="2">
        <v>1451.9464607234113</v>
      </c>
      <c r="C111" s="2">
        <v>677.76527246460319</v>
      </c>
      <c r="D111" s="2">
        <v>407.59589290246367</v>
      </c>
      <c r="E111" s="2">
        <v>266.28791405353695</v>
      </c>
      <c r="F111" s="2">
        <v>25.525812198873609</v>
      </c>
      <c r="G111" s="2">
        <v>0.80191217203624554</v>
      </c>
      <c r="H111" s="2">
        <v>50</v>
      </c>
      <c r="I111" s="2">
        <v>25</v>
      </c>
      <c r="J111" s="2">
        <f>(IF(A111='Hybrid Calculator'!$B$6,0,1))^2+((B111-'Hybrid Calculator'!$B$7)/1500)^2+((C111-'Hybrid Calculator'!$B$8)/1300)^2+((D111-'Hybrid Calculator'!$B$9)/800)^2+((E111-'Hybrid Calculator'!$B$10)/350)^2+((F111-'Hybrid Calculator'!$B$11)/30)^2+(G111-'Hybrid Calculator'!$B$12)^2+((H111-'Hybrid Calculator'!$E$14)/IF(A111="Lightning",100,30000))^2+((I111-'Hybrid Calculator'!$E$17)/IF(A111="Lightning",100,30000))^2</f>
        <v>0.19678201515662172</v>
      </c>
      <c r="K111" s="2">
        <f t="shared" si="4"/>
        <v>438</v>
      </c>
      <c r="L111" s="2">
        <f t="shared" si="5"/>
        <v>0</v>
      </c>
      <c r="M111" s="2">
        <f t="shared" si="6"/>
        <v>0</v>
      </c>
      <c r="N111" s="2">
        <v>-9.1124363540973086E-4</v>
      </c>
      <c r="O111" s="2">
        <f t="shared" si="7"/>
        <v>0</v>
      </c>
      <c r="P111" s="2">
        <v>0.37646325048920914</v>
      </c>
      <c r="Q111" s="2">
        <v>2.268710206880769</v>
      </c>
    </row>
    <row r="112" spans="1:17" ht="15">
      <c r="A112" s="2" t="s">
        <v>13</v>
      </c>
      <c r="B112" s="2">
        <v>1437.1008574962616</v>
      </c>
      <c r="C112" s="2">
        <v>1207.6813632971607</v>
      </c>
      <c r="D112" s="2">
        <v>488.26854694634676</v>
      </c>
      <c r="E112" s="2">
        <v>297.20816061133519</v>
      </c>
      <c r="F112" s="2">
        <v>27.585154680535197</v>
      </c>
      <c r="G112" s="2">
        <v>0.82432581489207224</v>
      </c>
      <c r="H112" s="2">
        <v>35</v>
      </c>
      <c r="I112" s="2">
        <v>25</v>
      </c>
      <c r="J112" s="2">
        <f>(IF(A112='Hybrid Calculator'!$B$6,0,1))^2+((B112-'Hybrid Calculator'!$B$7)/1500)^2+((C112-'Hybrid Calculator'!$B$8)/1300)^2+((D112-'Hybrid Calculator'!$B$9)/800)^2+((E112-'Hybrid Calculator'!$B$10)/350)^2+((F112-'Hybrid Calculator'!$B$11)/30)^2+(G112-'Hybrid Calculator'!$B$12)^2+((H112-'Hybrid Calculator'!$E$14)/IF(A112="Lightning",100,30000))^2+((I112-'Hybrid Calculator'!$E$17)/IF(A112="Lightning",100,30000))^2</f>
        <v>0.36711167509148868</v>
      </c>
      <c r="K112" s="2">
        <f t="shared" si="4"/>
        <v>664</v>
      </c>
      <c r="L112" s="2">
        <f t="shared" si="5"/>
        <v>0</v>
      </c>
      <c r="M112" s="2">
        <f t="shared" si="6"/>
        <v>0</v>
      </c>
      <c r="N112" s="2">
        <v>-8.8122690696645911E-4</v>
      </c>
      <c r="O112" s="2">
        <f t="shared" si="7"/>
        <v>0</v>
      </c>
      <c r="P112" s="2">
        <v>1.5806976350198028</v>
      </c>
      <c r="Q112" s="2">
        <v>-25.708770386432207</v>
      </c>
    </row>
    <row r="113" spans="1:17" ht="15">
      <c r="A113" s="2" t="s">
        <v>13</v>
      </c>
      <c r="B113" s="2">
        <v>1375.5919298739173</v>
      </c>
      <c r="C113" s="2">
        <v>1000.762171507813</v>
      </c>
      <c r="D113" s="2">
        <v>385.06044605746865</v>
      </c>
      <c r="E113" s="2">
        <v>257.12562321685255</v>
      </c>
      <c r="F113" s="2">
        <v>15.656178173143417</v>
      </c>
      <c r="G113" s="2">
        <v>0.8191681948350743</v>
      </c>
      <c r="H113" s="2">
        <v>45</v>
      </c>
      <c r="I113" s="2">
        <v>25</v>
      </c>
      <c r="J113" s="2">
        <f>(IF(A113='Hybrid Calculator'!$B$6,0,1))^2+((B113-'Hybrid Calculator'!$B$7)/1500)^2+((C113-'Hybrid Calculator'!$B$8)/1300)^2+((D113-'Hybrid Calculator'!$B$9)/800)^2+((E113-'Hybrid Calculator'!$B$10)/350)^2+((F113-'Hybrid Calculator'!$B$11)/30)^2+(G113-'Hybrid Calculator'!$B$12)^2+((H113-'Hybrid Calculator'!$E$14)/IF(A113="Lightning",100,30000))^2+((I113-'Hybrid Calculator'!$E$17)/IF(A113="Lightning",100,30000))^2</f>
        <v>0.14034396942978691</v>
      </c>
      <c r="K113" s="2">
        <f t="shared" si="4"/>
        <v>303</v>
      </c>
      <c r="L113" s="2">
        <f t="shared" si="5"/>
        <v>0</v>
      </c>
      <c r="M113" s="2">
        <f t="shared" si="6"/>
        <v>0</v>
      </c>
      <c r="N113" s="2">
        <v>8.0879524333041797E-3</v>
      </c>
      <c r="O113" s="2">
        <f t="shared" si="7"/>
        <v>0</v>
      </c>
      <c r="P113" s="2">
        <v>2.009832589614291E-2</v>
      </c>
      <c r="Q113" s="2">
        <v>3.167926487023351</v>
      </c>
    </row>
    <row r="114" spans="1:17" ht="15">
      <c r="A114" s="2" t="s">
        <v>13</v>
      </c>
      <c r="B114" s="2">
        <v>1443.1240341626108</v>
      </c>
      <c r="C114" s="2">
        <v>679.62376767536625</v>
      </c>
      <c r="D114" s="2">
        <v>507.12862852960825</v>
      </c>
      <c r="E114" s="2">
        <v>220.51902206847444</v>
      </c>
      <c r="F114" s="2">
        <v>28.611845815554261</v>
      </c>
      <c r="G114" s="2">
        <v>0.80224882546113807</v>
      </c>
      <c r="H114" s="2">
        <v>50</v>
      </c>
      <c r="I114" s="2">
        <v>25</v>
      </c>
      <c r="J114" s="2">
        <f>(IF(A114='Hybrid Calculator'!$B$6,0,1))^2+((B114-'Hybrid Calculator'!$B$7)/1500)^2+((C114-'Hybrid Calculator'!$B$8)/1300)^2+((D114-'Hybrid Calculator'!$B$9)/800)^2+((E114-'Hybrid Calculator'!$B$10)/350)^2+((F114-'Hybrid Calculator'!$B$11)/30)^2+(G114-'Hybrid Calculator'!$B$12)^2+((H114-'Hybrid Calculator'!$E$14)/IF(A114="Lightning",100,30000))^2+((I114-'Hybrid Calculator'!$E$17)/IF(A114="Lightning",100,30000))^2</f>
        <v>0.17192270510581745</v>
      </c>
      <c r="K114" s="2">
        <f t="shared" si="4"/>
        <v>385</v>
      </c>
      <c r="L114" s="2">
        <f t="shared" si="5"/>
        <v>0</v>
      </c>
      <c r="M114" s="2">
        <f t="shared" si="6"/>
        <v>0</v>
      </c>
      <c r="N114" s="2">
        <v>-1.8780038487163253E-2</v>
      </c>
      <c r="O114" s="2">
        <f t="shared" si="7"/>
        <v>0</v>
      </c>
      <c r="P114" s="2">
        <v>-1.6488068472854209</v>
      </c>
      <c r="Q114" s="2">
        <v>-10.779034271708042</v>
      </c>
    </row>
    <row r="115" spans="1:17" ht="15">
      <c r="A115" s="2" t="s">
        <v>13</v>
      </c>
      <c r="B115" s="2">
        <v>1384.3266756855883</v>
      </c>
      <c r="C115" s="2">
        <v>1012.7749155508354</v>
      </c>
      <c r="D115" s="2">
        <v>516.00088411942124</v>
      </c>
      <c r="E115" s="2">
        <v>277.54129298962653</v>
      </c>
      <c r="F115" s="2">
        <v>28.216288514900953</v>
      </c>
      <c r="G115" s="2">
        <v>0.80538014835212379</v>
      </c>
      <c r="H115" s="2">
        <v>40</v>
      </c>
      <c r="I115" s="2">
        <v>25</v>
      </c>
      <c r="J115" s="2">
        <f>(IF(A115='Hybrid Calculator'!$B$6,0,1))^2+((B115-'Hybrid Calculator'!$B$7)/1500)^2+((C115-'Hybrid Calculator'!$B$8)/1300)^2+((D115-'Hybrid Calculator'!$B$9)/800)^2+((E115-'Hybrid Calculator'!$B$10)/350)^2+((F115-'Hybrid Calculator'!$B$11)/30)^2+(G115-'Hybrid Calculator'!$B$12)^2+((H115-'Hybrid Calculator'!$E$14)/IF(A115="Lightning",100,30000))^2+((I115-'Hybrid Calculator'!$E$17)/IF(A115="Lightning",100,30000))^2</f>
        <v>0.264712850007643</v>
      </c>
      <c r="K115" s="2">
        <f t="shared" si="4"/>
        <v>562</v>
      </c>
      <c r="L115" s="2">
        <f t="shared" si="5"/>
        <v>0</v>
      </c>
      <c r="M115" s="2">
        <f t="shared" si="6"/>
        <v>0</v>
      </c>
      <c r="N115" s="2">
        <v>3.7858865273583397E-3</v>
      </c>
      <c r="O115" s="2">
        <f t="shared" si="7"/>
        <v>0</v>
      </c>
      <c r="P115" s="2">
        <v>2.4295153670877312E-2</v>
      </c>
      <c r="Q115" s="2">
        <v>-9.7991079335477025</v>
      </c>
    </row>
    <row r="116" spans="1:17" ht="15">
      <c r="A116" s="2" t="s">
        <v>13</v>
      </c>
      <c r="B116" s="2">
        <v>1410.3358909254894</v>
      </c>
      <c r="C116" s="2">
        <v>965.09609982604161</v>
      </c>
      <c r="D116" s="2">
        <v>404.77361492812634</v>
      </c>
      <c r="E116" s="2">
        <v>171.13464289112017</v>
      </c>
      <c r="F116" s="2">
        <v>25.641829480417073</v>
      </c>
      <c r="G116" s="2">
        <v>0.79448441200656816</v>
      </c>
      <c r="H116" s="2">
        <v>45</v>
      </c>
      <c r="I116" s="2">
        <v>25</v>
      </c>
      <c r="J116" s="2">
        <f>(IF(A116='Hybrid Calculator'!$B$6,0,1))^2+((B116-'Hybrid Calculator'!$B$7)/1500)^2+((C116-'Hybrid Calculator'!$B$8)/1300)^2+((D116-'Hybrid Calculator'!$B$9)/800)^2+((E116-'Hybrid Calculator'!$B$10)/350)^2+((F116-'Hybrid Calculator'!$B$11)/30)^2+(G116-'Hybrid Calculator'!$B$12)^2+((H116-'Hybrid Calculator'!$E$14)/IF(A116="Lightning",100,30000))^2+((I116-'Hybrid Calculator'!$E$17)/IF(A116="Lightning",100,30000))^2</f>
        <v>8.557333814243856E-2</v>
      </c>
      <c r="K116" s="2">
        <f t="shared" si="4"/>
        <v>153</v>
      </c>
      <c r="L116" s="2">
        <f t="shared" si="5"/>
        <v>0</v>
      </c>
      <c r="M116" s="2">
        <f t="shared" si="6"/>
        <v>0</v>
      </c>
      <c r="N116" s="2">
        <v>-7.237222062053128E-4</v>
      </c>
      <c r="O116" s="2">
        <f t="shared" si="7"/>
        <v>0</v>
      </c>
      <c r="P116" s="2">
        <v>8.6863087140962136E-2</v>
      </c>
      <c r="Q116" s="2">
        <v>-10.924500561268133</v>
      </c>
    </row>
    <row r="117" spans="1:17" ht="15">
      <c r="A117" s="2" t="s">
        <v>13</v>
      </c>
      <c r="B117" s="2">
        <v>1410.943474934902</v>
      </c>
      <c r="C117" s="2">
        <v>1133.113592909649</v>
      </c>
      <c r="D117" s="2">
        <v>600.26591746136546</v>
      </c>
      <c r="E117" s="2">
        <v>311.68098030146211</v>
      </c>
      <c r="F117" s="2">
        <v>16.162289030384272</v>
      </c>
      <c r="G117" s="2">
        <v>0.85154207749292254</v>
      </c>
      <c r="H117" s="2">
        <v>35</v>
      </c>
      <c r="I117" s="2">
        <v>25</v>
      </c>
      <c r="J117" s="2">
        <f>(IF(A117='Hybrid Calculator'!$B$6,0,1))^2+((B117-'Hybrid Calculator'!$B$7)/1500)^2+((C117-'Hybrid Calculator'!$B$8)/1300)^2+((D117-'Hybrid Calculator'!$B$9)/800)^2+((E117-'Hybrid Calculator'!$B$10)/350)^2+((F117-'Hybrid Calculator'!$B$11)/30)^2+(G117-'Hybrid Calculator'!$B$12)^2+((H117-'Hybrid Calculator'!$E$14)/IF(A117="Lightning",100,30000))^2+((I117-'Hybrid Calculator'!$E$17)/IF(A117="Lightning",100,30000))^2</f>
        <v>0.30618481411987752</v>
      </c>
      <c r="K117" s="2">
        <f t="shared" si="4"/>
        <v>603</v>
      </c>
      <c r="L117" s="2">
        <f t="shared" si="5"/>
        <v>0</v>
      </c>
      <c r="M117" s="2">
        <f t="shared" si="6"/>
        <v>0</v>
      </c>
      <c r="N117" s="2">
        <v>2.273766264210475E-2</v>
      </c>
      <c r="O117" s="2">
        <f t="shared" si="7"/>
        <v>0</v>
      </c>
      <c r="P117" s="2">
        <v>0.8764935627009649</v>
      </c>
      <c r="Q117" s="2">
        <v>-8.1992529450387792</v>
      </c>
    </row>
    <row r="118" spans="1:17" ht="15">
      <c r="A118" s="2" t="s">
        <v>13</v>
      </c>
      <c r="B118" s="2">
        <v>1392.41519481875</v>
      </c>
      <c r="C118" s="2">
        <v>979.45212851045653</v>
      </c>
      <c r="D118" s="2">
        <v>416.24803077429533</v>
      </c>
      <c r="E118" s="2">
        <v>328.65735817002133</v>
      </c>
      <c r="F118" s="2">
        <v>25.434995420277119</v>
      </c>
      <c r="G118" s="2">
        <v>0.85664455691585317</v>
      </c>
      <c r="H118" s="2">
        <v>40</v>
      </c>
      <c r="I118" s="2">
        <v>25</v>
      </c>
      <c r="J118" s="2">
        <f>(IF(A118='Hybrid Calculator'!$B$6,0,1))^2+((B118-'Hybrid Calculator'!$B$7)/1500)^2+((C118-'Hybrid Calculator'!$B$8)/1300)^2+((D118-'Hybrid Calculator'!$B$9)/800)^2+((E118-'Hybrid Calculator'!$B$10)/350)^2+((F118-'Hybrid Calculator'!$B$11)/30)^2+(G118-'Hybrid Calculator'!$B$12)^2+((H118-'Hybrid Calculator'!$E$14)/IF(A118="Lightning",100,30000))^2+((I118-'Hybrid Calculator'!$E$17)/IF(A118="Lightning",100,30000))^2</f>
        <v>0.3466873448569045</v>
      </c>
      <c r="K118" s="2">
        <f t="shared" si="4"/>
        <v>646</v>
      </c>
      <c r="L118" s="2">
        <f t="shared" si="5"/>
        <v>0</v>
      </c>
      <c r="M118" s="2">
        <f t="shared" si="6"/>
        <v>0</v>
      </c>
      <c r="N118" s="2">
        <v>-4.8099673099155638E-3</v>
      </c>
      <c r="O118" s="2">
        <f t="shared" si="7"/>
        <v>0</v>
      </c>
      <c r="P118" s="2">
        <v>1.2283477953380668</v>
      </c>
      <c r="Q118" s="2">
        <v>-7.6880876852521851</v>
      </c>
    </row>
    <row r="119" spans="1:17" ht="15">
      <c r="A119" s="2" t="s">
        <v>13</v>
      </c>
      <c r="B119" s="2">
        <v>1417.8638438810594</v>
      </c>
      <c r="C119" s="2">
        <v>600.63403767999262</v>
      </c>
      <c r="D119" s="2">
        <v>703.8544443435967</v>
      </c>
      <c r="E119" s="2">
        <v>119.62388401851058</v>
      </c>
      <c r="F119" s="2">
        <v>8.401535599026829</v>
      </c>
      <c r="G119" s="2">
        <v>0.82575239033903935</v>
      </c>
      <c r="H119" s="2">
        <v>55</v>
      </c>
      <c r="I119" s="2">
        <v>25</v>
      </c>
      <c r="J119" s="2">
        <f>(IF(A119='Hybrid Calculator'!$B$6,0,1))^2+((B119-'Hybrid Calculator'!$B$7)/1500)^2+((C119-'Hybrid Calculator'!$B$8)/1300)^2+((D119-'Hybrid Calculator'!$B$9)/800)^2+((E119-'Hybrid Calculator'!$B$10)/350)^2+((F119-'Hybrid Calculator'!$B$11)/30)^2+(G119-'Hybrid Calculator'!$B$12)^2+((H119-'Hybrid Calculator'!$E$14)/IF(A119="Lightning",100,30000))^2+((I119-'Hybrid Calculator'!$E$17)/IF(A119="Lightning",100,30000))^2</f>
        <v>0.22512516090599841</v>
      </c>
      <c r="K119" s="2">
        <f t="shared" si="4"/>
        <v>496</v>
      </c>
      <c r="L119" s="2">
        <f t="shared" si="5"/>
        <v>0</v>
      </c>
      <c r="M119" s="2">
        <f t="shared" si="6"/>
        <v>0</v>
      </c>
      <c r="N119" s="2">
        <v>8.2879197295373519E-3</v>
      </c>
      <c r="O119" s="2">
        <f t="shared" si="7"/>
        <v>0</v>
      </c>
      <c r="P119" s="2">
        <v>-6.1563364839678059E-2</v>
      </c>
      <c r="Q119" s="2">
        <v>11.357257989956452</v>
      </c>
    </row>
    <row r="120" spans="1:17" ht="15">
      <c r="A120" s="2" t="s">
        <v>13</v>
      </c>
      <c r="B120" s="2">
        <v>1496.4773978339508</v>
      </c>
      <c r="C120" s="2">
        <v>929.50559594901279</v>
      </c>
      <c r="D120" s="2">
        <v>630.33305406570435</v>
      </c>
      <c r="E120" s="2">
        <v>249.52869103988633</v>
      </c>
      <c r="F120" s="2">
        <v>12.705374079756439</v>
      </c>
      <c r="G120" s="2">
        <v>0.85358418814605108</v>
      </c>
      <c r="H120" s="2">
        <v>40</v>
      </c>
      <c r="I120" s="2">
        <v>25</v>
      </c>
      <c r="J120" s="2">
        <f>(IF(A120='Hybrid Calculator'!$B$6,0,1))^2+((B120-'Hybrid Calculator'!$B$7)/1500)^2+((C120-'Hybrid Calculator'!$B$8)/1300)^2+((D120-'Hybrid Calculator'!$B$9)/800)^2+((E120-'Hybrid Calculator'!$B$10)/350)^2+((F120-'Hybrid Calculator'!$B$11)/30)^2+(G120-'Hybrid Calculator'!$B$12)^2+((H120-'Hybrid Calculator'!$E$14)/IF(A120="Lightning",100,30000))^2+((I120-'Hybrid Calculator'!$E$17)/IF(A120="Lightning",100,30000))^2</f>
        <v>0.16185414479249577</v>
      </c>
      <c r="K120" s="2">
        <f t="shared" si="4"/>
        <v>358</v>
      </c>
      <c r="L120" s="2">
        <f t="shared" si="5"/>
        <v>0</v>
      </c>
      <c r="M120" s="2">
        <f t="shared" si="6"/>
        <v>0</v>
      </c>
      <c r="N120" s="2">
        <v>4.6062772777255567E-4</v>
      </c>
      <c r="O120" s="2">
        <f t="shared" si="7"/>
        <v>0</v>
      </c>
      <c r="P120" s="2">
        <v>-0.44481141693277948</v>
      </c>
      <c r="Q120" s="2">
        <v>4.5665989458129843</v>
      </c>
    </row>
    <row r="121" spans="1:17" ht="15">
      <c r="A121" s="2" t="s">
        <v>13</v>
      </c>
      <c r="B121" s="2">
        <v>1404.1750670294277</v>
      </c>
      <c r="C121" s="2">
        <v>1201.7152012325823</v>
      </c>
      <c r="D121" s="2">
        <v>410.78513627871871</v>
      </c>
      <c r="E121" s="2">
        <v>125.86970212403685</v>
      </c>
      <c r="F121" s="2">
        <v>14.59516049688682</v>
      </c>
      <c r="G121" s="2">
        <v>0.83047137797810144</v>
      </c>
      <c r="H121" s="2">
        <v>45</v>
      </c>
      <c r="I121" s="2">
        <v>25</v>
      </c>
      <c r="J121" s="2">
        <f>(IF(A121='Hybrid Calculator'!$B$6,0,1))^2+((B121-'Hybrid Calculator'!$B$7)/1500)^2+((C121-'Hybrid Calculator'!$B$8)/1300)^2+((D121-'Hybrid Calculator'!$B$9)/800)^2+((E121-'Hybrid Calculator'!$B$10)/350)^2+((F121-'Hybrid Calculator'!$B$11)/30)^2+(G121-'Hybrid Calculator'!$B$12)^2+((H121-'Hybrid Calculator'!$E$14)/IF(A121="Lightning",100,30000))^2+((I121-'Hybrid Calculator'!$E$17)/IF(A121="Lightning",100,30000))^2</f>
        <v>0.11013137861327531</v>
      </c>
      <c r="K121" s="2">
        <f t="shared" si="4"/>
        <v>227</v>
      </c>
      <c r="L121" s="2">
        <f t="shared" si="5"/>
        <v>0</v>
      </c>
      <c r="M121" s="2">
        <f t="shared" si="6"/>
        <v>0</v>
      </c>
      <c r="N121" s="2">
        <v>9.7412080602321538E-4</v>
      </c>
      <c r="O121" s="2">
        <f t="shared" si="7"/>
        <v>0</v>
      </c>
      <c r="P121" s="2">
        <v>0.57840463671829667</v>
      </c>
      <c r="Q121" s="2">
        <v>-4.9353541226669222</v>
      </c>
    </row>
    <row r="122" spans="1:17" ht="15">
      <c r="A122" s="2" t="s">
        <v>13</v>
      </c>
      <c r="B122" s="2">
        <v>1374.4345022365451</v>
      </c>
      <c r="C122" s="2">
        <v>1142.730418255087</v>
      </c>
      <c r="D122" s="2">
        <v>536.39398831874132</v>
      </c>
      <c r="E122" s="2">
        <v>297.39590127253905</v>
      </c>
      <c r="F122" s="2">
        <v>27.49927463196218</v>
      </c>
      <c r="G122" s="2">
        <v>0.8450462889787741</v>
      </c>
      <c r="H122" s="2">
        <v>35</v>
      </c>
      <c r="I122" s="2">
        <v>25</v>
      </c>
      <c r="J122" s="2">
        <f>(IF(A122='Hybrid Calculator'!$B$6,0,1))^2+((B122-'Hybrid Calculator'!$B$7)/1500)^2+((C122-'Hybrid Calculator'!$B$8)/1300)^2+((D122-'Hybrid Calculator'!$B$9)/800)^2+((E122-'Hybrid Calculator'!$B$10)/350)^2+((F122-'Hybrid Calculator'!$B$11)/30)^2+(G122-'Hybrid Calculator'!$B$12)^2+((H122-'Hybrid Calculator'!$E$14)/IF(A122="Lightning",100,30000))^2+((I122-'Hybrid Calculator'!$E$17)/IF(A122="Lightning",100,30000))^2</f>
        <v>0.34437499664354498</v>
      </c>
      <c r="K122" s="2">
        <f t="shared" si="4"/>
        <v>644</v>
      </c>
      <c r="L122" s="2">
        <f t="shared" si="5"/>
        <v>0</v>
      </c>
      <c r="M122" s="2">
        <f t="shared" si="6"/>
        <v>0</v>
      </c>
      <c r="N122" s="2">
        <v>-9.3596468397170174E-3</v>
      </c>
      <c r="O122" s="2">
        <f t="shared" si="7"/>
        <v>0</v>
      </c>
      <c r="P122" s="2">
        <v>1.6775919387845946</v>
      </c>
      <c r="Q122" s="2">
        <v>-14.082410603756898</v>
      </c>
    </row>
    <row r="123" spans="1:17" ht="15">
      <c r="A123" s="2" t="s">
        <v>13</v>
      </c>
      <c r="B123" s="2">
        <v>1483.9318108395673</v>
      </c>
      <c r="C123" s="2">
        <v>742.34101588372141</v>
      </c>
      <c r="D123" s="2">
        <v>431.78955921903253</v>
      </c>
      <c r="E123" s="2">
        <v>117.80390578322113</v>
      </c>
      <c r="F123" s="2">
        <v>17.265591223258525</v>
      </c>
      <c r="G123" s="2">
        <v>0.85816851299721753</v>
      </c>
      <c r="H123" s="2">
        <v>60</v>
      </c>
      <c r="I123" s="2">
        <v>25</v>
      </c>
      <c r="J123" s="2">
        <f>(IF(A123='Hybrid Calculator'!$B$6,0,1))^2+((B123-'Hybrid Calculator'!$B$7)/1500)^2+((C123-'Hybrid Calculator'!$B$8)/1300)^2+((D123-'Hybrid Calculator'!$B$9)/800)^2+((E123-'Hybrid Calculator'!$B$10)/350)^2+((F123-'Hybrid Calculator'!$B$11)/30)^2+(G123-'Hybrid Calculator'!$B$12)^2+((H123-'Hybrid Calculator'!$E$14)/IF(A123="Lightning",100,30000))^2+((I123-'Hybrid Calculator'!$E$17)/IF(A123="Lightning",100,30000))^2</f>
        <v>3.7283437830765223E-2</v>
      </c>
      <c r="K123" s="2">
        <f t="shared" si="4"/>
        <v>32</v>
      </c>
      <c r="L123" s="2">
        <f t="shared" si="5"/>
        <v>0</v>
      </c>
      <c r="M123" s="2">
        <f t="shared" si="6"/>
        <v>0</v>
      </c>
      <c r="N123" s="2">
        <v>-7.4451335384362327E-3</v>
      </c>
      <c r="O123" s="2">
        <f t="shared" si="7"/>
        <v>0</v>
      </c>
      <c r="P123" s="2">
        <v>-0.3294942668510501</v>
      </c>
      <c r="Q123" s="2">
        <v>21.696308201939246</v>
      </c>
    </row>
    <row r="124" spans="1:17" ht="15">
      <c r="A124" s="2" t="s">
        <v>13</v>
      </c>
      <c r="B124" s="2">
        <v>1390.1782690314576</v>
      </c>
      <c r="C124" s="2">
        <v>1114.2357258708216</v>
      </c>
      <c r="D124" s="2">
        <v>365.41496105492115</v>
      </c>
      <c r="E124" s="2">
        <v>256.54820735333487</v>
      </c>
      <c r="F124" s="2">
        <v>26.819838658906519</v>
      </c>
      <c r="G124" s="2">
        <v>0.82543658292619515</v>
      </c>
      <c r="H124" s="2">
        <v>40</v>
      </c>
      <c r="I124" s="2">
        <v>25</v>
      </c>
      <c r="J124" s="2">
        <f>(IF(A124='Hybrid Calculator'!$B$6,0,1))^2+((B124-'Hybrid Calculator'!$B$7)/1500)^2+((C124-'Hybrid Calculator'!$B$8)/1300)^2+((D124-'Hybrid Calculator'!$B$9)/800)^2+((E124-'Hybrid Calculator'!$B$10)/350)^2+((F124-'Hybrid Calculator'!$B$11)/30)^2+(G124-'Hybrid Calculator'!$B$12)^2+((H124-'Hybrid Calculator'!$E$14)/IF(A124="Lightning",100,30000))^2+((I124-'Hybrid Calculator'!$E$17)/IF(A124="Lightning",100,30000))^2</f>
        <v>0.24976858662039492</v>
      </c>
      <c r="K124" s="2">
        <f t="shared" si="4"/>
        <v>539</v>
      </c>
      <c r="L124" s="2">
        <f t="shared" si="5"/>
        <v>0</v>
      </c>
      <c r="M124" s="2">
        <f t="shared" si="6"/>
        <v>0</v>
      </c>
      <c r="N124" s="2">
        <v>-9.6087075484643236E-3</v>
      </c>
      <c r="O124" s="2">
        <f t="shared" si="7"/>
        <v>0</v>
      </c>
      <c r="P124" s="2">
        <v>0.91972050522993953</v>
      </c>
      <c r="Q124" s="2">
        <v>-14.677092822633085</v>
      </c>
    </row>
    <row r="125" spans="1:17" ht="15">
      <c r="A125" s="2" t="s">
        <v>13</v>
      </c>
      <c r="B125" s="2">
        <v>1472.2545085824095</v>
      </c>
      <c r="C125" s="2">
        <v>692.33610122464597</v>
      </c>
      <c r="D125" s="2">
        <v>443.74469919130206</v>
      </c>
      <c r="E125" s="2">
        <v>136.1553695006296</v>
      </c>
      <c r="F125" s="2">
        <v>14.638282525818795</v>
      </c>
      <c r="G125" s="2">
        <v>0.8040470397844911</v>
      </c>
      <c r="H125" s="2">
        <v>55</v>
      </c>
      <c r="I125" s="2">
        <v>25</v>
      </c>
      <c r="J125" s="2">
        <f>(IF(A125='Hybrid Calculator'!$B$6,0,1))^2+((B125-'Hybrid Calculator'!$B$7)/1500)^2+((C125-'Hybrid Calculator'!$B$8)/1300)^2+((D125-'Hybrid Calculator'!$B$9)/800)^2+((E125-'Hybrid Calculator'!$B$10)/350)^2+((F125-'Hybrid Calculator'!$B$11)/30)^2+(G125-'Hybrid Calculator'!$B$12)^2+((H125-'Hybrid Calculator'!$E$14)/IF(A125="Lightning",100,30000))^2+((I125-'Hybrid Calculator'!$E$17)/IF(A125="Lightning",100,30000))^2</f>
        <v>4.1535065835462071E-2</v>
      </c>
      <c r="K125" s="2">
        <f t="shared" si="4"/>
        <v>36</v>
      </c>
      <c r="L125" s="2">
        <f t="shared" si="5"/>
        <v>0</v>
      </c>
      <c r="M125" s="2">
        <f t="shared" si="6"/>
        <v>0</v>
      </c>
      <c r="N125" s="2">
        <v>3.305622377406614E-3</v>
      </c>
      <c r="O125" s="2">
        <f t="shared" si="7"/>
        <v>0</v>
      </c>
      <c r="P125" s="2">
        <v>0.37592791270076731</v>
      </c>
      <c r="Q125" s="2">
        <v>17.950773322042323</v>
      </c>
    </row>
    <row r="126" spans="1:17" ht="15">
      <c r="A126" s="2" t="s">
        <v>13</v>
      </c>
      <c r="B126" s="2">
        <v>1452.1252123173326</v>
      </c>
      <c r="C126" s="2">
        <v>1052.5850507314317</v>
      </c>
      <c r="D126" s="2">
        <v>556.1617961153388</v>
      </c>
      <c r="E126" s="2">
        <v>303.81629591109231</v>
      </c>
      <c r="F126" s="2">
        <v>19.349219564348459</v>
      </c>
      <c r="G126" s="2">
        <v>0.84373722620541236</v>
      </c>
      <c r="H126" s="2">
        <v>40</v>
      </c>
      <c r="I126" s="2">
        <v>25</v>
      </c>
      <c r="J126" s="2">
        <f>(IF(A126='Hybrid Calculator'!$B$6,0,1))^2+((B126-'Hybrid Calculator'!$B$7)/1500)^2+((C126-'Hybrid Calculator'!$B$8)/1300)^2+((D126-'Hybrid Calculator'!$B$9)/800)^2+((E126-'Hybrid Calculator'!$B$10)/350)^2+((F126-'Hybrid Calculator'!$B$11)/30)^2+(G126-'Hybrid Calculator'!$B$12)^2+((H126-'Hybrid Calculator'!$E$14)/IF(A126="Lightning",100,30000))^2+((I126-'Hybrid Calculator'!$E$17)/IF(A126="Lightning",100,30000))^2</f>
        <v>0.23404295792877886</v>
      </c>
      <c r="K126" s="2">
        <f t="shared" si="4"/>
        <v>512</v>
      </c>
      <c r="L126" s="2">
        <f t="shared" si="5"/>
        <v>0</v>
      </c>
      <c r="M126" s="2">
        <f t="shared" si="6"/>
        <v>0</v>
      </c>
      <c r="N126" s="2">
        <v>1.70343412448275E-2</v>
      </c>
      <c r="O126" s="2">
        <f t="shared" si="7"/>
        <v>0</v>
      </c>
      <c r="P126" s="2">
        <v>-0.37564949095554567</v>
      </c>
      <c r="Q126" s="2">
        <v>-7.9612674980623979</v>
      </c>
    </row>
    <row r="127" spans="1:17" ht="15">
      <c r="A127" s="2" t="s">
        <v>13</v>
      </c>
      <c r="B127" s="2">
        <v>1351.0870164376684</v>
      </c>
      <c r="C127" s="2">
        <v>1039.5997919840738</v>
      </c>
      <c r="D127" s="2">
        <v>655.96706019714475</v>
      </c>
      <c r="E127" s="2">
        <v>277.06365093588829</v>
      </c>
      <c r="F127" s="2">
        <v>24.068012634757906</v>
      </c>
      <c r="G127" s="2">
        <v>0.8406684366567061</v>
      </c>
      <c r="H127" s="2">
        <v>35</v>
      </c>
      <c r="I127" s="2">
        <v>25</v>
      </c>
      <c r="J127" s="2">
        <f>(IF(A127='Hybrid Calculator'!$B$6,0,1))^2+((B127-'Hybrid Calculator'!$B$7)/1500)^2+((C127-'Hybrid Calculator'!$B$8)/1300)^2+((D127-'Hybrid Calculator'!$B$9)/800)^2+((E127-'Hybrid Calculator'!$B$10)/350)^2+((F127-'Hybrid Calculator'!$B$11)/30)^2+(G127-'Hybrid Calculator'!$B$12)^2+((H127-'Hybrid Calculator'!$E$14)/IF(A127="Lightning",100,30000))^2+((I127-'Hybrid Calculator'!$E$17)/IF(A127="Lightning",100,30000))^2</f>
        <v>0.25088007292460546</v>
      </c>
      <c r="K127" s="2">
        <f t="shared" si="4"/>
        <v>545</v>
      </c>
      <c r="L127" s="2">
        <f t="shared" si="5"/>
        <v>0</v>
      </c>
      <c r="M127" s="2">
        <f t="shared" si="6"/>
        <v>0</v>
      </c>
      <c r="N127" s="2">
        <v>9.8773791680617506E-4</v>
      </c>
      <c r="O127" s="2">
        <f t="shared" si="7"/>
        <v>0</v>
      </c>
      <c r="P127" s="2">
        <v>0.24475044684999148</v>
      </c>
      <c r="Q127" s="2">
        <v>-16.114858791591132</v>
      </c>
    </row>
    <row r="128" spans="1:17" ht="15">
      <c r="A128" s="2" t="s">
        <v>13</v>
      </c>
      <c r="B128" s="2">
        <v>1441.0042141098529</v>
      </c>
      <c r="C128" s="2">
        <v>1141.2393949809484</v>
      </c>
      <c r="D128" s="2">
        <v>446.84605877846479</v>
      </c>
      <c r="E128" s="2">
        <v>317.75963328080252</v>
      </c>
      <c r="F128" s="2">
        <v>22.309127449989319</v>
      </c>
      <c r="G128" s="2">
        <v>0.79497060096124195</v>
      </c>
      <c r="H128" s="2">
        <v>35</v>
      </c>
      <c r="I128" s="2">
        <v>25</v>
      </c>
      <c r="J128" s="2">
        <f>(IF(A128='Hybrid Calculator'!$B$6,0,1))^2+((B128-'Hybrid Calculator'!$B$7)/1500)^2+((C128-'Hybrid Calculator'!$B$8)/1300)^2+((D128-'Hybrid Calculator'!$B$9)/800)^2+((E128-'Hybrid Calculator'!$B$10)/350)^2+((F128-'Hybrid Calculator'!$B$11)/30)^2+(G128-'Hybrid Calculator'!$B$12)^2+((H128-'Hybrid Calculator'!$E$14)/IF(A128="Lightning",100,30000))^2+((I128-'Hybrid Calculator'!$E$17)/IF(A128="Lightning",100,30000))^2</f>
        <v>0.32370727493884832</v>
      </c>
      <c r="K128" s="2">
        <f t="shared" si="4"/>
        <v>628</v>
      </c>
      <c r="L128" s="2">
        <f t="shared" si="5"/>
        <v>0</v>
      </c>
      <c r="M128" s="2">
        <f t="shared" si="6"/>
        <v>0</v>
      </c>
      <c r="N128" s="2">
        <v>1.1660634087536481E-2</v>
      </c>
      <c r="O128" s="2">
        <f t="shared" si="7"/>
        <v>0</v>
      </c>
      <c r="P128" s="2">
        <v>1.4020239540965065</v>
      </c>
      <c r="Q128" s="2">
        <v>-16.398649172687783</v>
      </c>
    </row>
    <row r="129" spans="1:17" ht="15">
      <c r="A129" s="2" t="s">
        <v>13</v>
      </c>
      <c r="B129" s="2">
        <v>1398.4102250193246</v>
      </c>
      <c r="C129" s="2">
        <v>882.57877768483013</v>
      </c>
      <c r="D129" s="2">
        <v>407.45847644284368</v>
      </c>
      <c r="E129" s="2">
        <v>308.08013344183564</v>
      </c>
      <c r="F129" s="2">
        <v>20.595815292093903</v>
      </c>
      <c r="G129" s="2">
        <v>0.82386271638330077</v>
      </c>
      <c r="H129" s="2">
        <v>45</v>
      </c>
      <c r="I129" s="2">
        <v>25</v>
      </c>
      <c r="J129" s="2">
        <f>(IF(A129='Hybrid Calculator'!$B$6,0,1))^2+((B129-'Hybrid Calculator'!$B$7)/1500)^2+((C129-'Hybrid Calculator'!$B$8)/1300)^2+((D129-'Hybrid Calculator'!$B$9)/800)^2+((E129-'Hybrid Calculator'!$B$10)/350)^2+((F129-'Hybrid Calculator'!$B$11)/30)^2+(G129-'Hybrid Calculator'!$B$12)^2+((H129-'Hybrid Calculator'!$E$14)/IF(A129="Lightning",100,30000))^2+((I129-'Hybrid Calculator'!$E$17)/IF(A129="Lightning",100,30000))^2</f>
        <v>0.22571333969036858</v>
      </c>
      <c r="K129" s="2">
        <f t="shared" si="4"/>
        <v>499</v>
      </c>
      <c r="L129" s="2">
        <f t="shared" si="5"/>
        <v>0</v>
      </c>
      <c r="M129" s="2">
        <f t="shared" si="6"/>
        <v>0</v>
      </c>
      <c r="N129" s="2">
        <v>-5.5155947177609743E-3</v>
      </c>
      <c r="O129" s="2">
        <f t="shared" si="7"/>
        <v>0</v>
      </c>
      <c r="P129" s="2">
        <v>-0.47490558065641864</v>
      </c>
      <c r="Q129" s="2">
        <v>3.9888487852024355</v>
      </c>
    </row>
    <row r="130" spans="1:17" ht="15">
      <c r="A130" s="2" t="s">
        <v>13</v>
      </c>
      <c r="B130" s="2">
        <v>1395.2429824741557</v>
      </c>
      <c r="C130" s="2">
        <v>646.85628992738202</v>
      </c>
      <c r="D130" s="2">
        <v>423.49880486726761</v>
      </c>
      <c r="E130" s="2">
        <v>262.87429859628901</v>
      </c>
      <c r="F130" s="2">
        <v>21.278142343275249</v>
      </c>
      <c r="G130" s="2">
        <v>0.82524638611590495</v>
      </c>
      <c r="H130" s="2">
        <v>55</v>
      </c>
      <c r="I130" s="2">
        <v>25</v>
      </c>
      <c r="J130" s="2">
        <f>(IF(A130='Hybrid Calculator'!$B$6,0,1))^2+((B130-'Hybrid Calculator'!$B$7)/1500)^2+((C130-'Hybrid Calculator'!$B$8)/1300)^2+((D130-'Hybrid Calculator'!$B$9)/800)^2+((E130-'Hybrid Calculator'!$B$10)/350)^2+((F130-'Hybrid Calculator'!$B$11)/30)^2+(G130-'Hybrid Calculator'!$B$12)^2+((H130-'Hybrid Calculator'!$E$14)/IF(A130="Lightning",100,30000))^2+((I130-'Hybrid Calculator'!$E$17)/IF(A130="Lightning",100,30000))^2</f>
        <v>0.14906465410642439</v>
      </c>
      <c r="K130" s="2">
        <f t="shared" ref="K130:K193" si="8">RANK(J130,$J$2:$J$1401,1)</f>
        <v>324</v>
      </c>
      <c r="L130" s="2">
        <f t="shared" ref="L130:L193" si="9">IF(K130&lt;=7,1,0)</f>
        <v>0</v>
      </c>
      <c r="M130" s="2">
        <f t="shared" ref="M130:M193" si="10">IF(L130=1,1/(J130+0.000001),0)</f>
        <v>0</v>
      </c>
      <c r="N130" s="2">
        <v>-8.06077285992024E-3</v>
      </c>
      <c r="O130" s="2">
        <f t="shared" ref="O130:O193" si="11">M130</f>
        <v>0</v>
      </c>
      <c r="P130" s="2">
        <v>0.16292594607276811</v>
      </c>
      <c r="Q130" s="2">
        <v>10.501269828033401</v>
      </c>
    </row>
    <row r="131" spans="1:17" ht="15">
      <c r="A131" s="2" t="s">
        <v>13</v>
      </c>
      <c r="B131" s="2">
        <v>1439.9121052469127</v>
      </c>
      <c r="C131" s="2">
        <v>1173.7173574976623</v>
      </c>
      <c r="D131" s="2">
        <v>373.34337150678039</v>
      </c>
      <c r="E131" s="2">
        <v>154.9278204748407</v>
      </c>
      <c r="F131" s="2">
        <v>11.466573213692755</v>
      </c>
      <c r="G131" s="2">
        <v>0.85672914606519046</v>
      </c>
      <c r="H131" s="2">
        <v>45</v>
      </c>
      <c r="I131" s="2">
        <v>25</v>
      </c>
      <c r="J131" s="2">
        <f>(IF(A131='Hybrid Calculator'!$B$6,0,1))^2+((B131-'Hybrid Calculator'!$B$7)/1500)^2+((C131-'Hybrid Calculator'!$B$8)/1300)^2+((D131-'Hybrid Calculator'!$B$9)/800)^2+((E131-'Hybrid Calculator'!$B$10)/350)^2+((F131-'Hybrid Calculator'!$B$11)/30)^2+(G131-'Hybrid Calculator'!$B$12)^2+((H131-'Hybrid Calculator'!$E$14)/IF(A131="Lightning",100,30000))^2+((I131-'Hybrid Calculator'!$E$17)/IF(A131="Lightning",100,30000))^2</f>
        <v>0.14618487239961089</v>
      </c>
      <c r="K131" s="2">
        <f t="shared" si="8"/>
        <v>320</v>
      </c>
      <c r="L131" s="2">
        <f t="shared" si="9"/>
        <v>0</v>
      </c>
      <c r="M131" s="2">
        <f t="shared" si="10"/>
        <v>0</v>
      </c>
      <c r="N131" s="2">
        <v>1.6609704824854354E-2</v>
      </c>
      <c r="O131" s="2">
        <f t="shared" si="11"/>
        <v>0</v>
      </c>
      <c r="P131" s="2">
        <v>0.4471650213950582</v>
      </c>
      <c r="Q131" s="2">
        <v>2.1719112525288438</v>
      </c>
    </row>
    <row r="132" spans="1:17" ht="15">
      <c r="A132" s="2" t="s">
        <v>13</v>
      </c>
      <c r="B132" s="2">
        <v>1413.9423217624426</v>
      </c>
      <c r="C132" s="2">
        <v>940.34791126614437</v>
      </c>
      <c r="D132" s="2">
        <v>664.11966849118471</v>
      </c>
      <c r="E132" s="2">
        <v>164.76404898101464</v>
      </c>
      <c r="F132" s="2">
        <v>24.51294626109302</v>
      </c>
      <c r="G132" s="2">
        <v>0.82521872219862424</v>
      </c>
      <c r="H132" s="2">
        <v>40</v>
      </c>
      <c r="I132" s="2">
        <v>25</v>
      </c>
      <c r="J132" s="2">
        <f>(IF(A132='Hybrid Calculator'!$B$6,0,1))^2+((B132-'Hybrid Calculator'!$B$7)/1500)^2+((C132-'Hybrid Calculator'!$B$8)/1300)^2+((D132-'Hybrid Calculator'!$B$9)/800)^2+((E132-'Hybrid Calculator'!$B$10)/350)^2+((F132-'Hybrid Calculator'!$B$11)/30)^2+(G132-'Hybrid Calculator'!$B$12)^2+((H132-'Hybrid Calculator'!$E$14)/IF(A132="Lightning",100,30000))^2+((I132-'Hybrid Calculator'!$E$17)/IF(A132="Lightning",100,30000))^2</f>
        <v>9.8950165715521787E-2</v>
      </c>
      <c r="K132" s="2">
        <f t="shared" si="8"/>
        <v>200</v>
      </c>
      <c r="L132" s="2">
        <f t="shared" si="9"/>
        <v>0</v>
      </c>
      <c r="M132" s="2">
        <f t="shared" si="10"/>
        <v>0</v>
      </c>
      <c r="N132" s="2">
        <v>4.7998691115715975E-3</v>
      </c>
      <c r="O132" s="2">
        <f t="shared" si="11"/>
        <v>0</v>
      </c>
      <c r="P132" s="2">
        <v>-0.14200998870235537</v>
      </c>
      <c r="Q132" s="2">
        <v>-17.167500486984636</v>
      </c>
    </row>
    <row r="133" spans="1:17" ht="15">
      <c r="A133" s="2" t="s">
        <v>13</v>
      </c>
      <c r="B133" s="2">
        <v>1391.7712392867543</v>
      </c>
      <c r="C133" s="2">
        <v>1065.7639159122482</v>
      </c>
      <c r="D133" s="2">
        <v>371.89416447654366</v>
      </c>
      <c r="E133" s="2">
        <v>254.09531748853624</v>
      </c>
      <c r="F133" s="2">
        <v>13.927644711453468</v>
      </c>
      <c r="G133" s="2">
        <v>0.80274899654556064</v>
      </c>
      <c r="H133" s="2">
        <v>45</v>
      </c>
      <c r="I133" s="2">
        <v>25</v>
      </c>
      <c r="J133" s="2">
        <f>(IF(A133='Hybrid Calculator'!$B$6,0,1))^2+((B133-'Hybrid Calculator'!$B$7)/1500)^2+((C133-'Hybrid Calculator'!$B$8)/1300)^2+((D133-'Hybrid Calculator'!$B$9)/800)^2+((E133-'Hybrid Calculator'!$B$10)/350)^2+((F133-'Hybrid Calculator'!$B$11)/30)^2+(G133-'Hybrid Calculator'!$B$12)^2+((H133-'Hybrid Calculator'!$E$14)/IF(A133="Lightning",100,30000))^2+((I133-'Hybrid Calculator'!$E$17)/IF(A133="Lightning",100,30000))^2</f>
        <v>0.16816263464829612</v>
      </c>
      <c r="K133" s="2">
        <f t="shared" si="8"/>
        <v>379</v>
      </c>
      <c r="L133" s="2">
        <f t="shared" si="9"/>
        <v>0</v>
      </c>
      <c r="M133" s="2">
        <f t="shared" si="10"/>
        <v>0</v>
      </c>
      <c r="N133" s="2">
        <v>1.20911880415151E-2</v>
      </c>
      <c r="O133" s="2">
        <f t="shared" si="11"/>
        <v>0</v>
      </c>
      <c r="P133" s="2">
        <v>1.3215571063463685</v>
      </c>
      <c r="Q133" s="2">
        <v>3.2453558396343851</v>
      </c>
    </row>
    <row r="134" spans="1:17" ht="15">
      <c r="A134" s="2" t="s">
        <v>13</v>
      </c>
      <c r="B134" s="2">
        <v>1406.183182890527</v>
      </c>
      <c r="C134" s="2">
        <v>1024.2812179611064</v>
      </c>
      <c r="D134" s="2">
        <v>687.08978034555912</v>
      </c>
      <c r="E134" s="2">
        <v>118.1605505826883</v>
      </c>
      <c r="F134" s="2">
        <v>29.953856536187232</v>
      </c>
      <c r="G134" s="2">
        <v>0.79077761235414079</v>
      </c>
      <c r="H134" s="2">
        <v>35</v>
      </c>
      <c r="I134" s="2">
        <v>25</v>
      </c>
      <c r="J134" s="2">
        <f>(IF(A134='Hybrid Calculator'!$B$6,0,1))^2+((B134-'Hybrid Calculator'!$B$7)/1500)^2+((C134-'Hybrid Calculator'!$B$8)/1300)^2+((D134-'Hybrid Calculator'!$B$9)/800)^2+((E134-'Hybrid Calculator'!$B$10)/350)^2+((F134-'Hybrid Calculator'!$B$11)/30)^2+(G134-'Hybrid Calculator'!$B$12)^2+((H134-'Hybrid Calculator'!$E$14)/IF(A134="Lightning",100,30000))^2+((I134-'Hybrid Calculator'!$E$17)/IF(A134="Lightning",100,30000))^2</f>
        <v>0.25021870432097776</v>
      </c>
      <c r="K134" s="2">
        <f t="shared" si="8"/>
        <v>542</v>
      </c>
      <c r="L134" s="2">
        <f t="shared" si="9"/>
        <v>0</v>
      </c>
      <c r="M134" s="2">
        <f t="shared" si="10"/>
        <v>0</v>
      </c>
      <c r="N134" s="2">
        <v>-1.1949708734717568E-2</v>
      </c>
      <c r="O134" s="2">
        <f t="shared" si="11"/>
        <v>0</v>
      </c>
      <c r="P134" s="2">
        <v>1.2809166579250402</v>
      </c>
      <c r="Q134" s="2">
        <v>-17.395774304109409</v>
      </c>
    </row>
    <row r="135" spans="1:17" ht="15">
      <c r="A135" s="2" t="s">
        <v>13</v>
      </c>
      <c r="B135" s="2">
        <v>1461.9599853060208</v>
      </c>
      <c r="C135" s="2">
        <v>946.45736771635711</v>
      </c>
      <c r="D135" s="2">
        <v>721.34907795116305</v>
      </c>
      <c r="E135" s="2">
        <v>279.00240551214665</v>
      </c>
      <c r="F135" s="2">
        <v>11.348584722261876</v>
      </c>
      <c r="G135" s="2">
        <v>0.85420374020934109</v>
      </c>
      <c r="H135" s="2">
        <v>40</v>
      </c>
      <c r="I135" s="2">
        <v>25</v>
      </c>
      <c r="J135" s="2">
        <f>(IF(A135='Hybrid Calculator'!$B$6,0,1))^2+((B135-'Hybrid Calculator'!$B$7)/1500)^2+((C135-'Hybrid Calculator'!$B$8)/1300)^2+((D135-'Hybrid Calculator'!$B$9)/800)^2+((E135-'Hybrid Calculator'!$B$10)/350)^2+((F135-'Hybrid Calculator'!$B$11)/30)^2+(G135-'Hybrid Calculator'!$B$12)^2+((H135-'Hybrid Calculator'!$E$14)/IF(A135="Lightning",100,30000))^2+((I135-'Hybrid Calculator'!$E$17)/IF(A135="Lightning",100,30000))^2</f>
        <v>0.2865129308430967</v>
      </c>
      <c r="K135" s="2">
        <f t="shared" si="8"/>
        <v>590</v>
      </c>
      <c r="L135" s="2">
        <f t="shared" si="9"/>
        <v>0</v>
      </c>
      <c r="M135" s="2">
        <f t="shared" si="10"/>
        <v>0</v>
      </c>
      <c r="N135" s="2">
        <v>1.1160763757498193E-2</v>
      </c>
      <c r="O135" s="2">
        <f t="shared" si="11"/>
        <v>0</v>
      </c>
      <c r="P135" s="2">
        <v>1.0018288916922558</v>
      </c>
      <c r="Q135" s="2">
        <v>1.8610207523188365</v>
      </c>
    </row>
    <row r="136" spans="1:17" ht="15">
      <c r="A136" s="2" t="s">
        <v>13</v>
      </c>
      <c r="B136" s="2">
        <v>1458.6332510691136</v>
      </c>
      <c r="C136" s="2">
        <v>806.46605313522741</v>
      </c>
      <c r="D136" s="2">
        <v>387.25482877343893</v>
      </c>
      <c r="E136" s="2">
        <v>135.18206098349765</v>
      </c>
      <c r="F136" s="2">
        <v>28.158648367971182</v>
      </c>
      <c r="G136" s="2">
        <v>0.80071697656298058</v>
      </c>
      <c r="H136" s="2">
        <v>50</v>
      </c>
      <c r="I136" s="2">
        <v>25</v>
      </c>
      <c r="J136" s="2">
        <f>(IF(A136='Hybrid Calculator'!$B$6,0,1))^2+((B136-'Hybrid Calculator'!$B$7)/1500)^2+((C136-'Hybrid Calculator'!$B$8)/1300)^2+((D136-'Hybrid Calculator'!$B$9)/800)^2+((E136-'Hybrid Calculator'!$B$10)/350)^2+((F136-'Hybrid Calculator'!$B$11)/30)^2+(G136-'Hybrid Calculator'!$B$12)^2+((H136-'Hybrid Calculator'!$E$14)/IF(A136="Lightning",100,30000))^2+((I136-'Hybrid Calculator'!$E$17)/IF(A136="Lightning",100,30000))^2</f>
        <v>0.12730509484348987</v>
      </c>
      <c r="K136" s="2">
        <f t="shared" si="8"/>
        <v>271</v>
      </c>
      <c r="L136" s="2">
        <f t="shared" si="9"/>
        <v>0</v>
      </c>
      <c r="M136" s="2">
        <f t="shared" si="10"/>
        <v>0</v>
      </c>
      <c r="N136" s="2">
        <v>-1.3734622736362612E-2</v>
      </c>
      <c r="O136" s="2">
        <f t="shared" si="11"/>
        <v>0</v>
      </c>
      <c r="P136" s="2">
        <v>0.1381214153821233</v>
      </c>
      <c r="Q136" s="2">
        <v>-1.3405995748762507</v>
      </c>
    </row>
    <row r="137" spans="1:17" ht="15">
      <c r="A137" s="2" t="s">
        <v>13</v>
      </c>
      <c r="B137" s="2">
        <v>1385.8171846834011</v>
      </c>
      <c r="C137" s="2">
        <v>967.22978155594319</v>
      </c>
      <c r="D137" s="2">
        <v>384.20836227014661</v>
      </c>
      <c r="E137" s="2">
        <v>310.39681557565928</v>
      </c>
      <c r="F137" s="2">
        <v>14.024749937001616</v>
      </c>
      <c r="G137" s="2">
        <v>0.80298940050881362</v>
      </c>
      <c r="H137" s="2">
        <v>45</v>
      </c>
      <c r="I137" s="2">
        <v>25</v>
      </c>
      <c r="J137" s="2">
        <f>(IF(A137='Hybrid Calculator'!$B$6,0,1))^2+((B137-'Hybrid Calculator'!$B$7)/1500)^2+((C137-'Hybrid Calculator'!$B$8)/1300)^2+((D137-'Hybrid Calculator'!$B$9)/800)^2+((E137-'Hybrid Calculator'!$B$10)/350)^2+((F137-'Hybrid Calculator'!$B$11)/30)^2+(G137-'Hybrid Calculator'!$B$12)^2+((H137-'Hybrid Calculator'!$E$14)/IF(A137="Lightning",100,30000))^2+((I137-'Hybrid Calculator'!$E$17)/IF(A137="Lightning",100,30000))^2</f>
        <v>0.26482373456969749</v>
      </c>
      <c r="K137" s="2">
        <f t="shared" si="8"/>
        <v>563</v>
      </c>
      <c r="L137" s="2">
        <f t="shared" si="9"/>
        <v>0</v>
      </c>
      <c r="M137" s="2">
        <f t="shared" si="10"/>
        <v>0</v>
      </c>
      <c r="N137" s="2">
        <v>-1.8880698797962836E-5</v>
      </c>
      <c r="O137" s="2">
        <f t="shared" si="11"/>
        <v>0</v>
      </c>
      <c r="P137" s="2">
        <v>0.46510381412270618</v>
      </c>
      <c r="Q137" s="2">
        <v>-1.2013640492175455</v>
      </c>
    </row>
    <row r="138" spans="1:17" ht="15">
      <c r="A138" s="2" t="s">
        <v>13</v>
      </c>
      <c r="B138" s="2">
        <v>1370.1114408904687</v>
      </c>
      <c r="C138" s="2">
        <v>953.41974749462679</v>
      </c>
      <c r="D138" s="2">
        <v>447.62626215815544</v>
      </c>
      <c r="E138" s="2">
        <v>235.27874551480636</v>
      </c>
      <c r="F138" s="2">
        <v>22.334762311540544</v>
      </c>
      <c r="G138" s="2">
        <v>0.83273217590292914</v>
      </c>
      <c r="H138" s="2">
        <v>45</v>
      </c>
      <c r="I138" s="2">
        <v>25</v>
      </c>
      <c r="J138" s="2">
        <f>(IF(A138='Hybrid Calculator'!$B$6,0,1))^2+((B138-'Hybrid Calculator'!$B$7)/1500)^2+((C138-'Hybrid Calculator'!$B$8)/1300)^2+((D138-'Hybrid Calculator'!$B$9)/800)^2+((E138-'Hybrid Calculator'!$B$10)/350)^2+((F138-'Hybrid Calculator'!$B$11)/30)^2+(G138-'Hybrid Calculator'!$B$12)^2+((H138-'Hybrid Calculator'!$E$14)/IF(A138="Lightning",100,30000))^2+((I138-'Hybrid Calculator'!$E$17)/IF(A138="Lightning",100,30000))^2</f>
        <v>9.0322236393992242E-2</v>
      </c>
      <c r="K138" s="2">
        <f t="shared" si="8"/>
        <v>175</v>
      </c>
      <c r="L138" s="2">
        <f t="shared" si="9"/>
        <v>0</v>
      </c>
      <c r="M138" s="2">
        <f t="shared" si="10"/>
        <v>0</v>
      </c>
      <c r="N138" s="2">
        <v>4.8664372169771042E-6</v>
      </c>
      <c r="O138" s="2">
        <f t="shared" si="11"/>
        <v>0</v>
      </c>
      <c r="P138" s="2">
        <v>-0.32204568613463636</v>
      </c>
      <c r="Q138" s="2">
        <v>1.3881924641309524</v>
      </c>
    </row>
    <row r="139" spans="1:17" ht="15">
      <c r="A139" s="2" t="s">
        <v>13</v>
      </c>
      <c r="B139" s="2">
        <v>1353.8747573154978</v>
      </c>
      <c r="C139" s="2">
        <v>1101.9333582371473</v>
      </c>
      <c r="D139" s="2">
        <v>366.34699692949653</v>
      </c>
      <c r="E139" s="2">
        <v>129.68203708995134</v>
      </c>
      <c r="F139" s="2">
        <v>12.558764712419361</v>
      </c>
      <c r="G139" s="2">
        <v>0.81872047576121987</v>
      </c>
      <c r="H139" s="2">
        <v>45</v>
      </c>
      <c r="I139" s="2">
        <v>25</v>
      </c>
      <c r="J139" s="2">
        <f>(IF(A139='Hybrid Calculator'!$B$6,0,1))^2+((B139-'Hybrid Calculator'!$B$7)/1500)^2+((C139-'Hybrid Calculator'!$B$8)/1300)^2+((D139-'Hybrid Calculator'!$B$9)/800)^2+((E139-'Hybrid Calculator'!$B$10)/350)^2+((F139-'Hybrid Calculator'!$B$11)/30)^2+(G139-'Hybrid Calculator'!$B$12)^2+((H139-'Hybrid Calculator'!$E$14)/IF(A139="Lightning",100,30000))^2+((I139-'Hybrid Calculator'!$E$17)/IF(A139="Lightning",100,30000))^2</f>
        <v>0.11280784928077763</v>
      </c>
      <c r="K139" s="2">
        <f t="shared" si="8"/>
        <v>237</v>
      </c>
      <c r="L139" s="2">
        <f t="shared" si="9"/>
        <v>0</v>
      </c>
      <c r="M139" s="2">
        <f t="shared" si="10"/>
        <v>0</v>
      </c>
      <c r="N139" s="2">
        <v>2.0908423555530131E-3</v>
      </c>
      <c r="O139" s="2">
        <f t="shared" si="11"/>
        <v>0</v>
      </c>
      <c r="P139" s="2">
        <v>0.98465450427489287</v>
      </c>
      <c r="Q139" s="2">
        <v>13.494858956933058</v>
      </c>
    </row>
    <row r="140" spans="1:17" ht="15">
      <c r="A140" s="2" t="s">
        <v>13</v>
      </c>
      <c r="B140" s="2">
        <v>1417.5664233975112</v>
      </c>
      <c r="C140" s="2">
        <v>974.03573276242241</v>
      </c>
      <c r="D140" s="2">
        <v>677.08957139402628</v>
      </c>
      <c r="E140" s="2">
        <v>119.53239420661703</v>
      </c>
      <c r="F140" s="2">
        <v>27.138571092858911</v>
      </c>
      <c r="G140" s="2">
        <v>0.8512240248476155</v>
      </c>
      <c r="H140" s="2">
        <v>40</v>
      </c>
      <c r="I140" s="2">
        <v>25</v>
      </c>
      <c r="J140" s="2">
        <f>(IF(A140='Hybrid Calculator'!$B$6,0,1))^2+((B140-'Hybrid Calculator'!$B$7)/1500)^2+((C140-'Hybrid Calculator'!$B$8)/1300)^2+((D140-'Hybrid Calculator'!$B$9)/800)^2+((E140-'Hybrid Calculator'!$B$10)/350)^2+((F140-'Hybrid Calculator'!$B$11)/30)^2+(G140-'Hybrid Calculator'!$B$12)^2+((H140-'Hybrid Calculator'!$E$14)/IF(A140="Lightning",100,30000))^2+((I140-'Hybrid Calculator'!$E$17)/IF(A140="Lightning",100,30000))^2</f>
        <v>0.15959840968743924</v>
      </c>
      <c r="K140" s="2">
        <f t="shared" si="8"/>
        <v>351</v>
      </c>
      <c r="L140" s="2">
        <f t="shared" si="9"/>
        <v>0</v>
      </c>
      <c r="M140" s="2">
        <f t="shared" si="10"/>
        <v>0</v>
      </c>
      <c r="N140" s="2">
        <v>9.6549618473116272E-3</v>
      </c>
      <c r="O140" s="2">
        <f t="shared" si="11"/>
        <v>0</v>
      </c>
      <c r="P140" s="2">
        <v>-0.63340978830076722</v>
      </c>
      <c r="Q140" s="2">
        <v>-23.23669209069476</v>
      </c>
    </row>
    <row r="141" spans="1:17" ht="15">
      <c r="A141" s="2" t="s">
        <v>13</v>
      </c>
      <c r="B141" s="2">
        <v>1462.0071423822083</v>
      </c>
      <c r="C141" s="2">
        <v>1137.6970782177523</v>
      </c>
      <c r="D141" s="2">
        <v>370.03974551334977</v>
      </c>
      <c r="E141" s="2">
        <v>299.89237354137003</v>
      </c>
      <c r="F141" s="2">
        <v>22.263562910724431</v>
      </c>
      <c r="G141" s="2">
        <v>0.83533285586629069</v>
      </c>
      <c r="H141" s="2">
        <v>40</v>
      </c>
      <c r="I141" s="2">
        <v>25</v>
      </c>
      <c r="J141" s="2">
        <f>(IF(A141='Hybrid Calculator'!$B$6,0,1))^2+((B141-'Hybrid Calculator'!$B$7)/1500)^2+((C141-'Hybrid Calculator'!$B$8)/1300)^2+((D141-'Hybrid Calculator'!$B$9)/800)^2+((E141-'Hybrid Calculator'!$B$10)/350)^2+((F141-'Hybrid Calculator'!$B$11)/30)^2+(G141-'Hybrid Calculator'!$B$12)^2+((H141-'Hybrid Calculator'!$E$14)/IF(A141="Lightning",100,30000))^2+((I141-'Hybrid Calculator'!$E$17)/IF(A141="Lightning",100,30000))^2</f>
        <v>0.28535819917878946</v>
      </c>
      <c r="K141" s="2">
        <f t="shared" si="8"/>
        <v>588</v>
      </c>
      <c r="L141" s="2">
        <f t="shared" si="9"/>
        <v>0</v>
      </c>
      <c r="M141" s="2">
        <f t="shared" si="10"/>
        <v>0</v>
      </c>
      <c r="N141" s="2">
        <v>1.389632114178263E-2</v>
      </c>
      <c r="O141" s="2">
        <f t="shared" si="11"/>
        <v>0</v>
      </c>
      <c r="P141" s="2">
        <v>0.34104768447866718</v>
      </c>
      <c r="Q141" s="2">
        <v>-3.0538591862516569</v>
      </c>
    </row>
    <row r="142" spans="1:17" ht="15">
      <c r="A142" s="2" t="s">
        <v>13</v>
      </c>
      <c r="B142" s="2">
        <v>1369.948504306376</v>
      </c>
      <c r="C142" s="2">
        <v>901.34332109009847</v>
      </c>
      <c r="D142" s="2">
        <v>562.29641754180193</v>
      </c>
      <c r="E142" s="2">
        <v>323.02247312152758</v>
      </c>
      <c r="F142" s="2">
        <v>11.615885144099593</v>
      </c>
      <c r="G142" s="2">
        <v>0.85495038383873179</v>
      </c>
      <c r="H142" s="2">
        <v>40</v>
      </c>
      <c r="I142" s="2">
        <v>25</v>
      </c>
      <c r="J142" s="2">
        <f>(IF(A142='Hybrid Calculator'!$B$6,0,1))^2+((B142-'Hybrid Calculator'!$B$7)/1500)^2+((C142-'Hybrid Calculator'!$B$8)/1300)^2+((D142-'Hybrid Calculator'!$B$9)/800)^2+((E142-'Hybrid Calculator'!$B$10)/350)^2+((F142-'Hybrid Calculator'!$B$11)/30)^2+(G142-'Hybrid Calculator'!$B$12)^2+((H142-'Hybrid Calculator'!$E$14)/IF(A142="Lightning",100,30000))^2+((I142-'Hybrid Calculator'!$E$17)/IF(A142="Lightning",100,30000))^2</f>
        <v>0.31723070959811517</v>
      </c>
      <c r="K142" s="2">
        <f t="shared" si="8"/>
        <v>620</v>
      </c>
      <c r="L142" s="2">
        <f t="shared" si="9"/>
        <v>0</v>
      </c>
      <c r="M142" s="2">
        <f t="shared" si="10"/>
        <v>0</v>
      </c>
      <c r="N142" s="2">
        <v>1.7145009629973451E-2</v>
      </c>
      <c r="O142" s="2">
        <f t="shared" si="11"/>
        <v>0</v>
      </c>
      <c r="P142" s="2">
        <v>0.82691318834008598</v>
      </c>
      <c r="Q142" s="2">
        <v>-0.30264319568232168</v>
      </c>
    </row>
    <row r="143" spans="1:17" ht="15">
      <c r="A143" s="2" t="s">
        <v>13</v>
      </c>
      <c r="B143" s="2">
        <v>1439.8900919244625</v>
      </c>
      <c r="C143" s="2">
        <v>992.90663453284651</v>
      </c>
      <c r="D143" s="2">
        <v>577.25536534562707</v>
      </c>
      <c r="E143" s="2">
        <v>287.14319939725101</v>
      </c>
      <c r="F143" s="2">
        <v>16.183445815462619</v>
      </c>
      <c r="G143" s="2">
        <v>0.83244379465002571</v>
      </c>
      <c r="H143" s="2">
        <v>40</v>
      </c>
      <c r="I143" s="2">
        <v>25</v>
      </c>
      <c r="J143" s="2">
        <f>(IF(A143='Hybrid Calculator'!$B$6,0,1))^2+((B143-'Hybrid Calculator'!$B$7)/1500)^2+((C143-'Hybrid Calculator'!$B$8)/1300)^2+((D143-'Hybrid Calculator'!$B$9)/800)^2+((E143-'Hybrid Calculator'!$B$10)/350)^2+((F143-'Hybrid Calculator'!$B$11)/30)^2+(G143-'Hybrid Calculator'!$B$12)^2+((H143-'Hybrid Calculator'!$E$14)/IF(A143="Lightning",100,30000))^2+((I143-'Hybrid Calculator'!$E$17)/IF(A143="Lightning",100,30000))^2</f>
        <v>0.19116269001188813</v>
      </c>
      <c r="K143" s="2">
        <f t="shared" si="8"/>
        <v>426</v>
      </c>
      <c r="L143" s="2">
        <f t="shared" si="9"/>
        <v>0</v>
      </c>
      <c r="M143" s="2">
        <f t="shared" si="10"/>
        <v>0</v>
      </c>
      <c r="N143" s="2">
        <v>1.3467172615675427E-3</v>
      </c>
      <c r="O143" s="2">
        <f t="shared" si="11"/>
        <v>0</v>
      </c>
      <c r="P143" s="2">
        <v>0.11232364238306758</v>
      </c>
      <c r="Q143" s="2">
        <v>5.5498125875606092</v>
      </c>
    </row>
    <row r="144" spans="1:17" ht="15">
      <c r="A144" s="2" t="s">
        <v>13</v>
      </c>
      <c r="B144" s="2">
        <v>1378.5808498738334</v>
      </c>
      <c r="C144" s="2">
        <v>706.36789972195402</v>
      </c>
      <c r="D144" s="2">
        <v>738.75622637569904</v>
      </c>
      <c r="E144" s="2">
        <v>175.0844997423701</v>
      </c>
      <c r="F144" s="2">
        <v>15.563658238388598</v>
      </c>
      <c r="G144" s="2">
        <v>0.81361783831147483</v>
      </c>
      <c r="H144" s="2">
        <v>45</v>
      </c>
      <c r="I144" s="2">
        <v>25</v>
      </c>
      <c r="J144" s="2">
        <f>(IF(A144='Hybrid Calculator'!$B$6,0,1))^2+((B144-'Hybrid Calculator'!$B$7)/1500)^2+((C144-'Hybrid Calculator'!$B$8)/1300)^2+((D144-'Hybrid Calculator'!$B$9)/800)^2+((E144-'Hybrid Calculator'!$B$10)/350)^2+((F144-'Hybrid Calculator'!$B$11)/30)^2+(G144-'Hybrid Calculator'!$B$12)^2+((H144-'Hybrid Calculator'!$E$14)/IF(A144="Lightning",100,30000))^2+((I144-'Hybrid Calculator'!$E$17)/IF(A144="Lightning",100,30000))^2</f>
        <v>0.11949189043526645</v>
      </c>
      <c r="K144" s="2">
        <f t="shared" si="8"/>
        <v>249</v>
      </c>
      <c r="L144" s="2">
        <f t="shared" si="9"/>
        <v>0</v>
      </c>
      <c r="M144" s="2">
        <f t="shared" si="10"/>
        <v>0</v>
      </c>
      <c r="N144" s="2">
        <v>-5.6991997740358791E-3</v>
      </c>
      <c r="O144" s="2">
        <f t="shared" si="11"/>
        <v>0</v>
      </c>
      <c r="P144" s="2">
        <v>0.37090005232695944</v>
      </c>
      <c r="Q144" s="2">
        <v>6.3560100984673227</v>
      </c>
    </row>
    <row r="145" spans="1:17" ht="15">
      <c r="A145" s="2" t="s">
        <v>13</v>
      </c>
      <c r="B145" s="2">
        <v>1405.5151949054562</v>
      </c>
      <c r="C145" s="2">
        <v>665.91086811386049</v>
      </c>
      <c r="D145" s="2">
        <v>467.65624983236194</v>
      </c>
      <c r="E145" s="2">
        <v>244.79962586890906</v>
      </c>
      <c r="F145" s="2">
        <v>21.75144663779065</v>
      </c>
      <c r="G145" s="2">
        <v>0.84698083963245163</v>
      </c>
      <c r="H145" s="2">
        <v>55</v>
      </c>
      <c r="I145" s="2">
        <v>25</v>
      </c>
      <c r="J145" s="2">
        <f>(IF(A145='Hybrid Calculator'!$B$6,0,1))^2+((B145-'Hybrid Calculator'!$B$7)/1500)^2+((C145-'Hybrid Calculator'!$B$8)/1300)^2+((D145-'Hybrid Calculator'!$B$9)/800)^2+((E145-'Hybrid Calculator'!$B$10)/350)^2+((F145-'Hybrid Calculator'!$B$11)/30)^2+(G145-'Hybrid Calculator'!$B$12)^2+((H145-'Hybrid Calculator'!$E$14)/IF(A145="Lightning",100,30000))^2+((I145-'Hybrid Calculator'!$E$17)/IF(A145="Lightning",100,30000))^2</f>
        <v>0.11019338562600747</v>
      </c>
      <c r="K145" s="2">
        <f t="shared" si="8"/>
        <v>228</v>
      </c>
      <c r="L145" s="2">
        <f t="shared" si="9"/>
        <v>0</v>
      </c>
      <c r="M145" s="2">
        <f t="shared" si="10"/>
        <v>0</v>
      </c>
      <c r="N145" s="2">
        <v>-7.0154099112833546E-3</v>
      </c>
      <c r="O145" s="2">
        <f t="shared" si="11"/>
        <v>0</v>
      </c>
      <c r="P145" s="2">
        <v>0.35551901391372098</v>
      </c>
      <c r="Q145" s="2">
        <v>4.0662502819309339</v>
      </c>
    </row>
    <row r="146" spans="1:17" ht="15">
      <c r="A146" s="2" t="s">
        <v>13</v>
      </c>
      <c r="B146" s="2">
        <v>1436.4093595650047</v>
      </c>
      <c r="C146" s="2">
        <v>923.44058667076752</v>
      </c>
      <c r="D146" s="2">
        <v>501.36759486049414</v>
      </c>
      <c r="E146" s="2">
        <v>105.163970713038</v>
      </c>
      <c r="F146" s="2">
        <v>18.328393924981356</v>
      </c>
      <c r="G146" s="2">
        <v>0.85074560225242757</v>
      </c>
      <c r="H146" s="2">
        <v>50</v>
      </c>
      <c r="I146" s="2">
        <v>25</v>
      </c>
      <c r="J146" s="2">
        <f>(IF(A146='Hybrid Calculator'!$B$6,0,1))^2+((B146-'Hybrid Calculator'!$B$7)/1500)^2+((C146-'Hybrid Calculator'!$B$8)/1300)^2+((D146-'Hybrid Calculator'!$B$9)/800)^2+((E146-'Hybrid Calculator'!$B$10)/350)^2+((F146-'Hybrid Calculator'!$B$11)/30)^2+(G146-'Hybrid Calculator'!$B$12)^2+((H146-'Hybrid Calculator'!$E$14)/IF(A146="Lightning",100,30000))^2+((I146-'Hybrid Calculator'!$E$17)/IF(A146="Lightning",100,30000))^2</f>
        <v>2.0640585288919738E-2</v>
      </c>
      <c r="K146" s="2">
        <f t="shared" si="8"/>
        <v>7</v>
      </c>
      <c r="L146" s="2">
        <f t="shared" si="9"/>
        <v>1</v>
      </c>
      <c r="M146" s="2">
        <f t="shared" si="10"/>
        <v>48.445891437262482</v>
      </c>
      <c r="N146" s="2">
        <v>5.5219545076123921E-4</v>
      </c>
      <c r="O146" s="2">
        <f t="shared" si="11"/>
        <v>48.445891437262482</v>
      </c>
      <c r="P146" s="2">
        <v>0.50637747041062653</v>
      </c>
      <c r="Q146" s="2">
        <v>11.090663177801162</v>
      </c>
    </row>
    <row r="147" spans="1:17" ht="15">
      <c r="A147" s="2" t="s">
        <v>13</v>
      </c>
      <c r="B147" s="2">
        <v>1469.237993855495</v>
      </c>
      <c r="C147" s="2">
        <v>847.57422625552863</v>
      </c>
      <c r="D147" s="2">
        <v>437.63210223987699</v>
      </c>
      <c r="E147" s="2">
        <v>279.63001273572445</v>
      </c>
      <c r="F147" s="2">
        <v>26.125001395586878</v>
      </c>
      <c r="G147" s="2">
        <v>0.8572683602524922</v>
      </c>
      <c r="H147" s="2">
        <v>45</v>
      </c>
      <c r="I147" s="2">
        <v>25</v>
      </c>
      <c r="J147" s="2">
        <f>(IF(A147='Hybrid Calculator'!$B$6,0,1))^2+((B147-'Hybrid Calculator'!$B$7)/1500)^2+((C147-'Hybrid Calculator'!$B$8)/1300)^2+((D147-'Hybrid Calculator'!$B$9)/800)^2+((E147-'Hybrid Calculator'!$B$10)/350)^2+((F147-'Hybrid Calculator'!$B$11)/30)^2+(G147-'Hybrid Calculator'!$B$12)^2+((H147-'Hybrid Calculator'!$E$14)/IF(A147="Lightning",100,30000))^2+((I147-'Hybrid Calculator'!$E$17)/IF(A147="Lightning",100,30000))^2</f>
        <v>0.21261567220030661</v>
      </c>
      <c r="K147" s="2">
        <f t="shared" si="8"/>
        <v>474</v>
      </c>
      <c r="L147" s="2">
        <f t="shared" si="9"/>
        <v>0</v>
      </c>
      <c r="M147" s="2">
        <f t="shared" si="10"/>
        <v>0</v>
      </c>
      <c r="N147" s="2">
        <v>2.1814918040585773E-4</v>
      </c>
      <c r="O147" s="2">
        <f t="shared" si="11"/>
        <v>0</v>
      </c>
      <c r="P147" s="2">
        <v>-0.96664387235343696</v>
      </c>
      <c r="Q147" s="2">
        <v>-2.5173319885502679</v>
      </c>
    </row>
    <row r="148" spans="1:17" ht="15">
      <c r="A148" s="2" t="s">
        <v>13</v>
      </c>
      <c r="B148" s="2">
        <v>1396.8644401291385</v>
      </c>
      <c r="C148" s="2">
        <v>676.33665102766827</v>
      </c>
      <c r="D148" s="2">
        <v>637.68985345959663</v>
      </c>
      <c r="E148" s="2">
        <v>234.84814014052972</v>
      </c>
      <c r="F148" s="2">
        <v>22.034627943299711</v>
      </c>
      <c r="G148" s="2">
        <v>0.81631623385241259</v>
      </c>
      <c r="H148" s="2">
        <v>45</v>
      </c>
      <c r="I148" s="2">
        <v>25</v>
      </c>
      <c r="J148" s="2">
        <f>(IF(A148='Hybrid Calculator'!$B$6,0,1))^2+((B148-'Hybrid Calculator'!$B$7)/1500)^2+((C148-'Hybrid Calculator'!$B$8)/1300)^2+((D148-'Hybrid Calculator'!$B$9)/800)^2+((E148-'Hybrid Calculator'!$B$10)/350)^2+((F148-'Hybrid Calculator'!$B$11)/30)^2+(G148-'Hybrid Calculator'!$B$12)^2+((H148-'Hybrid Calculator'!$E$14)/IF(A148="Lightning",100,30000))^2+((I148-'Hybrid Calculator'!$E$17)/IF(A148="Lightning",100,30000))^2</f>
        <v>0.12298439170410155</v>
      </c>
      <c r="K148" s="2">
        <f t="shared" si="8"/>
        <v>261</v>
      </c>
      <c r="L148" s="2">
        <f t="shared" si="9"/>
        <v>0</v>
      </c>
      <c r="M148" s="2">
        <f t="shared" si="10"/>
        <v>0</v>
      </c>
      <c r="N148" s="2">
        <v>-1.482205699695327E-2</v>
      </c>
      <c r="O148" s="2">
        <f t="shared" si="11"/>
        <v>0</v>
      </c>
      <c r="P148" s="2">
        <v>-0.17601983270094479</v>
      </c>
      <c r="Q148" s="2">
        <v>-8.1291241552653446</v>
      </c>
    </row>
    <row r="149" spans="1:17" ht="15">
      <c r="A149" s="2" t="s">
        <v>13</v>
      </c>
      <c r="B149" s="2">
        <v>1416.7662471416406</v>
      </c>
      <c r="C149" s="2">
        <v>699.37908630818129</v>
      </c>
      <c r="D149" s="2">
        <v>735.89618941769004</v>
      </c>
      <c r="E149" s="2">
        <v>298.19854353088886</v>
      </c>
      <c r="F149" s="2">
        <v>29.092521646525711</v>
      </c>
      <c r="G149" s="2">
        <v>0.80523193194530907</v>
      </c>
      <c r="H149" s="2">
        <v>40</v>
      </c>
      <c r="I149" s="2">
        <v>25</v>
      </c>
      <c r="J149" s="2">
        <f>(IF(A149='Hybrid Calculator'!$B$6,0,1))^2+((B149-'Hybrid Calculator'!$B$7)/1500)^2+((C149-'Hybrid Calculator'!$B$8)/1300)^2+((D149-'Hybrid Calculator'!$B$9)/800)^2+((E149-'Hybrid Calculator'!$B$10)/350)^2+((F149-'Hybrid Calculator'!$B$11)/30)^2+(G149-'Hybrid Calculator'!$B$12)^2+((H149-'Hybrid Calculator'!$E$14)/IF(A149="Lightning",100,30000))^2+((I149-'Hybrid Calculator'!$E$17)/IF(A149="Lightning",100,30000))^2</f>
        <v>0.41457732317115553</v>
      </c>
      <c r="K149" s="2">
        <f t="shared" si="8"/>
        <v>691</v>
      </c>
      <c r="L149" s="2">
        <f t="shared" si="9"/>
        <v>0</v>
      </c>
      <c r="M149" s="2">
        <f t="shared" si="10"/>
        <v>0</v>
      </c>
      <c r="N149" s="2">
        <v>-8.6081073501351746E-3</v>
      </c>
      <c r="O149" s="2">
        <f t="shared" si="11"/>
        <v>0</v>
      </c>
      <c r="P149" s="2">
        <v>-0.8786958814690351</v>
      </c>
      <c r="Q149" s="2">
        <v>-12.505803599056435</v>
      </c>
    </row>
    <row r="150" spans="1:17" ht="15">
      <c r="A150" s="2" t="s">
        <v>13</v>
      </c>
      <c r="B150" s="2">
        <v>1369.1361070610583</v>
      </c>
      <c r="C150" s="2">
        <v>877.40268384804949</v>
      </c>
      <c r="D150" s="2">
        <v>415.09314272552729</v>
      </c>
      <c r="E150" s="2">
        <v>116.13899840274826</v>
      </c>
      <c r="F150" s="2">
        <v>14.629332842305303</v>
      </c>
      <c r="G150" s="2">
        <v>0.7945908342977055</v>
      </c>
      <c r="H150" s="2">
        <v>55</v>
      </c>
      <c r="I150" s="2">
        <v>25</v>
      </c>
      <c r="J150" s="2">
        <f>(IF(A150='Hybrid Calculator'!$B$6,0,1))^2+((B150-'Hybrid Calculator'!$B$7)/1500)^2+((C150-'Hybrid Calculator'!$B$8)/1300)^2+((D150-'Hybrid Calculator'!$B$9)/800)^2+((E150-'Hybrid Calculator'!$B$10)/350)^2+((F150-'Hybrid Calculator'!$B$11)/30)^2+(G150-'Hybrid Calculator'!$B$12)^2+((H150-'Hybrid Calculator'!$E$14)/IF(A150="Lightning",100,30000))^2+((I150-'Hybrid Calculator'!$E$17)/IF(A150="Lightning",100,30000))^2</f>
        <v>4.2247767508522972E-2</v>
      </c>
      <c r="K150" s="2">
        <f t="shared" si="8"/>
        <v>37</v>
      </c>
      <c r="L150" s="2">
        <f t="shared" si="9"/>
        <v>0</v>
      </c>
      <c r="M150" s="2">
        <f t="shared" si="10"/>
        <v>0</v>
      </c>
      <c r="N150" s="2">
        <v>-4.4981274810949046E-3</v>
      </c>
      <c r="O150" s="2">
        <f t="shared" si="11"/>
        <v>0</v>
      </c>
      <c r="P150" s="2">
        <v>-0.13989395051872577</v>
      </c>
      <c r="Q150" s="2">
        <v>7.2866308267698514</v>
      </c>
    </row>
    <row r="151" spans="1:17" ht="15">
      <c r="A151" s="2" t="s">
        <v>13</v>
      </c>
      <c r="B151" s="2">
        <v>1475.5599919357337</v>
      </c>
      <c r="C151" s="2">
        <v>950.94376665074378</v>
      </c>
      <c r="D151" s="2">
        <v>643.30985331907868</v>
      </c>
      <c r="E151" s="2">
        <v>128.76445536501706</v>
      </c>
      <c r="F151" s="2">
        <v>26.839343443978578</v>
      </c>
      <c r="G151" s="2">
        <v>0.80698958496097484</v>
      </c>
      <c r="H151" s="2">
        <v>35</v>
      </c>
      <c r="I151" s="2">
        <v>25</v>
      </c>
      <c r="J151" s="2">
        <f>(IF(A151='Hybrid Calculator'!$B$6,0,1))^2+((B151-'Hybrid Calculator'!$B$7)/1500)^2+((C151-'Hybrid Calculator'!$B$8)/1300)^2+((D151-'Hybrid Calculator'!$B$9)/800)^2+((E151-'Hybrid Calculator'!$B$10)/350)^2+((F151-'Hybrid Calculator'!$B$11)/30)^2+(G151-'Hybrid Calculator'!$B$12)^2+((H151-'Hybrid Calculator'!$E$14)/IF(A151="Lightning",100,30000))^2+((I151-'Hybrid Calculator'!$E$17)/IF(A151="Lightning",100,30000))^2</f>
        <v>0.14287800667038816</v>
      </c>
      <c r="K151" s="2">
        <f t="shared" si="8"/>
        <v>309</v>
      </c>
      <c r="L151" s="2">
        <f t="shared" si="9"/>
        <v>0</v>
      </c>
      <c r="M151" s="2">
        <f t="shared" si="10"/>
        <v>0</v>
      </c>
      <c r="N151" s="2">
        <v>-6.1152330670497523E-3</v>
      </c>
      <c r="O151" s="2">
        <f t="shared" si="11"/>
        <v>0</v>
      </c>
      <c r="P151" s="2">
        <v>-0.61782157611993682</v>
      </c>
      <c r="Q151" s="2">
        <v>-10.105897448600899</v>
      </c>
    </row>
    <row r="152" spans="1:17" ht="15">
      <c r="A152" s="2" t="s">
        <v>13</v>
      </c>
      <c r="B152" s="2">
        <v>1453.591445996426</v>
      </c>
      <c r="C152" s="2">
        <v>760.58205362642184</v>
      </c>
      <c r="D152" s="2">
        <v>747.6964320987463</v>
      </c>
      <c r="E152" s="2">
        <v>172.54147176397964</v>
      </c>
      <c r="F152" s="2">
        <v>21.402833965606987</v>
      </c>
      <c r="G152" s="2">
        <v>0.83900030982447793</v>
      </c>
      <c r="H152" s="2">
        <v>45</v>
      </c>
      <c r="I152" s="2">
        <v>25</v>
      </c>
      <c r="J152" s="2">
        <f>(IF(A152='Hybrid Calculator'!$B$6,0,1))^2+((B152-'Hybrid Calculator'!$B$7)/1500)^2+((C152-'Hybrid Calculator'!$B$8)/1300)^2+((D152-'Hybrid Calculator'!$B$9)/800)^2+((E152-'Hybrid Calculator'!$B$10)/350)^2+((F152-'Hybrid Calculator'!$B$11)/30)^2+(G152-'Hybrid Calculator'!$B$12)^2+((H152-'Hybrid Calculator'!$E$14)/IF(A152="Lightning",100,30000))^2+((I152-'Hybrid Calculator'!$E$17)/IF(A152="Lightning",100,30000))^2</f>
        <v>0.11733093531344176</v>
      </c>
      <c r="K152" s="2">
        <f t="shared" si="8"/>
        <v>244</v>
      </c>
      <c r="L152" s="2">
        <f t="shared" si="9"/>
        <v>0</v>
      </c>
      <c r="M152" s="2">
        <f t="shared" si="10"/>
        <v>0</v>
      </c>
      <c r="N152" s="2">
        <v>-1.0323816232517879E-2</v>
      </c>
      <c r="O152" s="2">
        <f t="shared" si="11"/>
        <v>0</v>
      </c>
      <c r="P152" s="2">
        <v>-1.3947540657437898</v>
      </c>
      <c r="Q152" s="2">
        <v>1.9088643812679038</v>
      </c>
    </row>
    <row r="153" spans="1:17" ht="15">
      <c r="A153" s="2" t="s">
        <v>13</v>
      </c>
      <c r="B153" s="2">
        <v>1356.2369359075092</v>
      </c>
      <c r="C153" s="2">
        <v>908.32378477789462</v>
      </c>
      <c r="D153" s="2">
        <v>412.3394506983459</v>
      </c>
      <c r="E153" s="2">
        <v>122.87553334143013</v>
      </c>
      <c r="F153" s="2">
        <v>26.141388073097914</v>
      </c>
      <c r="G153" s="2">
        <v>0.84465049134567383</v>
      </c>
      <c r="H153" s="2">
        <v>50</v>
      </c>
      <c r="I153" s="2">
        <v>25</v>
      </c>
      <c r="J153" s="2">
        <f>(IF(A153='Hybrid Calculator'!$B$6,0,1))^2+((B153-'Hybrid Calculator'!$B$7)/1500)^2+((C153-'Hybrid Calculator'!$B$8)/1300)^2+((D153-'Hybrid Calculator'!$B$9)/800)^2+((E153-'Hybrid Calculator'!$B$10)/350)^2+((F153-'Hybrid Calculator'!$B$11)/30)^2+(G153-'Hybrid Calculator'!$B$12)^2+((H153-'Hybrid Calculator'!$E$14)/IF(A153="Lightning",100,30000))^2+((I153-'Hybrid Calculator'!$E$17)/IF(A153="Lightning",100,30000))^2</f>
        <v>8.7613483020151428E-2</v>
      </c>
      <c r="K153" s="2">
        <f t="shared" si="8"/>
        <v>164</v>
      </c>
      <c r="L153" s="2">
        <f t="shared" si="9"/>
        <v>0</v>
      </c>
      <c r="M153" s="2">
        <f t="shared" si="10"/>
        <v>0</v>
      </c>
      <c r="N153" s="2">
        <v>-1.2928199473891455E-2</v>
      </c>
      <c r="O153" s="2">
        <f t="shared" si="11"/>
        <v>0</v>
      </c>
      <c r="P153" s="2">
        <v>0.53052634660978271</v>
      </c>
      <c r="Q153" s="2">
        <v>3.4686914627864098</v>
      </c>
    </row>
    <row r="154" spans="1:17" ht="15">
      <c r="A154" s="2" t="s">
        <v>13</v>
      </c>
      <c r="B154" s="2">
        <v>1477.5880396831781</v>
      </c>
      <c r="C154" s="2">
        <v>891.04329756228253</v>
      </c>
      <c r="D154" s="2">
        <v>410.50402503460646</v>
      </c>
      <c r="E154" s="2">
        <v>177.93619840638712</v>
      </c>
      <c r="F154" s="2">
        <v>13.250905856490135</v>
      </c>
      <c r="G154" s="2">
        <v>0.85765903977910063</v>
      </c>
      <c r="H154" s="2">
        <v>50</v>
      </c>
      <c r="I154" s="2">
        <v>25</v>
      </c>
      <c r="J154" s="2">
        <f>(IF(A154='Hybrid Calculator'!$B$6,0,1))^2+((B154-'Hybrid Calculator'!$B$7)/1500)^2+((C154-'Hybrid Calculator'!$B$8)/1300)^2+((D154-'Hybrid Calculator'!$B$9)/800)^2+((E154-'Hybrid Calculator'!$B$10)/350)^2+((F154-'Hybrid Calculator'!$B$11)/30)^2+(G154-'Hybrid Calculator'!$B$12)^2+((H154-'Hybrid Calculator'!$E$14)/IF(A154="Lightning",100,30000))^2+((I154-'Hybrid Calculator'!$E$17)/IF(A154="Lightning",100,30000))^2</f>
        <v>5.3144281005898457E-2</v>
      </c>
      <c r="K154" s="2">
        <f t="shared" si="8"/>
        <v>61</v>
      </c>
      <c r="L154" s="2">
        <f t="shared" si="9"/>
        <v>0</v>
      </c>
      <c r="M154" s="2">
        <f t="shared" si="10"/>
        <v>0</v>
      </c>
      <c r="N154" s="2">
        <v>7.0067777479896343E-3</v>
      </c>
      <c r="O154" s="2">
        <f t="shared" si="11"/>
        <v>0</v>
      </c>
      <c r="P154" s="2">
        <v>0.34663455418085221</v>
      </c>
      <c r="Q154" s="2">
        <v>18.104032649334385</v>
      </c>
    </row>
    <row r="155" spans="1:17" ht="15">
      <c r="A155" s="2" t="s">
        <v>13</v>
      </c>
      <c r="B155" s="2">
        <v>1365.8002060954459</v>
      </c>
      <c r="C155" s="2">
        <v>918.33194473292679</v>
      </c>
      <c r="D155" s="2">
        <v>401.53892757371068</v>
      </c>
      <c r="E155" s="2">
        <v>284.90426244214177</v>
      </c>
      <c r="F155" s="2">
        <v>14.728347933385521</v>
      </c>
      <c r="G155" s="2">
        <v>0.82989145343657589</v>
      </c>
      <c r="H155" s="2">
        <v>45</v>
      </c>
      <c r="I155" s="2">
        <v>25</v>
      </c>
      <c r="J155" s="2">
        <f>(IF(A155='Hybrid Calculator'!$B$6,0,1))^2+((B155-'Hybrid Calculator'!$B$7)/1500)^2+((C155-'Hybrid Calculator'!$B$8)/1300)^2+((D155-'Hybrid Calculator'!$B$9)/800)^2+((E155-'Hybrid Calculator'!$B$10)/350)^2+((F155-'Hybrid Calculator'!$B$11)/30)^2+(G155-'Hybrid Calculator'!$B$12)^2+((H155-'Hybrid Calculator'!$E$14)/IF(A155="Lightning",100,30000))^2+((I155-'Hybrid Calculator'!$E$17)/IF(A155="Lightning",100,30000))^2</f>
        <v>0.18643663239281841</v>
      </c>
      <c r="K155" s="2">
        <f t="shared" si="8"/>
        <v>418</v>
      </c>
      <c r="L155" s="2">
        <f t="shared" si="9"/>
        <v>0</v>
      </c>
      <c r="M155" s="2">
        <f t="shared" si="10"/>
        <v>0</v>
      </c>
      <c r="N155" s="2">
        <v>-2.1238321467353938E-3</v>
      </c>
      <c r="O155" s="2">
        <f t="shared" si="11"/>
        <v>0</v>
      </c>
      <c r="P155" s="2">
        <v>-0.83473518538328761</v>
      </c>
      <c r="Q155" s="2">
        <v>8.093112250876402</v>
      </c>
    </row>
    <row r="156" spans="1:17" ht="15">
      <c r="A156" s="2" t="s">
        <v>13</v>
      </c>
      <c r="B156" s="2">
        <v>1351.5721596311778</v>
      </c>
      <c r="C156" s="2">
        <v>749.15455587906763</v>
      </c>
      <c r="D156" s="2">
        <v>498.04233070462942</v>
      </c>
      <c r="E156" s="2">
        <v>239.33957026572898</v>
      </c>
      <c r="F156" s="2">
        <v>8.6347929053008556</v>
      </c>
      <c r="G156" s="2">
        <v>0.84680879052961244</v>
      </c>
      <c r="H156" s="2">
        <v>60</v>
      </c>
      <c r="I156" s="2">
        <v>25</v>
      </c>
      <c r="J156" s="2">
        <f>(IF(A156='Hybrid Calculator'!$B$6,0,1))^2+((B156-'Hybrid Calculator'!$B$7)/1500)^2+((C156-'Hybrid Calculator'!$B$8)/1300)^2+((D156-'Hybrid Calculator'!$B$9)/800)^2+((E156-'Hybrid Calculator'!$B$10)/350)^2+((F156-'Hybrid Calculator'!$B$11)/30)^2+(G156-'Hybrid Calculator'!$B$12)^2+((H156-'Hybrid Calculator'!$E$14)/IF(A156="Lightning",100,30000))^2+((I156-'Hybrid Calculator'!$E$17)/IF(A156="Lightning",100,30000))^2</f>
        <v>0.19243010593402479</v>
      </c>
      <c r="K156" s="2">
        <f t="shared" si="8"/>
        <v>432</v>
      </c>
      <c r="L156" s="2">
        <f t="shared" si="9"/>
        <v>0</v>
      </c>
      <c r="M156" s="2">
        <f t="shared" si="10"/>
        <v>0</v>
      </c>
      <c r="N156" s="2">
        <v>7.6324299759900072E-4</v>
      </c>
      <c r="O156" s="2">
        <f t="shared" si="11"/>
        <v>0</v>
      </c>
      <c r="P156" s="2">
        <v>-0.95913550575621542</v>
      </c>
      <c r="Q156" s="2">
        <v>15.307227095558801</v>
      </c>
    </row>
    <row r="157" spans="1:17" ht="15">
      <c r="A157" s="2" t="s">
        <v>13</v>
      </c>
      <c r="B157" s="2">
        <v>1418.1913323816843</v>
      </c>
      <c r="C157" s="2">
        <v>656.08554917853326</v>
      </c>
      <c r="D157" s="2">
        <v>566.73266487196088</v>
      </c>
      <c r="E157" s="2">
        <v>225.88949363678694</v>
      </c>
      <c r="F157" s="2">
        <v>9.6203234069980681</v>
      </c>
      <c r="G157" s="2">
        <v>0.80913077365141362</v>
      </c>
      <c r="H157" s="2">
        <v>55</v>
      </c>
      <c r="I157" s="2">
        <v>25</v>
      </c>
      <c r="J157" s="2">
        <f>(IF(A157='Hybrid Calculator'!$B$6,0,1))^2+((B157-'Hybrid Calculator'!$B$7)/1500)^2+((C157-'Hybrid Calculator'!$B$8)/1300)^2+((D157-'Hybrid Calculator'!$B$9)/800)^2+((E157-'Hybrid Calculator'!$B$10)/350)^2+((F157-'Hybrid Calculator'!$B$11)/30)^2+(G157-'Hybrid Calculator'!$B$12)^2+((H157-'Hybrid Calculator'!$E$14)/IF(A157="Lightning",100,30000))^2+((I157-'Hybrid Calculator'!$E$17)/IF(A157="Lightning",100,30000))^2</f>
        <v>0.16647075064617872</v>
      </c>
      <c r="K157" s="2">
        <f t="shared" si="8"/>
        <v>373</v>
      </c>
      <c r="L157" s="2">
        <f t="shared" si="9"/>
        <v>0</v>
      </c>
      <c r="M157" s="2">
        <f t="shared" si="10"/>
        <v>0</v>
      </c>
      <c r="N157" s="2">
        <v>3.0719342565239671E-3</v>
      </c>
      <c r="O157" s="2">
        <f t="shared" si="11"/>
        <v>0</v>
      </c>
      <c r="P157" s="2">
        <v>0.38173827773685787</v>
      </c>
      <c r="Q157" s="2">
        <v>10.810395387172548</v>
      </c>
    </row>
    <row r="158" spans="1:17" ht="15">
      <c r="A158" s="2" t="s">
        <v>13</v>
      </c>
      <c r="B158" s="2">
        <v>1488.2993389153853</v>
      </c>
      <c r="C158" s="2">
        <v>1217.579419829417</v>
      </c>
      <c r="D158" s="2">
        <v>495.99122628569603</v>
      </c>
      <c r="E158" s="2">
        <v>167.72524207597598</v>
      </c>
      <c r="F158" s="2">
        <v>22.747348628006876</v>
      </c>
      <c r="G158" s="2">
        <v>0.85894531810423369</v>
      </c>
      <c r="H158" s="2">
        <v>40</v>
      </c>
      <c r="I158" s="2">
        <v>25</v>
      </c>
      <c r="J158" s="2">
        <f>(IF(A158='Hybrid Calculator'!$B$6,0,1))^2+((B158-'Hybrid Calculator'!$B$7)/1500)^2+((C158-'Hybrid Calculator'!$B$8)/1300)^2+((D158-'Hybrid Calculator'!$B$9)/800)^2+((E158-'Hybrid Calculator'!$B$10)/350)^2+((F158-'Hybrid Calculator'!$B$11)/30)^2+(G158-'Hybrid Calculator'!$B$12)^2+((H158-'Hybrid Calculator'!$E$14)/IF(A158="Lightning",100,30000))^2+((I158-'Hybrid Calculator'!$E$17)/IF(A158="Lightning",100,30000))^2</f>
        <v>0.11588131608817578</v>
      </c>
      <c r="K158" s="2">
        <f t="shared" si="8"/>
        <v>243</v>
      </c>
      <c r="L158" s="2">
        <f t="shared" si="9"/>
        <v>0</v>
      </c>
      <c r="M158" s="2">
        <f t="shared" si="10"/>
        <v>0</v>
      </c>
      <c r="N158" s="2">
        <v>-8.4967133231728109E-3</v>
      </c>
      <c r="O158" s="2">
        <f t="shared" si="11"/>
        <v>0</v>
      </c>
      <c r="P158" s="2">
        <v>1.0847129753740035</v>
      </c>
      <c r="Q158" s="2">
        <v>-19.251467741537908</v>
      </c>
    </row>
    <row r="159" spans="1:17" ht="15">
      <c r="A159" s="2" t="s">
        <v>13</v>
      </c>
      <c r="B159" s="2">
        <v>1488.8676917064004</v>
      </c>
      <c r="C159" s="2">
        <v>1163.1070986390114</v>
      </c>
      <c r="D159" s="2">
        <v>440.34232785925269</v>
      </c>
      <c r="E159" s="2">
        <v>303.56694482732564</v>
      </c>
      <c r="F159" s="2">
        <v>14.851301373448223</v>
      </c>
      <c r="G159" s="2">
        <v>0.80785679097287355</v>
      </c>
      <c r="H159" s="2">
        <v>35</v>
      </c>
      <c r="I159" s="2">
        <v>25</v>
      </c>
      <c r="J159" s="2">
        <f>(IF(A159='Hybrid Calculator'!$B$6,0,1))^2+((B159-'Hybrid Calculator'!$B$7)/1500)^2+((C159-'Hybrid Calculator'!$B$8)/1300)^2+((D159-'Hybrid Calculator'!$B$9)/800)^2+((E159-'Hybrid Calculator'!$B$10)/350)^2+((F159-'Hybrid Calculator'!$B$11)/30)^2+(G159-'Hybrid Calculator'!$B$12)^2+((H159-'Hybrid Calculator'!$E$14)/IF(A159="Lightning",100,30000))^2+((I159-'Hybrid Calculator'!$E$17)/IF(A159="Lightning",100,30000))^2</f>
        <v>0.29533581019385491</v>
      </c>
      <c r="K159" s="2">
        <f t="shared" si="8"/>
        <v>595</v>
      </c>
      <c r="L159" s="2">
        <f t="shared" si="9"/>
        <v>0</v>
      </c>
      <c r="M159" s="2">
        <f t="shared" si="10"/>
        <v>0</v>
      </c>
      <c r="N159" s="2">
        <v>1.3461640731422531E-2</v>
      </c>
      <c r="O159" s="2">
        <f t="shared" si="11"/>
        <v>0</v>
      </c>
      <c r="P159" s="2">
        <v>1.1798624446261528</v>
      </c>
      <c r="Q159" s="2">
        <v>0.99534802282028068</v>
      </c>
    </row>
    <row r="160" spans="1:17" ht="15">
      <c r="A160" s="2" t="s">
        <v>13</v>
      </c>
      <c r="B160" s="2">
        <v>1498.247320856899</v>
      </c>
      <c r="C160" s="2">
        <v>631.02461168309674</v>
      </c>
      <c r="D160" s="2">
        <v>470.12676242738962</v>
      </c>
      <c r="E160" s="2">
        <v>138.53539990494028</v>
      </c>
      <c r="F160" s="2">
        <v>25.20785122551024</v>
      </c>
      <c r="G160" s="2">
        <v>0.80194657492684207</v>
      </c>
      <c r="H160" s="2">
        <v>55</v>
      </c>
      <c r="I160" s="2">
        <v>25</v>
      </c>
      <c r="J160" s="2">
        <f>(IF(A160='Hybrid Calculator'!$B$6,0,1))^2+((B160-'Hybrid Calculator'!$B$7)/1500)^2+((C160-'Hybrid Calculator'!$B$8)/1300)^2+((D160-'Hybrid Calculator'!$B$9)/800)^2+((E160-'Hybrid Calculator'!$B$10)/350)^2+((F160-'Hybrid Calculator'!$B$11)/30)^2+(G160-'Hybrid Calculator'!$B$12)^2+((H160-'Hybrid Calculator'!$E$14)/IF(A160="Lightning",100,30000))^2+((I160-'Hybrid Calculator'!$E$17)/IF(A160="Lightning",100,30000))^2</f>
        <v>8.6045446789000501E-2</v>
      </c>
      <c r="K160" s="2">
        <f t="shared" si="8"/>
        <v>155</v>
      </c>
      <c r="L160" s="2">
        <f t="shared" si="9"/>
        <v>0</v>
      </c>
      <c r="M160" s="2">
        <f t="shared" si="10"/>
        <v>0</v>
      </c>
      <c r="N160" s="2">
        <v>-1.5603824133074706E-3</v>
      </c>
      <c r="O160" s="2">
        <f t="shared" si="11"/>
        <v>0</v>
      </c>
      <c r="P160" s="2">
        <v>-0.23198325208954174</v>
      </c>
      <c r="Q160" s="2">
        <v>-4.3845562673682252</v>
      </c>
    </row>
    <row r="161" spans="1:17" ht="15">
      <c r="A161" s="2" t="s">
        <v>13</v>
      </c>
      <c r="B161" s="2">
        <v>1419.840645196382</v>
      </c>
      <c r="C161" s="2">
        <v>753.20804894436151</v>
      </c>
      <c r="D161" s="2">
        <v>584.53125888481736</v>
      </c>
      <c r="E161" s="2">
        <v>103.82652484811842</v>
      </c>
      <c r="F161" s="2">
        <v>21.665503062773496</v>
      </c>
      <c r="G161" s="2">
        <v>0.81125154963228852</v>
      </c>
      <c r="H161" s="2">
        <v>50</v>
      </c>
      <c r="I161" s="2">
        <v>25</v>
      </c>
      <c r="J161" s="2">
        <f>(IF(A161='Hybrid Calculator'!$B$6,0,1))^2+((B161-'Hybrid Calculator'!$B$7)/1500)^2+((C161-'Hybrid Calculator'!$B$8)/1300)^2+((D161-'Hybrid Calculator'!$B$9)/800)^2+((E161-'Hybrid Calculator'!$B$10)/350)^2+((F161-'Hybrid Calculator'!$B$11)/30)^2+(G161-'Hybrid Calculator'!$B$12)^2+((H161-'Hybrid Calculator'!$E$14)/IF(A161="Lightning",100,30000))^2+((I161-'Hybrid Calculator'!$E$17)/IF(A161="Lightning",100,30000))^2</f>
        <v>4.5334648086312573E-2</v>
      </c>
      <c r="K161" s="2">
        <f t="shared" si="8"/>
        <v>42</v>
      </c>
      <c r="L161" s="2">
        <f t="shared" si="9"/>
        <v>0</v>
      </c>
      <c r="M161" s="2">
        <f t="shared" si="10"/>
        <v>0</v>
      </c>
      <c r="N161" s="2">
        <v>-1.1299396347727919E-2</v>
      </c>
      <c r="O161" s="2">
        <f t="shared" si="11"/>
        <v>0</v>
      </c>
      <c r="P161" s="2">
        <v>-0.85395935462953787</v>
      </c>
      <c r="Q161" s="2">
        <v>-5.7162846778667245</v>
      </c>
    </row>
    <row r="162" spans="1:17" ht="15">
      <c r="A162" s="2" t="s">
        <v>13</v>
      </c>
      <c r="B162" s="2">
        <v>1467.5699151819572</v>
      </c>
      <c r="C162" s="2">
        <v>1243.4065872454084</v>
      </c>
      <c r="D162" s="2">
        <v>659.58698205649853</v>
      </c>
      <c r="E162" s="2">
        <v>183.58423896832392</v>
      </c>
      <c r="F162" s="2">
        <v>18.065945346839726</v>
      </c>
      <c r="G162" s="2">
        <v>0.85641073026461534</v>
      </c>
      <c r="H162" s="2">
        <v>35</v>
      </c>
      <c r="I162" s="2">
        <v>25</v>
      </c>
      <c r="J162" s="2">
        <f>(IF(A162='Hybrid Calculator'!$B$6,0,1))^2+((B162-'Hybrid Calculator'!$B$7)/1500)^2+((C162-'Hybrid Calculator'!$B$8)/1300)^2+((D162-'Hybrid Calculator'!$B$9)/800)^2+((E162-'Hybrid Calculator'!$B$10)/350)^2+((F162-'Hybrid Calculator'!$B$11)/30)^2+(G162-'Hybrid Calculator'!$B$12)^2+((H162-'Hybrid Calculator'!$E$14)/IF(A162="Lightning",100,30000))^2+((I162-'Hybrid Calculator'!$E$17)/IF(A162="Lightning",100,30000))^2</f>
        <v>0.16542075097183426</v>
      </c>
      <c r="K162" s="2">
        <f t="shared" si="8"/>
        <v>367</v>
      </c>
      <c r="L162" s="2">
        <f t="shared" si="9"/>
        <v>0</v>
      </c>
      <c r="M162" s="2">
        <f t="shared" si="10"/>
        <v>0</v>
      </c>
      <c r="N162" s="2">
        <v>5.2891498701854722E-3</v>
      </c>
      <c r="O162" s="2">
        <f t="shared" si="11"/>
        <v>0</v>
      </c>
      <c r="P162" s="2">
        <v>1.5420879516908244</v>
      </c>
      <c r="Q162" s="2">
        <v>-13.42386441030817</v>
      </c>
    </row>
    <row r="163" spans="1:17" ht="15">
      <c r="A163" s="2" t="s">
        <v>13</v>
      </c>
      <c r="B163" s="2">
        <v>1363.7344885035418</v>
      </c>
      <c r="C163" s="2">
        <v>967.84173329360783</v>
      </c>
      <c r="D163" s="2">
        <v>420.49521533772349</v>
      </c>
      <c r="E163" s="2">
        <v>294.21075833495706</v>
      </c>
      <c r="F163" s="2">
        <v>27.495034910272807</v>
      </c>
      <c r="G163" s="2">
        <v>0.79056482760235669</v>
      </c>
      <c r="H163" s="2">
        <v>40</v>
      </c>
      <c r="I163" s="2">
        <v>25</v>
      </c>
      <c r="J163" s="2">
        <f>(IF(A163='Hybrid Calculator'!$B$6,0,1))^2+((B163-'Hybrid Calculator'!$B$7)/1500)^2+((C163-'Hybrid Calculator'!$B$8)/1300)^2+((D163-'Hybrid Calculator'!$B$9)/800)^2+((E163-'Hybrid Calculator'!$B$10)/350)^2+((F163-'Hybrid Calculator'!$B$11)/30)^2+(G163-'Hybrid Calculator'!$B$12)^2+((H163-'Hybrid Calculator'!$E$14)/IF(A163="Lightning",100,30000))^2+((I163-'Hybrid Calculator'!$E$17)/IF(A163="Lightning",100,30000))^2</f>
        <v>0.29029823611947925</v>
      </c>
      <c r="K163" s="2">
        <f t="shared" si="8"/>
        <v>593</v>
      </c>
      <c r="L163" s="2">
        <f t="shared" si="9"/>
        <v>0</v>
      </c>
      <c r="M163" s="2">
        <f t="shared" si="10"/>
        <v>0</v>
      </c>
      <c r="N163" s="2">
        <v>-1.0554602345775654E-2</v>
      </c>
      <c r="O163" s="2">
        <f t="shared" si="11"/>
        <v>0</v>
      </c>
      <c r="P163" s="2">
        <v>1.0350337489967174</v>
      </c>
      <c r="Q163" s="2">
        <v>-15.484302265910628</v>
      </c>
    </row>
    <row r="164" spans="1:17" ht="15">
      <c r="A164" s="2" t="s">
        <v>13</v>
      </c>
      <c r="B164" s="2">
        <v>1465.7888396177441</v>
      </c>
      <c r="C164" s="2">
        <v>1049.257992755156</v>
      </c>
      <c r="D164" s="2">
        <v>573.89843594282866</v>
      </c>
      <c r="E164" s="2">
        <v>229.07182875322178</v>
      </c>
      <c r="F164" s="2">
        <v>16.339975573122501</v>
      </c>
      <c r="G164" s="2">
        <v>0.83783655906328935</v>
      </c>
      <c r="H164" s="2">
        <v>40</v>
      </c>
      <c r="I164" s="2">
        <v>25</v>
      </c>
      <c r="J164" s="2">
        <f>(IF(A164='Hybrid Calculator'!$B$6,0,1))^2+((B164-'Hybrid Calculator'!$B$7)/1500)^2+((C164-'Hybrid Calculator'!$B$8)/1300)^2+((D164-'Hybrid Calculator'!$B$9)/800)^2+((E164-'Hybrid Calculator'!$B$10)/350)^2+((F164-'Hybrid Calculator'!$B$11)/30)^2+(G164-'Hybrid Calculator'!$B$12)^2+((H164-'Hybrid Calculator'!$E$14)/IF(A164="Lightning",100,30000))^2+((I164-'Hybrid Calculator'!$E$17)/IF(A164="Lightning",100,30000))^2</f>
        <v>9.9307441969898103E-2</v>
      </c>
      <c r="K164" s="2">
        <f t="shared" si="8"/>
        <v>203</v>
      </c>
      <c r="L164" s="2">
        <f t="shared" si="9"/>
        <v>0</v>
      </c>
      <c r="M164" s="2">
        <f t="shared" si="10"/>
        <v>0</v>
      </c>
      <c r="N164" s="2">
        <v>5.0844883309870692E-3</v>
      </c>
      <c r="O164" s="2">
        <f t="shared" si="11"/>
        <v>0</v>
      </c>
      <c r="P164" s="2">
        <v>0.31166170082419598</v>
      </c>
      <c r="Q164" s="2">
        <v>5.345576389021744</v>
      </c>
    </row>
    <row r="165" spans="1:17" ht="15">
      <c r="A165" s="2" t="s">
        <v>13</v>
      </c>
      <c r="B165" s="2">
        <v>1494.9213328887708</v>
      </c>
      <c r="C165" s="2">
        <v>673.82646796759218</v>
      </c>
      <c r="D165" s="2">
        <v>599.25411613658071</v>
      </c>
      <c r="E165" s="2">
        <v>206.30589446052909</v>
      </c>
      <c r="F165" s="2">
        <v>19.263463674578816</v>
      </c>
      <c r="G165" s="2">
        <v>0.82202952997293322</v>
      </c>
      <c r="H165" s="2">
        <v>45</v>
      </c>
      <c r="I165" s="2">
        <v>25</v>
      </c>
      <c r="J165" s="2">
        <f>(IF(A165='Hybrid Calculator'!$B$6,0,1))^2+((B165-'Hybrid Calculator'!$B$7)/1500)^2+((C165-'Hybrid Calculator'!$B$8)/1300)^2+((D165-'Hybrid Calculator'!$B$9)/800)^2+((E165-'Hybrid Calculator'!$B$10)/350)^2+((F165-'Hybrid Calculator'!$B$11)/30)^2+(G165-'Hybrid Calculator'!$B$12)^2+((H165-'Hybrid Calculator'!$E$14)/IF(A165="Lightning",100,30000))^2+((I165-'Hybrid Calculator'!$E$17)/IF(A165="Lightning",100,30000))^2</f>
        <v>6.4963020760228071E-2</v>
      </c>
      <c r="K165" s="2">
        <f t="shared" si="8"/>
        <v>93</v>
      </c>
      <c r="L165" s="2">
        <f t="shared" si="9"/>
        <v>0</v>
      </c>
      <c r="M165" s="2">
        <f t="shared" si="10"/>
        <v>0</v>
      </c>
      <c r="N165" s="2">
        <v>-1.2447967291672191E-2</v>
      </c>
      <c r="O165" s="2">
        <f t="shared" si="11"/>
        <v>0</v>
      </c>
      <c r="P165" s="2">
        <v>0.26602406954320656</v>
      </c>
      <c r="Q165" s="2">
        <v>2.6864531065600659</v>
      </c>
    </row>
    <row r="166" spans="1:17" ht="15">
      <c r="A166" s="2" t="s">
        <v>13</v>
      </c>
      <c r="B166" s="2">
        <v>1380.7702022837475</v>
      </c>
      <c r="C166" s="2">
        <v>627.58838647278026</v>
      </c>
      <c r="D166" s="2">
        <v>665.34633040428162</v>
      </c>
      <c r="E166" s="2">
        <v>295.65210999688134</v>
      </c>
      <c r="F166" s="2">
        <v>20.092040586285293</v>
      </c>
      <c r="G166" s="2">
        <v>0.84425121523207058</v>
      </c>
      <c r="H166" s="2">
        <v>45</v>
      </c>
      <c r="I166" s="2">
        <v>25</v>
      </c>
      <c r="J166" s="2">
        <f>(IF(A166='Hybrid Calculator'!$B$6,0,1))^2+((B166-'Hybrid Calculator'!$B$7)/1500)^2+((C166-'Hybrid Calculator'!$B$8)/1300)^2+((D166-'Hybrid Calculator'!$B$9)/800)^2+((E166-'Hybrid Calculator'!$B$10)/350)^2+((F166-'Hybrid Calculator'!$B$11)/30)^2+(G166-'Hybrid Calculator'!$B$12)^2+((H166-'Hybrid Calculator'!$E$14)/IF(A166="Lightning",100,30000))^2+((I166-'Hybrid Calculator'!$E$17)/IF(A166="Lightning",100,30000))^2</f>
        <v>0.25194188361353004</v>
      </c>
      <c r="K166" s="2">
        <f t="shared" si="8"/>
        <v>547</v>
      </c>
      <c r="L166" s="2">
        <f t="shared" si="9"/>
        <v>0</v>
      </c>
      <c r="M166" s="2">
        <f t="shared" si="10"/>
        <v>0</v>
      </c>
      <c r="N166" s="2">
        <v>-1.3827464750533647E-2</v>
      </c>
      <c r="O166" s="2">
        <f t="shared" si="11"/>
        <v>0</v>
      </c>
      <c r="P166" s="2">
        <v>-0.11860240886871054</v>
      </c>
      <c r="Q166" s="2">
        <v>-6.0180645197133344</v>
      </c>
    </row>
    <row r="167" spans="1:17" ht="15">
      <c r="A167" s="2" t="s">
        <v>13</v>
      </c>
      <c r="B167" s="2">
        <v>1421.9027542392723</v>
      </c>
      <c r="C167" s="2">
        <v>675.44472301378846</v>
      </c>
      <c r="D167" s="2">
        <v>615.24228220805526</v>
      </c>
      <c r="E167" s="2">
        <v>145.13722019735724</v>
      </c>
      <c r="F167" s="2">
        <v>15.961007935460657</v>
      </c>
      <c r="G167" s="2">
        <v>0.85340494380332532</v>
      </c>
      <c r="H167" s="2">
        <v>50</v>
      </c>
      <c r="I167" s="2">
        <v>25</v>
      </c>
      <c r="J167" s="2">
        <f>(IF(A167='Hybrid Calculator'!$B$6,0,1))^2+((B167-'Hybrid Calculator'!$B$7)/1500)^2+((C167-'Hybrid Calculator'!$B$8)/1300)^2+((D167-'Hybrid Calculator'!$B$9)/800)^2+((E167-'Hybrid Calculator'!$B$10)/350)^2+((F167-'Hybrid Calculator'!$B$11)/30)^2+(G167-'Hybrid Calculator'!$B$12)^2+((H167-'Hybrid Calculator'!$E$14)/IF(A167="Lightning",100,30000))^2+((I167-'Hybrid Calculator'!$E$17)/IF(A167="Lightning",100,30000))^2</f>
        <v>4.7256484619099731E-2</v>
      </c>
      <c r="K167" s="2">
        <f t="shared" si="8"/>
        <v>48</v>
      </c>
      <c r="L167" s="2">
        <f t="shared" si="9"/>
        <v>0</v>
      </c>
      <c r="M167" s="2">
        <f t="shared" si="10"/>
        <v>0</v>
      </c>
      <c r="N167" s="2">
        <v>7.7784003013405822E-3</v>
      </c>
      <c r="O167" s="2">
        <f t="shared" si="11"/>
        <v>0</v>
      </c>
      <c r="P167" s="2">
        <v>-1.610978456998744</v>
      </c>
      <c r="Q167" s="2">
        <v>13.895702347775114</v>
      </c>
    </row>
    <row r="168" spans="1:17" ht="15">
      <c r="A168" s="2" t="s">
        <v>13</v>
      </c>
      <c r="B168" s="2">
        <v>1410.3835707530379</v>
      </c>
      <c r="C168" s="2">
        <v>1026.9108843407594</v>
      </c>
      <c r="D168" s="2">
        <v>715.04706759005785</v>
      </c>
      <c r="E168" s="2">
        <v>120.37970636272803</v>
      </c>
      <c r="F168" s="2">
        <v>15.898036351427436</v>
      </c>
      <c r="G168" s="2">
        <v>0.82229976640315727</v>
      </c>
      <c r="H168" s="2">
        <v>40</v>
      </c>
      <c r="I168" s="2">
        <v>25</v>
      </c>
      <c r="J168" s="2">
        <f>(IF(A168='Hybrid Calculator'!$B$6,0,1))^2+((B168-'Hybrid Calculator'!$B$7)/1500)^2+((C168-'Hybrid Calculator'!$B$8)/1300)^2+((D168-'Hybrid Calculator'!$B$9)/800)^2+((E168-'Hybrid Calculator'!$B$10)/350)^2+((F168-'Hybrid Calculator'!$B$11)/30)^2+(G168-'Hybrid Calculator'!$B$12)^2+((H168-'Hybrid Calculator'!$E$14)/IF(A168="Lightning",100,30000))^2+((I168-'Hybrid Calculator'!$E$17)/IF(A168="Lightning",100,30000))^2</f>
        <v>0.11556223525207485</v>
      </c>
      <c r="K168" s="2">
        <f t="shared" si="8"/>
        <v>241</v>
      </c>
      <c r="L168" s="2">
        <f t="shared" si="9"/>
        <v>0</v>
      </c>
      <c r="M168" s="2">
        <f t="shared" si="10"/>
        <v>0</v>
      </c>
      <c r="N168" s="2">
        <v>-1.3632293856029598E-3</v>
      </c>
      <c r="O168" s="2">
        <f t="shared" si="11"/>
        <v>0</v>
      </c>
      <c r="P168" s="2">
        <v>0.7799459838094478</v>
      </c>
      <c r="Q168" s="2">
        <v>-3.1219095363082943</v>
      </c>
    </row>
    <row r="169" spans="1:17" ht="15">
      <c r="A169" s="2" t="s">
        <v>13</v>
      </c>
      <c r="B169" s="2">
        <v>1424.7242484823801</v>
      </c>
      <c r="C169" s="2">
        <v>1098.8330949330702</v>
      </c>
      <c r="D169" s="2">
        <v>695.10009298101068</v>
      </c>
      <c r="E169" s="2">
        <v>221.68525370769203</v>
      </c>
      <c r="F169" s="2">
        <v>26.123141456861049</v>
      </c>
      <c r="G169" s="2">
        <v>0.80663129058200866</v>
      </c>
      <c r="H169" s="2">
        <v>35</v>
      </c>
      <c r="I169" s="2">
        <v>25</v>
      </c>
      <c r="J169" s="2">
        <f>(IF(A169='Hybrid Calculator'!$B$6,0,1))^2+((B169-'Hybrid Calculator'!$B$7)/1500)^2+((C169-'Hybrid Calculator'!$B$8)/1300)^2+((D169-'Hybrid Calculator'!$B$9)/800)^2+((E169-'Hybrid Calculator'!$B$10)/350)^2+((F169-'Hybrid Calculator'!$B$11)/30)^2+(G169-'Hybrid Calculator'!$B$12)^2+((H169-'Hybrid Calculator'!$E$14)/IF(A169="Lightning",100,30000))^2+((I169-'Hybrid Calculator'!$E$17)/IF(A169="Lightning",100,30000))^2</f>
        <v>0.22531003942238279</v>
      </c>
      <c r="K169" s="2">
        <f t="shared" si="8"/>
        <v>497</v>
      </c>
      <c r="L169" s="2">
        <f t="shared" si="9"/>
        <v>0</v>
      </c>
      <c r="M169" s="2">
        <f t="shared" si="10"/>
        <v>0</v>
      </c>
      <c r="N169" s="2">
        <v>4.1396785067624453E-3</v>
      </c>
      <c r="O169" s="2">
        <f t="shared" si="11"/>
        <v>0</v>
      </c>
      <c r="P169" s="2">
        <v>-0.40423292760118557</v>
      </c>
      <c r="Q169" s="2">
        <v>-13.8804612190022</v>
      </c>
    </row>
    <row r="170" spans="1:17" ht="15">
      <c r="A170" s="2" t="s">
        <v>13</v>
      </c>
      <c r="B170" s="2">
        <v>1485.1178077049553</v>
      </c>
      <c r="C170" s="2">
        <v>618.54790908982977</v>
      </c>
      <c r="D170" s="2">
        <v>695.73657307773829</v>
      </c>
      <c r="E170" s="2">
        <v>119.83088216045871</v>
      </c>
      <c r="F170" s="2">
        <v>13.116771506145597</v>
      </c>
      <c r="G170" s="2">
        <v>0.81317878945963462</v>
      </c>
      <c r="H170" s="2">
        <v>50</v>
      </c>
      <c r="I170" s="2">
        <v>25</v>
      </c>
      <c r="J170" s="2">
        <f>(IF(A170='Hybrid Calculator'!$B$6,0,1))^2+((B170-'Hybrid Calculator'!$B$7)/1500)^2+((C170-'Hybrid Calculator'!$B$8)/1300)^2+((D170-'Hybrid Calculator'!$B$9)/800)^2+((E170-'Hybrid Calculator'!$B$10)/350)^2+((F170-'Hybrid Calculator'!$B$11)/30)^2+(G170-'Hybrid Calculator'!$B$12)^2+((H170-'Hybrid Calculator'!$E$14)/IF(A170="Lightning",100,30000))^2+((I170-'Hybrid Calculator'!$E$17)/IF(A170="Lightning",100,30000))^2</f>
        <v>0.13284390404066315</v>
      </c>
      <c r="K170" s="2">
        <f t="shared" si="8"/>
        <v>283</v>
      </c>
      <c r="L170" s="2">
        <f t="shared" si="9"/>
        <v>0</v>
      </c>
      <c r="M170" s="2">
        <f t="shared" si="10"/>
        <v>0</v>
      </c>
      <c r="N170" s="2">
        <v>-1.1412998294015209E-2</v>
      </c>
      <c r="O170" s="2">
        <f t="shared" si="11"/>
        <v>0</v>
      </c>
      <c r="P170" s="2">
        <v>-0.8227150320411809</v>
      </c>
      <c r="Q170" s="2">
        <v>11.336558799440127</v>
      </c>
    </row>
    <row r="171" spans="1:17" ht="15">
      <c r="A171" s="2" t="s">
        <v>13</v>
      </c>
      <c r="B171" s="2">
        <v>1366.4639398106374</v>
      </c>
      <c r="C171" s="2">
        <v>1140.9018208505586</v>
      </c>
      <c r="D171" s="2">
        <v>661.87412822619081</v>
      </c>
      <c r="E171" s="2">
        <v>316.07055586762726</v>
      </c>
      <c r="F171" s="2">
        <v>21.28998488234356</v>
      </c>
      <c r="G171" s="2">
        <v>0.82589020373765387</v>
      </c>
      <c r="H171" s="2">
        <v>35</v>
      </c>
      <c r="I171" s="2">
        <v>25</v>
      </c>
      <c r="J171" s="2">
        <f>(IF(A171='Hybrid Calculator'!$B$6,0,1))^2+((B171-'Hybrid Calculator'!$B$7)/1500)^2+((C171-'Hybrid Calculator'!$B$8)/1300)^2+((D171-'Hybrid Calculator'!$B$9)/800)^2+((E171-'Hybrid Calculator'!$B$10)/350)^2+((F171-'Hybrid Calculator'!$B$11)/30)^2+(G171-'Hybrid Calculator'!$B$12)^2+((H171-'Hybrid Calculator'!$E$14)/IF(A171="Lightning",100,30000))^2+((I171-'Hybrid Calculator'!$E$17)/IF(A171="Lightning",100,30000))^2</f>
        <v>0.34886052435033665</v>
      </c>
      <c r="K171" s="2">
        <f t="shared" si="8"/>
        <v>651</v>
      </c>
      <c r="L171" s="2">
        <f t="shared" si="9"/>
        <v>0</v>
      </c>
      <c r="M171" s="2">
        <f t="shared" si="10"/>
        <v>0</v>
      </c>
      <c r="N171" s="2">
        <v>1.7143051429466372E-2</v>
      </c>
      <c r="O171" s="2">
        <f t="shared" si="11"/>
        <v>0</v>
      </c>
      <c r="P171" s="2">
        <v>-9.7121005019076279E-2</v>
      </c>
      <c r="Q171" s="2">
        <v>-15.826474415103348</v>
      </c>
    </row>
    <row r="172" spans="1:17" ht="15">
      <c r="A172" s="2" t="s">
        <v>13</v>
      </c>
      <c r="B172" s="2">
        <v>1489.0378629555926</v>
      </c>
      <c r="C172" s="2">
        <v>748.40086583280936</v>
      </c>
      <c r="D172" s="2">
        <v>475.93510113656521</v>
      </c>
      <c r="E172" s="2">
        <v>216.65408146334812</v>
      </c>
      <c r="F172" s="2">
        <v>25.068900001235306</v>
      </c>
      <c r="G172" s="2">
        <v>0.79626198236597701</v>
      </c>
      <c r="H172" s="2">
        <v>45</v>
      </c>
      <c r="I172" s="2">
        <v>25</v>
      </c>
      <c r="J172" s="2">
        <f>(IF(A172='Hybrid Calculator'!$B$6,0,1))^2+((B172-'Hybrid Calculator'!$B$7)/1500)^2+((C172-'Hybrid Calculator'!$B$8)/1300)^2+((D172-'Hybrid Calculator'!$B$9)/800)^2+((E172-'Hybrid Calculator'!$B$10)/350)^2+((F172-'Hybrid Calculator'!$B$11)/30)^2+(G172-'Hybrid Calculator'!$B$12)^2+((H172-'Hybrid Calculator'!$E$14)/IF(A172="Lightning",100,30000))^2+((I172-'Hybrid Calculator'!$E$17)/IF(A172="Lightning",100,30000))^2</f>
        <v>9.6111309717549831E-2</v>
      </c>
      <c r="K172" s="2">
        <f t="shared" si="8"/>
        <v>190</v>
      </c>
      <c r="L172" s="2">
        <f t="shared" si="9"/>
        <v>0</v>
      </c>
      <c r="M172" s="2">
        <f t="shared" si="10"/>
        <v>0</v>
      </c>
      <c r="N172" s="2">
        <v>-9.9972570604405231E-3</v>
      </c>
      <c r="O172" s="2">
        <f t="shared" si="11"/>
        <v>0</v>
      </c>
      <c r="P172" s="2">
        <v>0.45325166856517285</v>
      </c>
      <c r="Q172" s="2">
        <v>-7.9130678174662989</v>
      </c>
    </row>
    <row r="173" spans="1:17" ht="15">
      <c r="A173" s="2" t="s">
        <v>13</v>
      </c>
      <c r="B173" s="2">
        <v>1389.5223104744218</v>
      </c>
      <c r="C173" s="2">
        <v>1073.4280759934336</v>
      </c>
      <c r="D173" s="2">
        <v>547.93055532500148</v>
      </c>
      <c r="E173" s="2">
        <v>112.51846076454967</v>
      </c>
      <c r="F173" s="2">
        <v>16.79305726243183</v>
      </c>
      <c r="G173" s="2">
        <v>0.85628759691491729</v>
      </c>
      <c r="H173" s="2">
        <v>45</v>
      </c>
      <c r="I173" s="2">
        <v>25</v>
      </c>
      <c r="J173" s="2">
        <f>(IF(A173='Hybrid Calculator'!$B$6,0,1))^2+((B173-'Hybrid Calculator'!$B$7)/1500)^2+((C173-'Hybrid Calculator'!$B$8)/1300)^2+((D173-'Hybrid Calculator'!$B$9)/800)^2+((E173-'Hybrid Calculator'!$B$10)/350)^2+((F173-'Hybrid Calculator'!$B$11)/30)^2+(G173-'Hybrid Calculator'!$B$12)^2+((H173-'Hybrid Calculator'!$E$14)/IF(A173="Lightning",100,30000))^2+((I173-'Hybrid Calculator'!$E$17)/IF(A173="Lightning",100,30000))^2</f>
        <v>5.220999648754196E-2</v>
      </c>
      <c r="K173" s="2">
        <f t="shared" si="8"/>
        <v>58</v>
      </c>
      <c r="L173" s="2">
        <f t="shared" si="9"/>
        <v>0</v>
      </c>
      <c r="M173" s="2">
        <f t="shared" si="10"/>
        <v>0</v>
      </c>
      <c r="N173" s="2">
        <v>-3.7535949588041184E-4</v>
      </c>
      <c r="O173" s="2">
        <f t="shared" si="11"/>
        <v>0</v>
      </c>
      <c r="P173" s="2">
        <v>-0.48203347273602049</v>
      </c>
      <c r="Q173" s="2">
        <v>-7.3692539987696364</v>
      </c>
    </row>
    <row r="174" spans="1:17" ht="15">
      <c r="A174" s="2" t="s">
        <v>13</v>
      </c>
      <c r="B174" s="2">
        <v>1422.7869298774749</v>
      </c>
      <c r="C174" s="2">
        <v>1032.7461659791879</v>
      </c>
      <c r="D174" s="2">
        <v>728.68965547531843</v>
      </c>
      <c r="E174" s="2">
        <v>138.25452721910551</v>
      </c>
      <c r="F174" s="2">
        <v>23.482400983572006</v>
      </c>
      <c r="G174" s="2">
        <v>0.80492487689713021</v>
      </c>
      <c r="H174" s="2">
        <v>35</v>
      </c>
      <c r="I174" s="2">
        <v>25</v>
      </c>
      <c r="J174" s="2">
        <f>(IF(A174='Hybrid Calculator'!$B$6,0,1))^2+((B174-'Hybrid Calculator'!$B$7)/1500)^2+((C174-'Hybrid Calculator'!$B$8)/1300)^2+((D174-'Hybrid Calculator'!$B$9)/800)^2+((E174-'Hybrid Calculator'!$B$10)/350)^2+((F174-'Hybrid Calculator'!$B$11)/30)^2+(G174-'Hybrid Calculator'!$B$12)^2+((H174-'Hybrid Calculator'!$E$14)/IF(A174="Lightning",100,30000))^2+((I174-'Hybrid Calculator'!$E$17)/IF(A174="Lightning",100,30000))^2</f>
        <v>0.15291635067788711</v>
      </c>
      <c r="K174" s="2">
        <f t="shared" si="8"/>
        <v>333</v>
      </c>
      <c r="L174" s="2">
        <f t="shared" si="9"/>
        <v>0</v>
      </c>
      <c r="M174" s="2">
        <f t="shared" si="10"/>
        <v>0</v>
      </c>
      <c r="N174" s="2">
        <v>1.1025149505002219E-2</v>
      </c>
      <c r="O174" s="2">
        <f t="shared" si="11"/>
        <v>0</v>
      </c>
      <c r="P174" s="2">
        <v>0.5038698307839482</v>
      </c>
      <c r="Q174" s="2">
        <v>-20.644124118402715</v>
      </c>
    </row>
    <row r="175" spans="1:17" ht="15">
      <c r="A175" s="2" t="s">
        <v>13</v>
      </c>
      <c r="B175" s="2">
        <v>1402.0265423809178</v>
      </c>
      <c r="C175" s="2">
        <v>668.75610367860645</v>
      </c>
      <c r="D175" s="2">
        <v>508.10450138524175</v>
      </c>
      <c r="E175" s="2">
        <v>198.49716166034341</v>
      </c>
      <c r="F175" s="2">
        <v>12.1386115164496</v>
      </c>
      <c r="G175" s="2">
        <v>0.82667972532566636</v>
      </c>
      <c r="H175" s="2">
        <v>55</v>
      </c>
      <c r="I175" s="2">
        <v>25</v>
      </c>
      <c r="J175" s="2">
        <f>(IF(A175='Hybrid Calculator'!$B$6,0,1))^2+((B175-'Hybrid Calculator'!$B$7)/1500)^2+((C175-'Hybrid Calculator'!$B$8)/1300)^2+((D175-'Hybrid Calculator'!$B$9)/800)^2+((E175-'Hybrid Calculator'!$B$10)/350)^2+((F175-'Hybrid Calculator'!$B$11)/30)^2+(G175-'Hybrid Calculator'!$B$12)^2+((H175-'Hybrid Calculator'!$E$14)/IF(A175="Lightning",100,30000))^2+((I175-'Hybrid Calculator'!$E$17)/IF(A175="Lightning",100,30000))^2</f>
        <v>8.6482721711556715E-2</v>
      </c>
      <c r="K175" s="2">
        <f t="shared" si="8"/>
        <v>160</v>
      </c>
      <c r="L175" s="2">
        <f t="shared" si="9"/>
        <v>0</v>
      </c>
      <c r="M175" s="2">
        <f t="shared" si="10"/>
        <v>0</v>
      </c>
      <c r="N175" s="2">
        <v>7.4257635620307294E-3</v>
      </c>
      <c r="O175" s="2">
        <f t="shared" si="11"/>
        <v>0</v>
      </c>
      <c r="P175" s="2">
        <v>-1.5760787960119984</v>
      </c>
      <c r="Q175" s="2">
        <v>9.0420637653512586</v>
      </c>
    </row>
    <row r="176" spans="1:17" ht="15">
      <c r="A176" s="2" t="s">
        <v>13</v>
      </c>
      <c r="B176" s="2">
        <v>1390.68037730176</v>
      </c>
      <c r="C176" s="2">
        <v>991.8997680884786</v>
      </c>
      <c r="D176" s="2">
        <v>420.72101980447769</v>
      </c>
      <c r="E176" s="2">
        <v>204.94827335467562</v>
      </c>
      <c r="F176" s="2">
        <v>15.367596249096096</v>
      </c>
      <c r="G176" s="2">
        <v>0.80699097934877506</v>
      </c>
      <c r="H176" s="2">
        <v>45</v>
      </c>
      <c r="I176" s="2">
        <v>25</v>
      </c>
      <c r="J176" s="2">
        <f>(IF(A176='Hybrid Calculator'!$B$6,0,1))^2+((B176-'Hybrid Calculator'!$B$7)/1500)^2+((C176-'Hybrid Calculator'!$B$8)/1300)^2+((D176-'Hybrid Calculator'!$B$9)/800)^2+((E176-'Hybrid Calculator'!$B$10)/350)^2+((F176-'Hybrid Calculator'!$B$11)/30)^2+(G176-'Hybrid Calculator'!$B$12)^2+((H176-'Hybrid Calculator'!$E$14)/IF(A176="Lightning",100,30000))^2+((I176-'Hybrid Calculator'!$E$17)/IF(A176="Lightning",100,30000))^2</f>
        <v>6.0477419302991046E-2</v>
      </c>
      <c r="K176" s="2">
        <f t="shared" si="8"/>
        <v>83</v>
      </c>
      <c r="L176" s="2">
        <f t="shared" si="9"/>
        <v>0</v>
      </c>
      <c r="M176" s="2">
        <f t="shared" si="10"/>
        <v>0</v>
      </c>
      <c r="N176" s="2">
        <v>4.2504914458807441E-3</v>
      </c>
      <c r="O176" s="2">
        <f t="shared" si="11"/>
        <v>0</v>
      </c>
      <c r="P176" s="2">
        <v>-0.15212942033347332</v>
      </c>
      <c r="Q176" s="2">
        <v>13.363676196244342</v>
      </c>
    </row>
    <row r="177" spans="1:17" ht="15">
      <c r="A177" s="2" t="s">
        <v>13</v>
      </c>
      <c r="B177" s="2">
        <v>1443.8692598487251</v>
      </c>
      <c r="C177" s="2">
        <v>1099.026211630553</v>
      </c>
      <c r="D177" s="2">
        <v>508.9898637495935</v>
      </c>
      <c r="E177" s="2">
        <v>265.86561328265816</v>
      </c>
      <c r="F177" s="2">
        <v>9.6690352610312402</v>
      </c>
      <c r="G177" s="2">
        <v>0.84762706545181576</v>
      </c>
      <c r="H177" s="2">
        <v>40</v>
      </c>
      <c r="I177" s="2">
        <v>25</v>
      </c>
      <c r="J177" s="2">
        <f>(IF(A177='Hybrid Calculator'!$B$6,0,1))^2+((B177-'Hybrid Calculator'!$B$7)/1500)^2+((C177-'Hybrid Calculator'!$B$8)/1300)^2+((D177-'Hybrid Calculator'!$B$9)/800)^2+((E177-'Hybrid Calculator'!$B$10)/350)^2+((F177-'Hybrid Calculator'!$B$11)/30)^2+(G177-'Hybrid Calculator'!$B$12)^2+((H177-'Hybrid Calculator'!$E$14)/IF(A177="Lightning",100,30000))^2+((I177-'Hybrid Calculator'!$E$17)/IF(A177="Lightning",100,30000))^2</f>
        <v>0.24398405873165965</v>
      </c>
      <c r="K177" s="2">
        <f t="shared" si="8"/>
        <v>529</v>
      </c>
      <c r="L177" s="2">
        <f t="shared" si="9"/>
        <v>0</v>
      </c>
      <c r="M177" s="2">
        <f t="shared" si="10"/>
        <v>0</v>
      </c>
      <c r="N177" s="2">
        <v>2.9297426256957859E-3</v>
      </c>
      <c r="O177" s="2">
        <f t="shared" si="11"/>
        <v>0</v>
      </c>
      <c r="P177" s="2">
        <v>0.6106552531918723</v>
      </c>
      <c r="Q177" s="2">
        <v>8.5363555901039945</v>
      </c>
    </row>
    <row r="178" spans="1:17" ht="15">
      <c r="A178" s="2" t="s">
        <v>13</v>
      </c>
      <c r="B178" s="2">
        <v>1410.7166904956102</v>
      </c>
      <c r="C178" s="2">
        <v>750.18207341199741</v>
      </c>
      <c r="D178" s="2">
        <v>607.96325374394655</v>
      </c>
      <c r="E178" s="2">
        <v>317.10333235794678</v>
      </c>
      <c r="F178" s="2">
        <v>28.531289203092456</v>
      </c>
      <c r="G178" s="2">
        <v>0.8070363227766939</v>
      </c>
      <c r="H178" s="2">
        <v>40</v>
      </c>
      <c r="I178" s="2">
        <v>25</v>
      </c>
      <c r="J178" s="2">
        <f>(IF(A178='Hybrid Calculator'!$B$6,0,1))^2+((B178-'Hybrid Calculator'!$B$7)/1500)^2+((C178-'Hybrid Calculator'!$B$8)/1300)^2+((D178-'Hybrid Calculator'!$B$9)/800)^2+((E178-'Hybrid Calculator'!$B$10)/350)^2+((F178-'Hybrid Calculator'!$B$11)/30)^2+(G178-'Hybrid Calculator'!$B$12)^2+((H178-'Hybrid Calculator'!$E$14)/IF(A178="Lightning",100,30000))^2+((I178-'Hybrid Calculator'!$E$17)/IF(A178="Lightning",100,30000))^2</f>
        <v>0.37412160847133669</v>
      </c>
      <c r="K178" s="2">
        <f t="shared" si="8"/>
        <v>672</v>
      </c>
      <c r="L178" s="2">
        <f t="shared" si="9"/>
        <v>0</v>
      </c>
      <c r="M178" s="2">
        <f t="shared" si="10"/>
        <v>0</v>
      </c>
      <c r="N178" s="2">
        <v>1.895417207589567E-3</v>
      </c>
      <c r="O178" s="2">
        <f t="shared" si="11"/>
        <v>0</v>
      </c>
      <c r="P178" s="2">
        <v>-0.94476544592210132</v>
      </c>
      <c r="Q178" s="2">
        <v>-7.3241894035563746</v>
      </c>
    </row>
    <row r="179" spans="1:17" ht="15">
      <c r="A179" s="2" t="s">
        <v>13</v>
      </c>
      <c r="B179" s="2">
        <v>1450.7629776955582</v>
      </c>
      <c r="C179" s="2">
        <v>733.72187821660191</v>
      </c>
      <c r="D179" s="2">
        <v>450.17395177856088</v>
      </c>
      <c r="E179" s="2">
        <v>168.44462386332452</v>
      </c>
      <c r="F179" s="2">
        <v>16.496672224719077</v>
      </c>
      <c r="G179" s="2">
        <v>0.8171356461243704</v>
      </c>
      <c r="H179" s="2">
        <v>55</v>
      </c>
      <c r="I179" s="2">
        <v>25</v>
      </c>
      <c r="J179" s="2">
        <f>(IF(A179='Hybrid Calculator'!$B$6,0,1))^2+((B179-'Hybrid Calculator'!$B$7)/1500)^2+((C179-'Hybrid Calculator'!$B$8)/1300)^2+((D179-'Hybrid Calculator'!$B$9)/800)^2+((E179-'Hybrid Calculator'!$B$10)/350)^2+((F179-'Hybrid Calculator'!$B$11)/30)^2+(G179-'Hybrid Calculator'!$B$12)^2+((H179-'Hybrid Calculator'!$E$14)/IF(A179="Lightning",100,30000))^2+((I179-'Hybrid Calculator'!$E$17)/IF(A179="Lightning",100,30000))^2</f>
        <v>2.1919092973286966E-2</v>
      </c>
      <c r="K179" s="2">
        <f t="shared" si="8"/>
        <v>10</v>
      </c>
      <c r="L179" s="2">
        <f t="shared" si="9"/>
        <v>0</v>
      </c>
      <c r="M179" s="2">
        <f t="shared" si="10"/>
        <v>0</v>
      </c>
      <c r="N179" s="2">
        <v>4.3526825602424601E-3</v>
      </c>
      <c r="O179" s="2">
        <f t="shared" si="11"/>
        <v>0</v>
      </c>
      <c r="P179" s="2">
        <v>-0.12998334132811351</v>
      </c>
      <c r="Q179" s="2">
        <v>21.592869121746617</v>
      </c>
    </row>
    <row r="180" spans="1:17" ht="15">
      <c r="A180" s="2" t="s">
        <v>13</v>
      </c>
      <c r="B180" s="2">
        <v>1431.8034042371437</v>
      </c>
      <c r="C180" s="2">
        <v>1236.3414526567794</v>
      </c>
      <c r="D180" s="2">
        <v>479.18628193438053</v>
      </c>
      <c r="E180" s="2">
        <v>261.47750868229195</v>
      </c>
      <c r="F180" s="2">
        <v>22.005761899985373</v>
      </c>
      <c r="G180" s="2">
        <v>0.81551839994965125</v>
      </c>
      <c r="H180" s="2">
        <v>35</v>
      </c>
      <c r="I180" s="2">
        <v>25</v>
      </c>
      <c r="J180" s="2">
        <f>(IF(A180='Hybrid Calculator'!$B$6,0,1))^2+((B180-'Hybrid Calculator'!$B$7)/1500)^2+((C180-'Hybrid Calculator'!$B$8)/1300)^2+((D180-'Hybrid Calculator'!$B$9)/800)^2+((E180-'Hybrid Calculator'!$B$10)/350)^2+((F180-'Hybrid Calculator'!$B$11)/30)^2+(G180-'Hybrid Calculator'!$B$12)^2+((H180-'Hybrid Calculator'!$E$14)/IF(A180="Lightning",100,30000))^2+((I180-'Hybrid Calculator'!$E$17)/IF(A180="Lightning",100,30000))^2</f>
        <v>0.22663968681809052</v>
      </c>
      <c r="K180" s="2">
        <f t="shared" si="8"/>
        <v>501</v>
      </c>
      <c r="L180" s="2">
        <f t="shared" si="9"/>
        <v>0</v>
      </c>
      <c r="M180" s="2">
        <f t="shared" si="10"/>
        <v>0</v>
      </c>
      <c r="N180" s="2">
        <v>4.4849574245748869E-3</v>
      </c>
      <c r="O180" s="2">
        <f t="shared" si="11"/>
        <v>0</v>
      </c>
      <c r="P180" s="2">
        <v>0.66295449439646603</v>
      </c>
      <c r="Q180" s="2">
        <v>-18.429741310016198</v>
      </c>
    </row>
    <row r="181" spans="1:17" ht="15">
      <c r="A181" s="2" t="s">
        <v>13</v>
      </c>
      <c r="B181" s="2">
        <v>1374.2923435172997</v>
      </c>
      <c r="C181" s="2">
        <v>810.18109354190528</v>
      </c>
      <c r="D181" s="2">
        <v>588.87509061023593</v>
      </c>
      <c r="E181" s="2">
        <v>114.14074506144971</v>
      </c>
      <c r="F181" s="2">
        <v>24.076755444984883</v>
      </c>
      <c r="G181" s="2">
        <v>0.80447905093431471</v>
      </c>
      <c r="H181" s="2">
        <v>50</v>
      </c>
      <c r="I181" s="2">
        <v>25</v>
      </c>
      <c r="J181" s="2">
        <f>(IF(A181='Hybrid Calculator'!$B$6,0,1))^2+((B181-'Hybrid Calculator'!$B$7)/1500)^2+((C181-'Hybrid Calculator'!$B$8)/1300)^2+((D181-'Hybrid Calculator'!$B$9)/800)^2+((E181-'Hybrid Calculator'!$B$10)/350)^2+((F181-'Hybrid Calculator'!$B$11)/30)^2+(G181-'Hybrid Calculator'!$B$12)^2+((H181-'Hybrid Calculator'!$E$14)/IF(A181="Lightning",100,30000))^2+((I181-'Hybrid Calculator'!$E$17)/IF(A181="Lightning",100,30000))^2</f>
        <v>5.9716533015724202E-2</v>
      </c>
      <c r="K181" s="2">
        <f t="shared" si="8"/>
        <v>81</v>
      </c>
      <c r="L181" s="2">
        <f t="shared" si="9"/>
        <v>0</v>
      </c>
      <c r="M181" s="2">
        <f t="shared" si="10"/>
        <v>0</v>
      </c>
      <c r="N181" s="2">
        <v>-5.4608927325652257E-3</v>
      </c>
      <c r="O181" s="2">
        <f t="shared" si="11"/>
        <v>0</v>
      </c>
      <c r="P181" s="2">
        <v>-7.0916169963673781E-2</v>
      </c>
      <c r="Q181" s="2">
        <v>2.0434015889056809</v>
      </c>
    </row>
    <row r="182" spans="1:17" ht="15">
      <c r="A182" s="2" t="s">
        <v>13</v>
      </c>
      <c r="B182" s="2">
        <v>1485.6319311540574</v>
      </c>
      <c r="C182" s="2">
        <v>710.99574760301039</v>
      </c>
      <c r="D182" s="2">
        <v>350.13728197664022</v>
      </c>
      <c r="E182" s="2">
        <v>207.31834762962535</v>
      </c>
      <c r="F182" s="2">
        <v>19.581257190555334</v>
      </c>
      <c r="G182" s="2">
        <v>0.84510465074563401</v>
      </c>
      <c r="H182" s="2">
        <v>60</v>
      </c>
      <c r="I182" s="2">
        <v>25</v>
      </c>
      <c r="J182" s="2">
        <f>(IF(A182='Hybrid Calculator'!$B$6,0,1))^2+((B182-'Hybrid Calculator'!$B$7)/1500)^2+((C182-'Hybrid Calculator'!$B$8)/1300)^2+((D182-'Hybrid Calculator'!$B$9)/800)^2+((E182-'Hybrid Calculator'!$B$10)/350)^2+((F182-'Hybrid Calculator'!$B$11)/30)^2+(G182-'Hybrid Calculator'!$B$12)^2+((H182-'Hybrid Calculator'!$E$14)/IF(A182="Lightning",100,30000))^2+((I182-'Hybrid Calculator'!$E$17)/IF(A182="Lightning",100,30000))^2</f>
        <v>8.6907849887221E-2</v>
      </c>
      <c r="K182" s="2">
        <f t="shared" si="8"/>
        <v>162</v>
      </c>
      <c r="L182" s="2">
        <f t="shared" si="9"/>
        <v>0</v>
      </c>
      <c r="M182" s="2">
        <f t="shared" si="10"/>
        <v>0</v>
      </c>
      <c r="N182" s="2">
        <v>-1.4177959153789388E-3</v>
      </c>
      <c r="O182" s="2">
        <f t="shared" si="11"/>
        <v>0</v>
      </c>
      <c r="P182" s="2">
        <v>-0.20351650236392516</v>
      </c>
      <c r="Q182" s="2">
        <v>17.180608724228932</v>
      </c>
    </row>
    <row r="183" spans="1:17" ht="15">
      <c r="A183" s="2" t="s">
        <v>13</v>
      </c>
      <c r="B183" s="2">
        <v>1380.7955730822869</v>
      </c>
      <c r="C183" s="2">
        <v>975.67828770261258</v>
      </c>
      <c r="D183" s="2">
        <v>384.01992218568921</v>
      </c>
      <c r="E183" s="2">
        <v>270.87707716971636</v>
      </c>
      <c r="F183" s="2">
        <v>27.878576549235731</v>
      </c>
      <c r="G183" s="2">
        <v>0.84989490184467287</v>
      </c>
      <c r="H183" s="2">
        <v>45</v>
      </c>
      <c r="I183" s="2">
        <v>25</v>
      </c>
      <c r="J183" s="2">
        <f>(IF(A183='Hybrid Calculator'!$B$6,0,1))^2+((B183-'Hybrid Calculator'!$B$7)/1500)^2+((C183-'Hybrid Calculator'!$B$8)/1300)^2+((D183-'Hybrid Calculator'!$B$9)/800)^2+((E183-'Hybrid Calculator'!$B$10)/350)^2+((F183-'Hybrid Calculator'!$B$11)/30)^2+(G183-'Hybrid Calculator'!$B$12)^2+((H183-'Hybrid Calculator'!$E$14)/IF(A183="Lightning",100,30000))^2+((I183-'Hybrid Calculator'!$E$17)/IF(A183="Lightning",100,30000))^2</f>
        <v>0.25163254619088649</v>
      </c>
      <c r="K183" s="2">
        <f t="shared" si="8"/>
        <v>546</v>
      </c>
      <c r="L183" s="2">
        <f t="shared" si="9"/>
        <v>0</v>
      </c>
      <c r="M183" s="2">
        <f t="shared" si="10"/>
        <v>0</v>
      </c>
      <c r="N183" s="2">
        <v>3.0193986607325307E-3</v>
      </c>
      <c r="O183" s="2">
        <f t="shared" si="11"/>
        <v>0</v>
      </c>
      <c r="P183" s="2">
        <v>0.12018519124419669</v>
      </c>
      <c r="Q183" s="2">
        <v>-6.2582069568800307</v>
      </c>
    </row>
    <row r="184" spans="1:17" ht="15">
      <c r="A184" s="2" t="s">
        <v>13</v>
      </c>
      <c r="B184" s="2">
        <v>1439.5788619760424</v>
      </c>
      <c r="C184" s="2">
        <v>1209.4437608378939</v>
      </c>
      <c r="D184" s="2">
        <v>552.74023246020079</v>
      </c>
      <c r="E184" s="2">
        <v>254.91437803255394</v>
      </c>
      <c r="F184" s="2">
        <v>22.441823445260525</v>
      </c>
      <c r="G184" s="2">
        <v>0.85161182897398258</v>
      </c>
      <c r="H184" s="2">
        <v>35</v>
      </c>
      <c r="I184" s="2">
        <v>25</v>
      </c>
      <c r="J184" s="2">
        <f>(IF(A184='Hybrid Calculator'!$B$6,0,1))^2+((B184-'Hybrid Calculator'!$B$7)/1500)^2+((C184-'Hybrid Calculator'!$B$8)/1300)^2+((D184-'Hybrid Calculator'!$B$9)/800)^2+((E184-'Hybrid Calculator'!$B$10)/350)^2+((F184-'Hybrid Calculator'!$B$11)/30)^2+(G184-'Hybrid Calculator'!$B$12)^2+((H184-'Hybrid Calculator'!$E$14)/IF(A184="Lightning",100,30000))^2+((I184-'Hybrid Calculator'!$E$17)/IF(A184="Lightning",100,30000))^2</f>
        <v>0.21150720404514142</v>
      </c>
      <c r="K184" s="2">
        <f t="shared" si="8"/>
        <v>472</v>
      </c>
      <c r="L184" s="2">
        <f t="shared" si="9"/>
        <v>0</v>
      </c>
      <c r="M184" s="2">
        <f t="shared" si="10"/>
        <v>0</v>
      </c>
      <c r="N184" s="2">
        <v>6.6420951313719279E-3</v>
      </c>
      <c r="O184" s="2">
        <f t="shared" si="11"/>
        <v>0</v>
      </c>
      <c r="P184" s="2">
        <v>0.21749250194852721</v>
      </c>
      <c r="Q184" s="2">
        <v>-16.981205266882398</v>
      </c>
    </row>
    <row r="185" spans="1:17" ht="15">
      <c r="A185" s="2" t="s">
        <v>13</v>
      </c>
      <c r="B185" s="2">
        <v>1489.0895589371212</v>
      </c>
      <c r="C185" s="2">
        <v>1178.5000327741727</v>
      </c>
      <c r="D185" s="2">
        <v>577.9985305853188</v>
      </c>
      <c r="E185" s="2">
        <v>172.84357307478786</v>
      </c>
      <c r="F185" s="2">
        <v>8.6590587929822505</v>
      </c>
      <c r="G185" s="2">
        <v>0.8441891769459472</v>
      </c>
      <c r="H185" s="2">
        <v>40</v>
      </c>
      <c r="I185" s="2">
        <v>25</v>
      </c>
      <c r="J185" s="2">
        <f>(IF(A185='Hybrid Calculator'!$B$6,0,1))^2+((B185-'Hybrid Calculator'!$B$7)/1500)^2+((C185-'Hybrid Calculator'!$B$8)/1300)^2+((D185-'Hybrid Calculator'!$B$9)/800)^2+((E185-'Hybrid Calculator'!$B$10)/350)^2+((F185-'Hybrid Calculator'!$B$11)/30)^2+(G185-'Hybrid Calculator'!$B$12)^2+((H185-'Hybrid Calculator'!$E$14)/IF(A185="Lightning",100,30000))^2+((I185-'Hybrid Calculator'!$E$17)/IF(A185="Lightning",100,30000))^2</f>
        <v>0.19763437537541834</v>
      </c>
      <c r="K185" s="2">
        <f t="shared" si="8"/>
        <v>442</v>
      </c>
      <c r="L185" s="2">
        <f t="shared" si="9"/>
        <v>0</v>
      </c>
      <c r="M185" s="2">
        <f t="shared" si="10"/>
        <v>0</v>
      </c>
      <c r="N185" s="2">
        <v>2.1446154216322233E-2</v>
      </c>
      <c r="O185" s="2">
        <f t="shared" si="11"/>
        <v>0</v>
      </c>
      <c r="P185" s="2">
        <v>0.12740779966018323</v>
      </c>
      <c r="Q185" s="2">
        <v>-3.3366162508723392</v>
      </c>
    </row>
    <row r="186" spans="1:17" ht="15">
      <c r="A186" s="2" t="s">
        <v>13</v>
      </c>
      <c r="B186" s="2">
        <v>1357.8181519405916</v>
      </c>
      <c r="C186" s="2">
        <v>1227.3328065988608</v>
      </c>
      <c r="D186" s="2">
        <v>715.13732373714447</v>
      </c>
      <c r="E186" s="2">
        <v>266.38797471066937</v>
      </c>
      <c r="F186" s="2">
        <v>8.2307597724720836</v>
      </c>
      <c r="G186" s="2">
        <v>0.83010290294652811</v>
      </c>
      <c r="H186" s="2">
        <v>35</v>
      </c>
      <c r="I186" s="2">
        <v>25</v>
      </c>
      <c r="J186" s="2">
        <f>(IF(A186='Hybrid Calculator'!$B$6,0,1))^2+((B186-'Hybrid Calculator'!$B$7)/1500)^2+((C186-'Hybrid Calculator'!$B$8)/1300)^2+((D186-'Hybrid Calculator'!$B$9)/800)^2+((E186-'Hybrid Calculator'!$B$10)/350)^2+((F186-'Hybrid Calculator'!$B$11)/30)^2+(G186-'Hybrid Calculator'!$B$12)^2+((H186-'Hybrid Calculator'!$E$14)/IF(A186="Lightning",100,30000))^2+((I186-'Hybrid Calculator'!$E$17)/IF(A186="Lightning",100,30000))^2</f>
        <v>0.40893110473320632</v>
      </c>
      <c r="K186" s="2">
        <f t="shared" si="8"/>
        <v>690</v>
      </c>
      <c r="L186" s="2">
        <f t="shared" si="9"/>
        <v>0</v>
      </c>
      <c r="M186" s="2">
        <f t="shared" si="10"/>
        <v>0</v>
      </c>
      <c r="N186" s="2">
        <v>1.3522975107397084E-2</v>
      </c>
      <c r="O186" s="2">
        <f t="shared" si="11"/>
        <v>0</v>
      </c>
      <c r="P186" s="2">
        <v>1.970829516285022E-2</v>
      </c>
      <c r="Q186" s="2">
        <v>-7.2752290052806075</v>
      </c>
    </row>
    <row r="187" spans="1:17" ht="15">
      <c r="A187" s="2" t="s">
        <v>13</v>
      </c>
      <c r="B187" s="2">
        <v>1386.7213641176932</v>
      </c>
      <c r="C187" s="2">
        <v>660.74552955105901</v>
      </c>
      <c r="D187" s="2">
        <v>692.16625159606338</v>
      </c>
      <c r="E187" s="2">
        <v>313.97820407990366</v>
      </c>
      <c r="F187" s="2">
        <v>19.366352347191423</v>
      </c>
      <c r="G187" s="2">
        <v>0.79265428611077371</v>
      </c>
      <c r="H187" s="2">
        <v>45</v>
      </c>
      <c r="I187" s="2">
        <v>25</v>
      </c>
      <c r="J187" s="2">
        <f>(IF(A187='Hybrid Calculator'!$B$6,0,1))^2+((B187-'Hybrid Calculator'!$B$7)/1500)^2+((C187-'Hybrid Calculator'!$B$8)/1300)^2+((D187-'Hybrid Calculator'!$B$9)/800)^2+((E187-'Hybrid Calculator'!$B$10)/350)^2+((F187-'Hybrid Calculator'!$B$11)/30)^2+(G187-'Hybrid Calculator'!$B$12)^2+((H187-'Hybrid Calculator'!$E$14)/IF(A187="Lightning",100,30000))^2+((I187-'Hybrid Calculator'!$E$17)/IF(A187="Lightning",100,30000))^2</f>
        <v>0.30312723848169648</v>
      </c>
      <c r="K187" s="2">
        <f t="shared" si="8"/>
        <v>600</v>
      </c>
      <c r="L187" s="2">
        <f t="shared" si="9"/>
        <v>0</v>
      </c>
      <c r="M187" s="2">
        <f t="shared" si="10"/>
        <v>0</v>
      </c>
      <c r="N187" s="2">
        <v>-3.4037408206069042E-3</v>
      </c>
      <c r="O187" s="2">
        <f t="shared" si="11"/>
        <v>0</v>
      </c>
      <c r="P187" s="2">
        <v>-0.25663035021641889</v>
      </c>
      <c r="Q187" s="2">
        <v>-2.6329771232317398</v>
      </c>
    </row>
    <row r="188" spans="1:17" ht="15">
      <c r="A188" s="2" t="s">
        <v>13</v>
      </c>
      <c r="B188" s="2">
        <v>1403.1066449359059</v>
      </c>
      <c r="C188" s="2">
        <v>1135.4792505851947</v>
      </c>
      <c r="D188" s="2">
        <v>598.01507908850908</v>
      </c>
      <c r="E188" s="2">
        <v>201.21686857426539</v>
      </c>
      <c r="F188" s="2">
        <v>13.911890363320708</v>
      </c>
      <c r="G188" s="2">
        <v>0.80431977846892555</v>
      </c>
      <c r="H188" s="2">
        <v>40</v>
      </c>
      <c r="I188" s="2">
        <v>25</v>
      </c>
      <c r="J188" s="2">
        <f>(IF(A188='Hybrid Calculator'!$B$6,0,1))^2+((B188-'Hybrid Calculator'!$B$7)/1500)^2+((C188-'Hybrid Calculator'!$B$8)/1300)^2+((D188-'Hybrid Calculator'!$B$9)/800)^2+((E188-'Hybrid Calculator'!$B$10)/350)^2+((F188-'Hybrid Calculator'!$B$11)/30)^2+(G188-'Hybrid Calculator'!$B$12)^2+((H188-'Hybrid Calculator'!$E$14)/IF(A188="Lightning",100,30000))^2+((I188-'Hybrid Calculator'!$E$17)/IF(A188="Lightning",100,30000))^2</f>
        <v>0.11849701069433718</v>
      </c>
      <c r="K188" s="2">
        <f t="shared" si="8"/>
        <v>246</v>
      </c>
      <c r="L188" s="2">
        <f t="shared" si="9"/>
        <v>0</v>
      </c>
      <c r="M188" s="2">
        <f t="shared" si="10"/>
        <v>0</v>
      </c>
      <c r="N188" s="2">
        <v>5.5407105723994654E-3</v>
      </c>
      <c r="O188" s="2">
        <f t="shared" si="11"/>
        <v>0</v>
      </c>
      <c r="P188" s="2">
        <v>0.56127078958144239</v>
      </c>
      <c r="Q188" s="2">
        <v>3.9317970275221796</v>
      </c>
    </row>
    <row r="189" spans="1:17" ht="15">
      <c r="A189" s="2" t="s">
        <v>13</v>
      </c>
      <c r="B189" s="2">
        <v>1364.4779816851951</v>
      </c>
      <c r="C189" s="2">
        <v>1240.7905631000176</v>
      </c>
      <c r="D189" s="2">
        <v>605.68507025018334</v>
      </c>
      <c r="E189" s="2">
        <v>258.74085973016918</v>
      </c>
      <c r="F189" s="2">
        <v>24.593223069328815</v>
      </c>
      <c r="G189" s="2">
        <v>0.80852763165254149</v>
      </c>
      <c r="H189" s="2">
        <v>35</v>
      </c>
      <c r="I189" s="2">
        <v>25</v>
      </c>
      <c r="J189" s="2">
        <f>(IF(A189='Hybrid Calculator'!$B$6,0,1))^2+((B189-'Hybrid Calculator'!$B$7)/1500)^2+((C189-'Hybrid Calculator'!$B$8)/1300)^2+((D189-'Hybrid Calculator'!$B$9)/800)^2+((E189-'Hybrid Calculator'!$B$10)/350)^2+((F189-'Hybrid Calculator'!$B$11)/30)^2+(G189-'Hybrid Calculator'!$B$12)^2+((H189-'Hybrid Calculator'!$E$14)/IF(A189="Lightning",100,30000))^2+((I189-'Hybrid Calculator'!$E$17)/IF(A189="Lightning",100,30000))^2</f>
        <v>0.26985667670916991</v>
      </c>
      <c r="K189" s="2">
        <f t="shared" si="8"/>
        <v>573</v>
      </c>
      <c r="L189" s="2">
        <f t="shared" si="9"/>
        <v>0</v>
      </c>
      <c r="M189" s="2">
        <f t="shared" si="10"/>
        <v>0</v>
      </c>
      <c r="N189" s="2">
        <v>5.3612463935659438E-3</v>
      </c>
      <c r="O189" s="2">
        <f t="shared" si="11"/>
        <v>0</v>
      </c>
      <c r="P189" s="2">
        <v>1.8267595600713591</v>
      </c>
      <c r="Q189" s="2">
        <v>-19.512072622312417</v>
      </c>
    </row>
    <row r="190" spans="1:17" ht="15">
      <c r="A190" s="2" t="s">
        <v>13</v>
      </c>
      <c r="B190" s="2">
        <v>1367.4353527603671</v>
      </c>
      <c r="C190" s="2">
        <v>885.84246585378423</v>
      </c>
      <c r="D190" s="2">
        <v>678.56581695377827</v>
      </c>
      <c r="E190" s="2">
        <v>149.30761056719348</v>
      </c>
      <c r="F190" s="2">
        <v>13.235678882338107</v>
      </c>
      <c r="G190" s="2">
        <v>0.85231628848938279</v>
      </c>
      <c r="H190" s="2">
        <v>45</v>
      </c>
      <c r="I190" s="2">
        <v>25</v>
      </c>
      <c r="J190" s="2">
        <f>(IF(A190='Hybrid Calculator'!$B$6,0,1))^2+((B190-'Hybrid Calculator'!$B$7)/1500)^2+((C190-'Hybrid Calculator'!$B$8)/1300)^2+((D190-'Hybrid Calculator'!$B$9)/800)^2+((E190-'Hybrid Calculator'!$B$10)/350)^2+((F190-'Hybrid Calculator'!$B$11)/30)^2+(G190-'Hybrid Calculator'!$B$12)^2+((H190-'Hybrid Calculator'!$E$14)/IF(A190="Lightning",100,30000))^2+((I190-'Hybrid Calculator'!$E$17)/IF(A190="Lightning",100,30000))^2</f>
        <v>8.6394967068620682E-2</v>
      </c>
      <c r="K190" s="2">
        <f t="shared" si="8"/>
        <v>158</v>
      </c>
      <c r="L190" s="2">
        <f t="shared" si="9"/>
        <v>0</v>
      </c>
      <c r="M190" s="2">
        <f t="shared" si="10"/>
        <v>0</v>
      </c>
      <c r="N190" s="2">
        <v>1.5450902936488875E-2</v>
      </c>
      <c r="O190" s="2">
        <f t="shared" si="11"/>
        <v>0</v>
      </c>
      <c r="P190" s="2">
        <v>0.52619073643346326</v>
      </c>
      <c r="Q190" s="2">
        <v>1.8817433434219311</v>
      </c>
    </row>
    <row r="191" spans="1:17" ht="15">
      <c r="A191" s="2" t="s">
        <v>13</v>
      </c>
      <c r="B191" s="2">
        <v>1379.0701540536247</v>
      </c>
      <c r="C191" s="2">
        <v>1178.8739909883589</v>
      </c>
      <c r="D191" s="2">
        <v>432.02712638303638</v>
      </c>
      <c r="E191" s="2">
        <v>265.60619547497481</v>
      </c>
      <c r="F191" s="2">
        <v>26.615517857950181</v>
      </c>
      <c r="G191" s="2">
        <v>0.828359999768436</v>
      </c>
      <c r="H191" s="2">
        <v>35</v>
      </c>
      <c r="I191" s="2">
        <v>25</v>
      </c>
      <c r="J191" s="2">
        <f>(IF(A191='Hybrid Calculator'!$B$6,0,1))^2+((B191-'Hybrid Calculator'!$B$7)/1500)^2+((C191-'Hybrid Calculator'!$B$8)/1300)^2+((D191-'Hybrid Calculator'!$B$9)/800)^2+((E191-'Hybrid Calculator'!$B$10)/350)^2+((F191-'Hybrid Calculator'!$B$11)/30)^2+(G191-'Hybrid Calculator'!$B$12)^2+((H191-'Hybrid Calculator'!$E$14)/IF(A191="Lightning",100,30000))^2+((I191-'Hybrid Calculator'!$E$17)/IF(A191="Lightning",100,30000))^2</f>
        <v>0.27700551678096763</v>
      </c>
      <c r="K191" s="2">
        <f t="shared" si="8"/>
        <v>578</v>
      </c>
      <c r="L191" s="2">
        <f t="shared" si="9"/>
        <v>0</v>
      </c>
      <c r="M191" s="2">
        <f t="shared" si="10"/>
        <v>0</v>
      </c>
      <c r="N191" s="2">
        <v>1.1753979117919533E-2</v>
      </c>
      <c r="O191" s="2">
        <f t="shared" si="11"/>
        <v>0</v>
      </c>
      <c r="P191" s="2">
        <v>0.33449165292609706</v>
      </c>
      <c r="Q191" s="2">
        <v>-23.16741734751804</v>
      </c>
    </row>
    <row r="192" spans="1:17" ht="15">
      <c r="A192" s="2" t="s">
        <v>13</v>
      </c>
      <c r="B192" s="2">
        <v>1429.4907556381077</v>
      </c>
      <c r="C192" s="2">
        <v>1186.9011073256843</v>
      </c>
      <c r="D192" s="2">
        <v>392.53259506076574</v>
      </c>
      <c r="E192" s="2">
        <v>243.88794389786199</v>
      </c>
      <c r="F192" s="2">
        <v>20.217355210334063</v>
      </c>
      <c r="G192" s="2">
        <v>0.79755674407118937</v>
      </c>
      <c r="H192" s="2">
        <v>40</v>
      </c>
      <c r="I192" s="2">
        <v>25</v>
      </c>
      <c r="J192" s="2">
        <f>(IF(A192='Hybrid Calculator'!$B$6,0,1))^2+((B192-'Hybrid Calculator'!$B$7)/1500)^2+((C192-'Hybrid Calculator'!$B$8)/1300)^2+((D192-'Hybrid Calculator'!$B$9)/800)^2+((E192-'Hybrid Calculator'!$B$10)/350)^2+((F192-'Hybrid Calculator'!$B$11)/30)^2+(G192-'Hybrid Calculator'!$B$12)^2+((H192-'Hybrid Calculator'!$E$14)/IF(A192="Lightning",100,30000))^2+((I192-'Hybrid Calculator'!$E$17)/IF(A192="Lightning",100,30000))^2</f>
        <v>0.17095526548791359</v>
      </c>
      <c r="K192" s="2">
        <f t="shared" si="8"/>
        <v>383</v>
      </c>
      <c r="L192" s="2">
        <f t="shared" si="9"/>
        <v>0</v>
      </c>
      <c r="M192" s="2">
        <f t="shared" si="10"/>
        <v>0</v>
      </c>
      <c r="N192" s="2">
        <v>4.538598302286978E-3</v>
      </c>
      <c r="O192" s="2">
        <f t="shared" si="11"/>
        <v>0</v>
      </c>
      <c r="P192" s="2">
        <v>0.19342589497487239</v>
      </c>
      <c r="Q192" s="2">
        <v>-8.514489218026938</v>
      </c>
    </row>
    <row r="193" spans="1:17" ht="15">
      <c r="A193" s="2" t="s">
        <v>13</v>
      </c>
      <c r="B193" s="2">
        <v>1431.9876739871688</v>
      </c>
      <c r="C193" s="2">
        <v>1113.2993151200935</v>
      </c>
      <c r="D193" s="2">
        <v>378.27351139858365</v>
      </c>
      <c r="E193" s="2">
        <v>118.11744786798954</v>
      </c>
      <c r="F193" s="2">
        <v>8.3457923480309546</v>
      </c>
      <c r="G193" s="2">
        <v>0.85745964154135446</v>
      </c>
      <c r="H193" s="2">
        <v>50</v>
      </c>
      <c r="I193" s="2">
        <v>25</v>
      </c>
      <c r="J193" s="2">
        <f>(IF(A193='Hybrid Calculator'!$B$6,0,1))^2+((B193-'Hybrid Calculator'!$B$7)/1500)^2+((C193-'Hybrid Calculator'!$B$8)/1300)^2+((D193-'Hybrid Calculator'!$B$9)/800)^2+((E193-'Hybrid Calculator'!$B$10)/350)^2+((F193-'Hybrid Calculator'!$B$11)/30)^2+(G193-'Hybrid Calculator'!$B$12)^2+((H193-'Hybrid Calculator'!$E$14)/IF(A193="Lightning",100,30000))^2+((I193-'Hybrid Calculator'!$E$17)/IF(A193="Lightning",100,30000))^2</f>
        <v>0.18846093736020555</v>
      </c>
      <c r="K193" s="2">
        <f t="shared" si="8"/>
        <v>422</v>
      </c>
      <c r="L193" s="2">
        <f t="shared" si="9"/>
        <v>0</v>
      </c>
      <c r="M193" s="2">
        <f t="shared" si="10"/>
        <v>0</v>
      </c>
      <c r="N193" s="2">
        <v>-5.0424341038057818E-4</v>
      </c>
      <c r="O193" s="2">
        <f t="shared" si="11"/>
        <v>0</v>
      </c>
      <c r="P193" s="2">
        <v>0.22311991619395855</v>
      </c>
      <c r="Q193" s="2">
        <v>-0.39572388182614304</v>
      </c>
    </row>
    <row r="194" spans="1:17" ht="15">
      <c r="A194" s="2" t="s">
        <v>13</v>
      </c>
      <c r="B194" s="2">
        <v>1439.5549906650558</v>
      </c>
      <c r="C194" s="2">
        <v>627.07010778831318</v>
      </c>
      <c r="D194" s="2">
        <v>580.52955344319344</v>
      </c>
      <c r="E194" s="2">
        <v>267.10763793205842</v>
      </c>
      <c r="F194" s="2">
        <v>21.204035042785108</v>
      </c>
      <c r="G194" s="2">
        <v>0.82698255045106639</v>
      </c>
      <c r="H194" s="2">
        <v>50</v>
      </c>
      <c r="I194" s="2">
        <v>25</v>
      </c>
      <c r="J194" s="2">
        <f>(IF(A194='Hybrid Calculator'!$B$6,0,1))^2+((B194-'Hybrid Calculator'!$B$7)/1500)^2+((C194-'Hybrid Calculator'!$B$8)/1300)^2+((D194-'Hybrid Calculator'!$B$9)/800)^2+((E194-'Hybrid Calculator'!$B$10)/350)^2+((F194-'Hybrid Calculator'!$B$11)/30)^2+(G194-'Hybrid Calculator'!$B$12)^2+((H194-'Hybrid Calculator'!$E$14)/IF(A194="Lightning",100,30000))^2+((I194-'Hybrid Calculator'!$E$17)/IF(A194="Lightning",100,30000))^2</f>
        <v>0.15975955409117784</v>
      </c>
      <c r="K194" s="2">
        <f t="shared" ref="K194:K257" si="12">RANK(J194,$J$2:$J$1401,1)</f>
        <v>354</v>
      </c>
      <c r="L194" s="2">
        <f t="shared" ref="L194:L257" si="13">IF(K194&lt;=7,1,0)</f>
        <v>0</v>
      </c>
      <c r="M194" s="2">
        <f t="shared" ref="M194:M257" si="14">IF(L194=1,1/(J194+0.000001),0)</f>
        <v>0</v>
      </c>
      <c r="N194" s="2">
        <v>-1.4415289346672022E-3</v>
      </c>
      <c r="O194" s="2">
        <f t="shared" ref="O194:O257" si="15">M194</f>
        <v>0</v>
      </c>
      <c r="P194" s="2">
        <v>-1.5176282843140001</v>
      </c>
      <c r="Q194" s="2">
        <v>5.6148544514301193</v>
      </c>
    </row>
    <row r="195" spans="1:17" ht="15">
      <c r="A195" s="2" t="s">
        <v>13</v>
      </c>
      <c r="B195" s="2">
        <v>1356.963431078475</v>
      </c>
      <c r="C195" s="2">
        <v>775.61307605355978</v>
      </c>
      <c r="D195" s="2">
        <v>570.83829781040549</v>
      </c>
      <c r="E195" s="2">
        <v>181.30628396291286</v>
      </c>
      <c r="F195" s="2">
        <v>21.317071744706482</v>
      </c>
      <c r="G195" s="2">
        <v>0.85376157759688798</v>
      </c>
      <c r="H195" s="2">
        <v>55</v>
      </c>
      <c r="I195" s="2">
        <v>25</v>
      </c>
      <c r="J195" s="2">
        <f>(IF(A195='Hybrid Calculator'!$B$6,0,1))^2+((B195-'Hybrid Calculator'!$B$7)/1500)^2+((C195-'Hybrid Calculator'!$B$8)/1300)^2+((D195-'Hybrid Calculator'!$B$9)/800)^2+((E195-'Hybrid Calculator'!$B$10)/350)^2+((F195-'Hybrid Calculator'!$B$11)/30)^2+(G195-'Hybrid Calculator'!$B$12)^2+((H195-'Hybrid Calculator'!$E$14)/IF(A195="Lightning",100,30000))^2+((I195-'Hybrid Calculator'!$E$17)/IF(A195="Lightning",100,30000))^2</f>
        <v>3.3630441704945516E-2</v>
      </c>
      <c r="K195" s="2">
        <f t="shared" si="12"/>
        <v>27</v>
      </c>
      <c r="L195" s="2">
        <f t="shared" si="13"/>
        <v>0</v>
      </c>
      <c r="M195" s="2">
        <f t="shared" si="14"/>
        <v>0</v>
      </c>
      <c r="N195" s="2">
        <v>-1.0865990654151059E-2</v>
      </c>
      <c r="O195" s="2">
        <f t="shared" si="15"/>
        <v>0</v>
      </c>
      <c r="P195" s="2">
        <v>-0.36471992579159718</v>
      </c>
      <c r="Q195" s="2">
        <v>8.0691883973438507</v>
      </c>
    </row>
    <row r="196" spans="1:17" ht="15">
      <c r="A196" s="2" t="s">
        <v>13</v>
      </c>
      <c r="B196" s="2">
        <v>1423.0759316124022</v>
      </c>
      <c r="C196" s="2">
        <v>1035.4017620324157</v>
      </c>
      <c r="D196" s="2">
        <v>517.0099625363946</v>
      </c>
      <c r="E196" s="2">
        <v>300.19880084553733</v>
      </c>
      <c r="F196" s="2">
        <v>27.18350818939507</v>
      </c>
      <c r="G196" s="2">
        <v>0.84778960800962522</v>
      </c>
      <c r="H196" s="2">
        <v>35</v>
      </c>
      <c r="I196" s="2">
        <v>25</v>
      </c>
      <c r="J196" s="2">
        <f>(IF(A196='Hybrid Calculator'!$B$6,0,1))^2+((B196-'Hybrid Calculator'!$B$7)/1500)^2+((C196-'Hybrid Calculator'!$B$8)/1300)^2+((D196-'Hybrid Calculator'!$B$9)/800)^2+((E196-'Hybrid Calculator'!$B$10)/350)^2+((F196-'Hybrid Calculator'!$B$11)/30)^2+(G196-'Hybrid Calculator'!$B$12)^2+((H196-'Hybrid Calculator'!$E$14)/IF(A196="Lightning",100,30000))^2+((I196-'Hybrid Calculator'!$E$17)/IF(A196="Lightning",100,30000))^2</f>
        <v>0.31200764587039553</v>
      </c>
      <c r="K196" s="2">
        <f t="shared" si="12"/>
        <v>612</v>
      </c>
      <c r="L196" s="2">
        <f t="shared" si="13"/>
        <v>0</v>
      </c>
      <c r="M196" s="2">
        <f t="shared" si="14"/>
        <v>0</v>
      </c>
      <c r="N196" s="2">
        <v>-7.2459449871080661E-3</v>
      </c>
      <c r="O196" s="2">
        <f t="shared" si="15"/>
        <v>0</v>
      </c>
      <c r="P196" s="2">
        <v>0.64905050555856292</v>
      </c>
      <c r="Q196" s="2">
        <v>-23.317574016811022</v>
      </c>
    </row>
    <row r="197" spans="1:17" ht="15">
      <c r="A197" s="2" t="s">
        <v>13</v>
      </c>
      <c r="B197" s="2">
        <v>1387.5239755609073</v>
      </c>
      <c r="C197" s="2">
        <v>950.26643213350326</v>
      </c>
      <c r="D197" s="2">
        <v>433.93304729834199</v>
      </c>
      <c r="E197" s="2">
        <v>298.73841364867985</v>
      </c>
      <c r="F197" s="2">
        <v>18.295609459746629</v>
      </c>
      <c r="G197" s="2">
        <v>0.81713925505522644</v>
      </c>
      <c r="H197" s="2">
        <v>45</v>
      </c>
      <c r="I197" s="2">
        <v>25</v>
      </c>
      <c r="J197" s="2">
        <f>(IF(A197='Hybrid Calculator'!$B$6,0,1))^2+((B197-'Hybrid Calculator'!$B$7)/1500)^2+((C197-'Hybrid Calculator'!$B$8)/1300)^2+((D197-'Hybrid Calculator'!$B$9)/800)^2+((E197-'Hybrid Calculator'!$B$10)/350)^2+((F197-'Hybrid Calculator'!$B$11)/30)^2+(G197-'Hybrid Calculator'!$B$12)^2+((H197-'Hybrid Calculator'!$E$14)/IF(A197="Lightning",100,30000))^2+((I197-'Hybrid Calculator'!$E$17)/IF(A197="Lightning",100,30000))^2</f>
        <v>0.19654446315601842</v>
      </c>
      <c r="K197" s="2">
        <f t="shared" si="12"/>
        <v>437</v>
      </c>
      <c r="L197" s="2">
        <f t="shared" si="13"/>
        <v>0</v>
      </c>
      <c r="M197" s="2">
        <f t="shared" si="14"/>
        <v>0</v>
      </c>
      <c r="N197" s="2">
        <v>6.2636241458287056E-3</v>
      </c>
      <c r="O197" s="2">
        <f t="shared" si="15"/>
        <v>0</v>
      </c>
      <c r="P197" s="2">
        <v>-0.16508670814572213</v>
      </c>
      <c r="Q197" s="2">
        <v>-3.0600371691373311</v>
      </c>
    </row>
    <row r="198" spans="1:17" ht="15">
      <c r="A198" s="2" t="s">
        <v>13</v>
      </c>
      <c r="B198" s="2">
        <v>1470.3834816813469</v>
      </c>
      <c r="C198" s="2">
        <v>1034.4419727451168</v>
      </c>
      <c r="D198" s="2">
        <v>582.69399870187044</v>
      </c>
      <c r="E198" s="2">
        <v>250.38526252144948</v>
      </c>
      <c r="F198" s="2">
        <v>15.754164783284068</v>
      </c>
      <c r="G198" s="2">
        <v>0.79741169964196168</v>
      </c>
      <c r="H198" s="2">
        <v>35</v>
      </c>
      <c r="I198" s="2">
        <v>25</v>
      </c>
      <c r="J198" s="2">
        <f>(IF(A198='Hybrid Calculator'!$B$6,0,1))^2+((B198-'Hybrid Calculator'!$B$7)/1500)^2+((C198-'Hybrid Calculator'!$B$8)/1300)^2+((D198-'Hybrid Calculator'!$B$9)/800)^2+((E198-'Hybrid Calculator'!$B$10)/350)^2+((F198-'Hybrid Calculator'!$B$11)/30)^2+(G198-'Hybrid Calculator'!$B$12)^2+((H198-'Hybrid Calculator'!$E$14)/IF(A198="Lightning",100,30000))^2+((I198-'Hybrid Calculator'!$E$17)/IF(A198="Lightning",100,30000))^2</f>
        <v>0.14538017790378666</v>
      </c>
      <c r="K198" s="2">
        <f t="shared" si="12"/>
        <v>316</v>
      </c>
      <c r="L198" s="2">
        <f t="shared" si="13"/>
        <v>0</v>
      </c>
      <c r="M198" s="2">
        <f t="shared" si="14"/>
        <v>0</v>
      </c>
      <c r="N198" s="2">
        <v>9.8337551723122196E-3</v>
      </c>
      <c r="O198" s="2">
        <f t="shared" si="15"/>
        <v>0</v>
      </c>
      <c r="P198" s="2">
        <v>-0.3374081570869123</v>
      </c>
      <c r="Q198" s="2">
        <v>-2.4737480406715804</v>
      </c>
    </row>
    <row r="199" spans="1:17" ht="15">
      <c r="A199" s="2" t="s">
        <v>13</v>
      </c>
      <c r="B199" s="2">
        <v>1420.6628090352751</v>
      </c>
      <c r="C199" s="2">
        <v>1023.0184281477705</v>
      </c>
      <c r="D199" s="2">
        <v>382.34267691150308</v>
      </c>
      <c r="E199" s="2">
        <v>135.44581799767911</v>
      </c>
      <c r="F199" s="2">
        <v>8.8113230434246361</v>
      </c>
      <c r="G199" s="2">
        <v>0.79853475571144372</v>
      </c>
      <c r="H199" s="2">
        <v>50</v>
      </c>
      <c r="I199" s="2">
        <v>25</v>
      </c>
      <c r="J199" s="2">
        <f>(IF(A199='Hybrid Calculator'!$B$6,0,1))^2+((B199-'Hybrid Calculator'!$B$7)/1500)^2+((C199-'Hybrid Calculator'!$B$8)/1300)^2+((D199-'Hybrid Calculator'!$B$9)/800)^2+((E199-'Hybrid Calculator'!$B$10)/350)^2+((F199-'Hybrid Calculator'!$B$11)/30)^2+(G199-'Hybrid Calculator'!$B$12)^2+((H199-'Hybrid Calculator'!$E$14)/IF(A199="Lightning",100,30000))^2+((I199-'Hybrid Calculator'!$E$17)/IF(A199="Lightning",100,30000))^2</f>
        <v>0.14584211881128945</v>
      </c>
      <c r="K199" s="2">
        <f t="shared" si="12"/>
        <v>319</v>
      </c>
      <c r="L199" s="2">
        <f t="shared" si="13"/>
        <v>0</v>
      </c>
      <c r="M199" s="2">
        <f t="shared" si="14"/>
        <v>0</v>
      </c>
      <c r="N199" s="2">
        <v>6.5128013422051101E-3</v>
      </c>
      <c r="O199" s="2">
        <f t="shared" si="15"/>
        <v>0</v>
      </c>
      <c r="P199" s="2">
        <v>-6.9704781914481373E-5</v>
      </c>
      <c r="Q199" s="2">
        <v>9.6264017955431882</v>
      </c>
    </row>
    <row r="200" spans="1:17" ht="15">
      <c r="A200" s="2" t="s">
        <v>13</v>
      </c>
      <c r="B200" s="2">
        <v>1457.3444233043119</v>
      </c>
      <c r="C200" s="2">
        <v>866.9801582233049</v>
      </c>
      <c r="D200" s="2">
        <v>381.57589472830296</v>
      </c>
      <c r="E200" s="2">
        <v>180.3748860093765</v>
      </c>
      <c r="F200" s="2">
        <v>13.82135405484587</v>
      </c>
      <c r="G200" s="2">
        <v>0.80448248366592456</v>
      </c>
      <c r="H200" s="2">
        <v>50</v>
      </c>
      <c r="I200" s="2">
        <v>25</v>
      </c>
      <c r="J200" s="2">
        <f>(IF(A200='Hybrid Calculator'!$B$6,0,1))^2+((B200-'Hybrid Calculator'!$B$7)/1500)^2+((C200-'Hybrid Calculator'!$B$8)/1300)^2+((D200-'Hybrid Calculator'!$B$9)/800)^2+((E200-'Hybrid Calculator'!$B$10)/350)^2+((F200-'Hybrid Calculator'!$B$11)/30)^2+(G200-'Hybrid Calculator'!$B$12)^2+((H200-'Hybrid Calculator'!$E$14)/IF(A200="Lightning",100,30000))^2+((I200-'Hybrid Calculator'!$E$17)/IF(A200="Lightning",100,30000))^2</f>
        <v>5.4642904442941793E-2</v>
      </c>
      <c r="K200" s="2">
        <f t="shared" si="12"/>
        <v>66</v>
      </c>
      <c r="L200" s="2">
        <f t="shared" si="13"/>
        <v>0</v>
      </c>
      <c r="M200" s="2">
        <f t="shared" si="14"/>
        <v>0</v>
      </c>
      <c r="N200" s="2">
        <v>-7.8359910518563947E-3</v>
      </c>
      <c r="O200" s="2">
        <f t="shared" si="15"/>
        <v>0</v>
      </c>
      <c r="P200" s="2">
        <v>0.34457401159344414</v>
      </c>
      <c r="Q200" s="2">
        <v>18.036660835666453</v>
      </c>
    </row>
    <row r="201" spans="1:17" ht="15">
      <c r="A201" s="2" t="s">
        <v>13</v>
      </c>
      <c r="B201" s="2">
        <v>1399.2325790575705</v>
      </c>
      <c r="C201" s="2">
        <v>1224.2859936784953</v>
      </c>
      <c r="D201" s="2">
        <v>594.35192598029971</v>
      </c>
      <c r="E201" s="2">
        <v>320.0122171966359</v>
      </c>
      <c r="F201" s="2">
        <v>20.746467675548047</v>
      </c>
      <c r="G201" s="2">
        <v>0.85141270868480212</v>
      </c>
      <c r="H201" s="2">
        <v>35</v>
      </c>
      <c r="I201" s="2">
        <v>25</v>
      </c>
      <c r="J201" s="2">
        <f>(IF(A201='Hybrid Calculator'!$B$6,0,1))^2+((B201-'Hybrid Calculator'!$B$7)/1500)^2+((C201-'Hybrid Calculator'!$B$8)/1300)^2+((D201-'Hybrid Calculator'!$B$9)/800)^2+((E201-'Hybrid Calculator'!$B$10)/350)^2+((F201-'Hybrid Calculator'!$B$11)/30)^2+(G201-'Hybrid Calculator'!$B$12)^2+((H201-'Hybrid Calculator'!$E$14)/IF(A201="Lightning",100,30000))^2+((I201-'Hybrid Calculator'!$E$17)/IF(A201="Lightning",100,30000))^2</f>
        <v>0.36214479724895021</v>
      </c>
      <c r="K201" s="2">
        <f t="shared" si="12"/>
        <v>659</v>
      </c>
      <c r="L201" s="2">
        <f t="shared" si="13"/>
        <v>0</v>
      </c>
      <c r="M201" s="2">
        <f t="shared" si="14"/>
        <v>0</v>
      </c>
      <c r="N201" s="2">
        <v>1.3505573659007286E-2</v>
      </c>
      <c r="O201" s="2">
        <f t="shared" si="15"/>
        <v>0</v>
      </c>
      <c r="P201" s="2">
        <v>1.4303582540786053</v>
      </c>
      <c r="Q201" s="2">
        <v>-12.365336002003687</v>
      </c>
    </row>
    <row r="202" spans="1:17" ht="15">
      <c r="A202" s="2" t="s">
        <v>13</v>
      </c>
      <c r="B202" s="2">
        <v>1454.4099777471274</v>
      </c>
      <c r="C202" s="2">
        <v>832.35217713518068</v>
      </c>
      <c r="D202" s="2">
        <v>541.44007321447134</v>
      </c>
      <c r="E202" s="2">
        <v>131.43406690331176</v>
      </c>
      <c r="F202" s="2">
        <v>16.732172083109617</v>
      </c>
      <c r="G202" s="2">
        <v>0.81523224275792017</v>
      </c>
      <c r="H202" s="2">
        <v>50</v>
      </c>
      <c r="I202" s="2">
        <v>25</v>
      </c>
      <c r="J202" s="2">
        <f>(IF(A202='Hybrid Calculator'!$B$6,0,1))^2+((B202-'Hybrid Calculator'!$B$7)/1500)^2+((C202-'Hybrid Calculator'!$B$8)/1300)^2+((D202-'Hybrid Calculator'!$B$9)/800)^2+((E202-'Hybrid Calculator'!$B$10)/350)^2+((F202-'Hybrid Calculator'!$B$11)/30)^2+(G202-'Hybrid Calculator'!$B$12)^2+((H202-'Hybrid Calculator'!$E$14)/IF(A202="Lightning",100,30000))^2+((I202-'Hybrid Calculator'!$E$17)/IF(A202="Lightning",100,30000))^2</f>
        <v>9.5609783941683936E-3</v>
      </c>
      <c r="K202" s="2">
        <f t="shared" si="12"/>
        <v>3</v>
      </c>
      <c r="L202" s="2">
        <f t="shared" si="13"/>
        <v>1</v>
      </c>
      <c r="M202" s="2">
        <f t="shared" si="14"/>
        <v>104.58086797287416</v>
      </c>
      <c r="N202" s="2">
        <v>1.0509090599139626E-2</v>
      </c>
      <c r="O202" s="2">
        <f t="shared" si="15"/>
        <v>104.58086797287416</v>
      </c>
      <c r="P202" s="2">
        <v>-1.0622626781061442</v>
      </c>
      <c r="Q202" s="2">
        <v>4.1693828353591016</v>
      </c>
    </row>
    <row r="203" spans="1:17" ht="15">
      <c r="A203" s="2" t="s">
        <v>13</v>
      </c>
      <c r="B203" s="2">
        <v>1442.5447017070837</v>
      </c>
      <c r="C203" s="2">
        <v>838.41644439380616</v>
      </c>
      <c r="D203" s="2">
        <v>710.33771233633161</v>
      </c>
      <c r="E203" s="2">
        <v>95.658638440072536</v>
      </c>
      <c r="F203" s="2">
        <v>8.3666480355896056</v>
      </c>
      <c r="G203" s="2">
        <v>0.8536838846979663</v>
      </c>
      <c r="H203" s="2">
        <v>45</v>
      </c>
      <c r="I203" s="2">
        <v>25</v>
      </c>
      <c r="J203" s="2">
        <f>(IF(A203='Hybrid Calculator'!$B$6,0,1))^2+((B203-'Hybrid Calculator'!$B$7)/1500)^2+((C203-'Hybrid Calculator'!$B$8)/1300)^2+((D203-'Hybrid Calculator'!$B$9)/800)^2+((E203-'Hybrid Calculator'!$B$10)/350)^2+((F203-'Hybrid Calculator'!$B$11)/30)^2+(G203-'Hybrid Calculator'!$B$12)^2+((H203-'Hybrid Calculator'!$E$14)/IF(A203="Lightning",100,30000))^2+((I203-'Hybrid Calculator'!$E$17)/IF(A203="Lightning",100,30000))^2</f>
        <v>0.21117909416913452</v>
      </c>
      <c r="K203" s="2">
        <f t="shared" si="12"/>
        <v>469</v>
      </c>
      <c r="L203" s="2">
        <f t="shared" si="13"/>
        <v>0</v>
      </c>
      <c r="M203" s="2">
        <f t="shared" si="14"/>
        <v>0</v>
      </c>
      <c r="N203" s="2">
        <v>1.4083751807977718E-2</v>
      </c>
      <c r="O203" s="2">
        <f t="shared" si="15"/>
        <v>0</v>
      </c>
      <c r="P203" s="2">
        <v>0.12827452047520183</v>
      </c>
      <c r="Q203" s="2">
        <v>9.782825731266712</v>
      </c>
    </row>
    <row r="204" spans="1:17" ht="15">
      <c r="A204" s="2" t="s">
        <v>13</v>
      </c>
      <c r="B204" s="2">
        <v>1392.786030122079</v>
      </c>
      <c r="C204" s="2">
        <v>1042.8629807312973</v>
      </c>
      <c r="D204" s="2">
        <v>415.50519689917564</v>
      </c>
      <c r="E204" s="2">
        <v>287.68486842280254</v>
      </c>
      <c r="F204" s="2">
        <v>26.887304357253015</v>
      </c>
      <c r="G204" s="2">
        <v>0.85834148356458173</v>
      </c>
      <c r="H204" s="2">
        <v>40</v>
      </c>
      <c r="I204" s="2">
        <v>25</v>
      </c>
      <c r="J204" s="2">
        <f>(IF(A204='Hybrid Calculator'!$B$6,0,1))^2+((B204-'Hybrid Calculator'!$B$7)/1500)^2+((C204-'Hybrid Calculator'!$B$8)/1300)^2+((D204-'Hybrid Calculator'!$B$9)/800)^2+((E204-'Hybrid Calculator'!$B$10)/350)^2+((F204-'Hybrid Calculator'!$B$11)/30)^2+(G204-'Hybrid Calculator'!$B$12)^2+((H204-'Hybrid Calculator'!$E$14)/IF(A204="Lightning",100,30000))^2+((I204-'Hybrid Calculator'!$E$17)/IF(A204="Lightning",100,30000))^2</f>
        <v>0.27801131760884729</v>
      </c>
      <c r="K204" s="2">
        <f t="shared" si="12"/>
        <v>579</v>
      </c>
      <c r="L204" s="2">
        <f t="shared" si="13"/>
        <v>0</v>
      </c>
      <c r="M204" s="2">
        <f t="shared" si="14"/>
        <v>0</v>
      </c>
      <c r="N204" s="2">
        <v>-2.3329179716358173E-3</v>
      </c>
      <c r="O204" s="2">
        <f t="shared" si="15"/>
        <v>0</v>
      </c>
      <c r="P204" s="2">
        <v>0.2642675344704557</v>
      </c>
      <c r="Q204" s="2">
        <v>-11.992217692770964</v>
      </c>
    </row>
    <row r="205" spans="1:17" ht="15">
      <c r="A205" s="2" t="s">
        <v>13</v>
      </c>
      <c r="B205" s="2">
        <v>1383.0906687187962</v>
      </c>
      <c r="C205" s="2">
        <v>1166.6238509118557</v>
      </c>
      <c r="D205" s="2">
        <v>730.85122397169471</v>
      </c>
      <c r="E205" s="2">
        <v>128.75542141962796</v>
      </c>
      <c r="F205" s="2">
        <v>23.563283951487392</v>
      </c>
      <c r="G205" s="2">
        <v>0.84858632485382257</v>
      </c>
      <c r="H205" s="2">
        <v>35</v>
      </c>
      <c r="I205" s="2">
        <v>25</v>
      </c>
      <c r="J205" s="2">
        <f>(IF(A205='Hybrid Calculator'!$B$6,0,1))^2+((B205-'Hybrid Calculator'!$B$7)/1500)^2+((C205-'Hybrid Calculator'!$B$8)/1300)^2+((D205-'Hybrid Calculator'!$B$9)/800)^2+((E205-'Hybrid Calculator'!$B$10)/350)^2+((F205-'Hybrid Calculator'!$B$11)/30)^2+(G205-'Hybrid Calculator'!$B$12)^2+((H205-'Hybrid Calculator'!$E$14)/IF(A205="Lightning",100,30000))^2+((I205-'Hybrid Calculator'!$E$17)/IF(A205="Lightning",100,30000))^2</f>
        <v>0.19885664142734799</v>
      </c>
      <c r="K205" s="2">
        <f t="shared" si="12"/>
        <v>444</v>
      </c>
      <c r="L205" s="2">
        <f t="shared" si="13"/>
        <v>0</v>
      </c>
      <c r="M205" s="2">
        <f t="shared" si="14"/>
        <v>0</v>
      </c>
      <c r="N205" s="2">
        <v>-2.1249846363891045E-4</v>
      </c>
      <c r="O205" s="2">
        <f t="shared" si="15"/>
        <v>0</v>
      </c>
      <c r="P205" s="2">
        <v>-0.10781724400564485</v>
      </c>
      <c r="Q205" s="2">
        <v>-10.743888659927052</v>
      </c>
    </row>
    <row r="206" spans="1:17" ht="15">
      <c r="A206" s="2" t="s">
        <v>13</v>
      </c>
      <c r="B206" s="2">
        <v>1420.2924138866365</v>
      </c>
      <c r="C206" s="2">
        <v>884.41768133779988</v>
      </c>
      <c r="D206" s="2">
        <v>438.90645150095224</v>
      </c>
      <c r="E206" s="2">
        <v>271.00738229462877</v>
      </c>
      <c r="F206" s="2">
        <v>18.738724494352937</v>
      </c>
      <c r="G206" s="2">
        <v>0.83003509435104206</v>
      </c>
      <c r="H206" s="2">
        <v>45</v>
      </c>
      <c r="I206" s="2">
        <v>25</v>
      </c>
      <c r="J206" s="2">
        <f>(IF(A206='Hybrid Calculator'!$B$6,0,1))^2+((B206-'Hybrid Calculator'!$B$7)/1500)^2+((C206-'Hybrid Calculator'!$B$8)/1300)^2+((D206-'Hybrid Calculator'!$B$9)/800)^2+((E206-'Hybrid Calculator'!$B$10)/350)^2+((F206-'Hybrid Calculator'!$B$11)/30)^2+(G206-'Hybrid Calculator'!$B$12)^2+((H206-'Hybrid Calculator'!$E$14)/IF(A206="Lightning",100,30000))^2+((I206-'Hybrid Calculator'!$E$17)/IF(A206="Lightning",100,30000))^2</f>
        <v>0.12873966761089975</v>
      </c>
      <c r="K206" s="2">
        <f t="shared" si="12"/>
        <v>273</v>
      </c>
      <c r="L206" s="2">
        <f t="shared" si="13"/>
        <v>0</v>
      </c>
      <c r="M206" s="2">
        <f t="shared" si="14"/>
        <v>0</v>
      </c>
      <c r="N206" s="2">
        <v>9.5898624094215013E-3</v>
      </c>
      <c r="O206" s="2">
        <f t="shared" si="15"/>
        <v>0</v>
      </c>
      <c r="P206" s="2">
        <v>-0.65702960781054998</v>
      </c>
      <c r="Q206" s="2">
        <v>8.706727381774499</v>
      </c>
    </row>
    <row r="207" spans="1:17" ht="15">
      <c r="A207" s="2" t="s">
        <v>13</v>
      </c>
      <c r="B207" s="2">
        <v>1392.6415638648905</v>
      </c>
      <c r="C207" s="2">
        <v>966.17707863915712</v>
      </c>
      <c r="D207" s="2">
        <v>476.31755406036973</v>
      </c>
      <c r="E207" s="2">
        <v>93.187203789129853</v>
      </c>
      <c r="F207" s="2">
        <v>29.067560323048383</v>
      </c>
      <c r="G207" s="2">
        <v>0.83467341935727746</v>
      </c>
      <c r="H207" s="2">
        <v>45</v>
      </c>
      <c r="I207" s="2">
        <v>25</v>
      </c>
      <c r="J207" s="2">
        <f>(IF(A207='Hybrid Calculator'!$B$6,0,1))^2+((B207-'Hybrid Calculator'!$B$7)/1500)^2+((C207-'Hybrid Calculator'!$B$8)/1300)^2+((D207-'Hybrid Calculator'!$B$9)/800)^2+((E207-'Hybrid Calculator'!$B$10)/350)^2+((F207-'Hybrid Calculator'!$B$11)/30)^2+(G207-'Hybrid Calculator'!$B$12)^2+((H207-'Hybrid Calculator'!$E$14)/IF(A207="Lightning",100,30000))^2+((I207-'Hybrid Calculator'!$E$17)/IF(A207="Lightning",100,30000))^2</f>
        <v>0.16247347174033216</v>
      </c>
      <c r="K207" s="2">
        <f t="shared" si="12"/>
        <v>360</v>
      </c>
      <c r="L207" s="2">
        <f t="shared" si="13"/>
        <v>0</v>
      </c>
      <c r="M207" s="2">
        <f t="shared" si="14"/>
        <v>0</v>
      </c>
      <c r="N207" s="2">
        <v>-1.2996745571272728E-2</v>
      </c>
      <c r="O207" s="2">
        <f t="shared" si="15"/>
        <v>0</v>
      </c>
      <c r="P207" s="2">
        <v>0.33682438470026455</v>
      </c>
      <c r="Q207" s="2">
        <v>-10.128245608781071</v>
      </c>
    </row>
    <row r="208" spans="1:17" ht="15">
      <c r="A208" s="2" t="s">
        <v>13</v>
      </c>
      <c r="B208" s="2">
        <v>1410.846534348093</v>
      </c>
      <c r="C208" s="2">
        <v>656.31580665940419</v>
      </c>
      <c r="D208" s="2">
        <v>424.78395514190197</v>
      </c>
      <c r="E208" s="2">
        <v>240.84985219640657</v>
      </c>
      <c r="F208" s="2">
        <v>22.013491083867848</v>
      </c>
      <c r="G208" s="2">
        <v>0.8009450426022523</v>
      </c>
      <c r="H208" s="2">
        <v>55</v>
      </c>
      <c r="I208" s="2">
        <v>25</v>
      </c>
      <c r="J208" s="2">
        <f>(IF(A208='Hybrid Calculator'!$B$6,0,1))^2+((B208-'Hybrid Calculator'!$B$7)/1500)^2+((C208-'Hybrid Calculator'!$B$8)/1300)^2+((D208-'Hybrid Calculator'!$B$9)/800)^2+((E208-'Hybrid Calculator'!$B$10)/350)^2+((F208-'Hybrid Calculator'!$B$11)/30)^2+(G208-'Hybrid Calculator'!$B$12)^2+((H208-'Hybrid Calculator'!$E$14)/IF(A208="Lightning",100,30000))^2+((I208-'Hybrid Calculator'!$E$17)/IF(A208="Lightning",100,30000))^2</f>
        <v>0.11508262178866011</v>
      </c>
      <c r="K208" s="2">
        <f t="shared" si="12"/>
        <v>239</v>
      </c>
      <c r="L208" s="2">
        <f t="shared" si="13"/>
        <v>0</v>
      </c>
      <c r="M208" s="2">
        <f t="shared" si="14"/>
        <v>0</v>
      </c>
      <c r="N208" s="2">
        <v>-6.7575143719165176E-3</v>
      </c>
      <c r="O208" s="2">
        <f t="shared" si="15"/>
        <v>0</v>
      </c>
      <c r="P208" s="2">
        <v>-0.87587071958599694</v>
      </c>
      <c r="Q208" s="2">
        <v>6.4968307067517799</v>
      </c>
    </row>
    <row r="209" spans="1:17" ht="15">
      <c r="A209" s="2" t="s">
        <v>13</v>
      </c>
      <c r="B209" s="2">
        <v>1363.6619995697401</v>
      </c>
      <c r="C209" s="2">
        <v>709.39074312336743</v>
      </c>
      <c r="D209" s="2">
        <v>707.01021878048778</v>
      </c>
      <c r="E209" s="2">
        <v>160.52673784550279</v>
      </c>
      <c r="F209" s="2">
        <v>14.804976529907435</v>
      </c>
      <c r="G209" s="2">
        <v>0.81148344410583384</v>
      </c>
      <c r="H209" s="2">
        <v>50</v>
      </c>
      <c r="I209" s="2">
        <v>25</v>
      </c>
      <c r="J209" s="2">
        <f>(IF(A209='Hybrid Calculator'!$B$6,0,1))^2+((B209-'Hybrid Calculator'!$B$7)/1500)^2+((C209-'Hybrid Calculator'!$B$8)/1300)^2+((D209-'Hybrid Calculator'!$B$9)/800)^2+((E209-'Hybrid Calculator'!$B$10)/350)^2+((F209-'Hybrid Calculator'!$B$11)/30)^2+(G209-'Hybrid Calculator'!$B$12)^2+((H209-'Hybrid Calculator'!$E$14)/IF(A209="Lightning",100,30000))^2+((I209-'Hybrid Calculator'!$E$17)/IF(A209="Lightning",100,30000))^2</f>
        <v>9.6476465054358224E-2</v>
      </c>
      <c r="K209" s="2">
        <f t="shared" si="12"/>
        <v>194</v>
      </c>
      <c r="L209" s="2">
        <f t="shared" si="13"/>
        <v>0</v>
      </c>
      <c r="M209" s="2">
        <f t="shared" si="14"/>
        <v>0</v>
      </c>
      <c r="N209" s="2">
        <v>3.6252993021148594E-3</v>
      </c>
      <c r="O209" s="2">
        <f t="shared" si="15"/>
        <v>0</v>
      </c>
      <c r="P209" s="2">
        <v>-0.91176651989091795</v>
      </c>
      <c r="Q209" s="2">
        <v>14.066591058618769</v>
      </c>
    </row>
    <row r="210" spans="1:17" ht="15">
      <c r="A210" s="2" t="s">
        <v>13</v>
      </c>
      <c r="B210" s="2">
        <v>1467.0675671193749</v>
      </c>
      <c r="C210" s="2">
        <v>936.13481799839064</v>
      </c>
      <c r="D210" s="2">
        <v>695.46027909964323</v>
      </c>
      <c r="E210" s="2">
        <v>183.43470174120739</v>
      </c>
      <c r="F210" s="2">
        <v>26.122084327042103</v>
      </c>
      <c r="G210" s="2">
        <v>0.80784352550515903</v>
      </c>
      <c r="H210" s="2">
        <v>35</v>
      </c>
      <c r="I210" s="2">
        <v>25</v>
      </c>
      <c r="J210" s="2">
        <f>(IF(A210='Hybrid Calculator'!$B$6,0,1))^2+((B210-'Hybrid Calculator'!$B$7)/1500)^2+((C210-'Hybrid Calculator'!$B$8)/1300)^2+((D210-'Hybrid Calculator'!$B$9)/800)^2+((E210-'Hybrid Calculator'!$B$10)/350)^2+((F210-'Hybrid Calculator'!$B$11)/30)^2+(G210-'Hybrid Calculator'!$B$12)^2+((H210-'Hybrid Calculator'!$E$14)/IF(A210="Lightning",100,30000))^2+((I210-'Hybrid Calculator'!$E$17)/IF(A210="Lightning",100,30000))^2</f>
        <v>0.16119608832612056</v>
      </c>
      <c r="K210" s="2">
        <f t="shared" si="12"/>
        <v>357</v>
      </c>
      <c r="L210" s="2">
        <f t="shared" si="13"/>
        <v>0</v>
      </c>
      <c r="M210" s="2">
        <f t="shared" si="14"/>
        <v>0</v>
      </c>
      <c r="N210" s="2">
        <v>-8.8934267395561761E-3</v>
      </c>
      <c r="O210" s="2">
        <f t="shared" si="15"/>
        <v>0</v>
      </c>
      <c r="P210" s="2">
        <v>0.46885650671449497</v>
      </c>
      <c r="Q210" s="2">
        <v>-16.237802084350506</v>
      </c>
    </row>
    <row r="211" spans="1:17" ht="15">
      <c r="A211" s="2" t="s">
        <v>13</v>
      </c>
      <c r="B211" s="2">
        <v>1416.4038325776346</v>
      </c>
      <c r="C211" s="2">
        <v>924.26976037677377</v>
      </c>
      <c r="D211" s="2">
        <v>643.12943490222096</v>
      </c>
      <c r="E211" s="2">
        <v>184.41113030537963</v>
      </c>
      <c r="F211" s="2">
        <v>29.620592860970646</v>
      </c>
      <c r="G211" s="2">
        <v>0.80439900816883891</v>
      </c>
      <c r="H211" s="2">
        <v>40</v>
      </c>
      <c r="I211" s="2">
        <v>25</v>
      </c>
      <c r="J211" s="2">
        <f>(IF(A211='Hybrid Calculator'!$B$6,0,1))^2+((B211-'Hybrid Calculator'!$B$7)/1500)^2+((C211-'Hybrid Calculator'!$B$8)/1300)^2+((D211-'Hybrid Calculator'!$B$9)/800)^2+((E211-'Hybrid Calculator'!$B$10)/350)^2+((F211-'Hybrid Calculator'!$B$11)/30)^2+(G211-'Hybrid Calculator'!$B$12)^2+((H211-'Hybrid Calculator'!$E$14)/IF(A211="Lightning",100,30000))^2+((I211-'Hybrid Calculator'!$E$17)/IF(A211="Lightning",100,30000))^2</f>
        <v>0.19262432860507106</v>
      </c>
      <c r="K211" s="2">
        <f t="shared" si="12"/>
        <v>433</v>
      </c>
      <c r="L211" s="2">
        <f t="shared" si="13"/>
        <v>0</v>
      </c>
      <c r="M211" s="2">
        <f t="shared" si="14"/>
        <v>0</v>
      </c>
      <c r="N211" s="2">
        <v>-8.9356202798713813E-3</v>
      </c>
      <c r="O211" s="2">
        <f t="shared" si="15"/>
        <v>0</v>
      </c>
      <c r="P211" s="2">
        <v>-0.90239695380680018</v>
      </c>
      <c r="Q211" s="2">
        <v>-20.620944268310041</v>
      </c>
    </row>
    <row r="212" spans="1:17" ht="15">
      <c r="A212" s="2" t="s">
        <v>13</v>
      </c>
      <c r="B212" s="2">
        <v>1450.4828286822885</v>
      </c>
      <c r="C212" s="2">
        <v>885.23118969751522</v>
      </c>
      <c r="D212" s="2">
        <v>534.29257776588202</v>
      </c>
      <c r="E212" s="2">
        <v>140.89558993699029</v>
      </c>
      <c r="F212" s="2">
        <v>11.595403853803873</v>
      </c>
      <c r="G212" s="2">
        <v>0.81161488093668599</v>
      </c>
      <c r="H212" s="2">
        <v>50</v>
      </c>
      <c r="I212" s="2">
        <v>25</v>
      </c>
      <c r="J212" s="2">
        <f>(IF(A212='Hybrid Calculator'!$B$6,0,1))^2+((B212-'Hybrid Calculator'!$B$7)/1500)^2+((C212-'Hybrid Calculator'!$B$8)/1300)^2+((D212-'Hybrid Calculator'!$B$9)/800)^2+((E212-'Hybrid Calculator'!$B$10)/350)^2+((F212-'Hybrid Calculator'!$B$11)/30)^2+(G212-'Hybrid Calculator'!$B$12)^2+((H212-'Hybrid Calculator'!$E$14)/IF(A212="Lightning",100,30000))^2+((I212-'Hybrid Calculator'!$E$17)/IF(A212="Lightning",100,30000))^2</f>
        <v>5.6578003960180825E-2</v>
      </c>
      <c r="K212" s="2">
        <f t="shared" si="12"/>
        <v>75</v>
      </c>
      <c r="L212" s="2">
        <f t="shared" si="13"/>
        <v>0</v>
      </c>
      <c r="M212" s="2">
        <f t="shared" si="14"/>
        <v>0</v>
      </c>
      <c r="N212" s="2">
        <v>1.5743458290136569E-2</v>
      </c>
      <c r="O212" s="2">
        <f t="shared" si="15"/>
        <v>0</v>
      </c>
      <c r="P212" s="2">
        <v>-0.52488327776161725</v>
      </c>
      <c r="Q212" s="2">
        <v>5.8065893603818495</v>
      </c>
    </row>
    <row r="213" spans="1:17" ht="15">
      <c r="A213" s="2" t="s">
        <v>13</v>
      </c>
      <c r="B213" s="2">
        <v>1389.415966544766</v>
      </c>
      <c r="C213" s="2">
        <v>1020.8668642444536</v>
      </c>
      <c r="D213" s="2">
        <v>485.78503476455808</v>
      </c>
      <c r="E213" s="2">
        <v>129.63666573166847</v>
      </c>
      <c r="F213" s="2">
        <v>10.643871883396059</v>
      </c>
      <c r="G213" s="2">
        <v>0.80285519845318054</v>
      </c>
      <c r="H213" s="2">
        <v>45</v>
      </c>
      <c r="I213" s="2">
        <v>25</v>
      </c>
      <c r="J213" s="2">
        <f>(IF(A213='Hybrid Calculator'!$B$6,0,1))^2+((B213-'Hybrid Calculator'!$B$7)/1500)^2+((C213-'Hybrid Calculator'!$B$8)/1300)^2+((D213-'Hybrid Calculator'!$B$9)/800)^2+((E213-'Hybrid Calculator'!$B$10)/350)^2+((F213-'Hybrid Calculator'!$B$11)/30)^2+(G213-'Hybrid Calculator'!$B$12)^2+((H213-'Hybrid Calculator'!$E$14)/IF(A213="Lightning",100,30000))^2+((I213-'Hybrid Calculator'!$E$17)/IF(A213="Lightning",100,30000))^2</f>
        <v>9.2909283502492654E-2</v>
      </c>
      <c r="K213" s="2">
        <f t="shared" si="12"/>
        <v>183</v>
      </c>
      <c r="L213" s="2">
        <f t="shared" si="13"/>
        <v>0</v>
      </c>
      <c r="M213" s="2">
        <f t="shared" si="14"/>
        <v>0</v>
      </c>
      <c r="N213" s="2">
        <v>-3.6446819126358942E-3</v>
      </c>
      <c r="O213" s="2">
        <f t="shared" si="15"/>
        <v>0</v>
      </c>
      <c r="P213" s="2">
        <v>0.13152373805571926</v>
      </c>
      <c r="Q213" s="2">
        <v>10.940932447509113</v>
      </c>
    </row>
    <row r="214" spans="1:17" ht="15">
      <c r="A214" s="2" t="s">
        <v>13</v>
      </c>
      <c r="B214" s="2">
        <v>1390.5047247419134</v>
      </c>
      <c r="C214" s="2">
        <v>870.23199360119179</v>
      </c>
      <c r="D214" s="2">
        <v>511.59581914544106</v>
      </c>
      <c r="E214" s="2">
        <v>314.55640900647268</v>
      </c>
      <c r="F214" s="2">
        <v>13.783227308653295</v>
      </c>
      <c r="G214" s="2">
        <v>0.82700273668160662</v>
      </c>
      <c r="H214" s="2">
        <v>45</v>
      </c>
      <c r="I214" s="2">
        <v>25</v>
      </c>
      <c r="J214" s="2">
        <f>(IF(A214='Hybrid Calculator'!$B$6,0,1))^2+((B214-'Hybrid Calculator'!$B$7)/1500)^2+((C214-'Hybrid Calculator'!$B$8)/1300)^2+((D214-'Hybrid Calculator'!$B$9)/800)^2+((E214-'Hybrid Calculator'!$B$10)/350)^2+((F214-'Hybrid Calculator'!$B$11)/30)^2+(G214-'Hybrid Calculator'!$B$12)^2+((H214-'Hybrid Calculator'!$E$14)/IF(A214="Lightning",100,30000))^2+((I214-'Hybrid Calculator'!$E$17)/IF(A214="Lightning",100,30000))^2</f>
        <v>0.2493016640388532</v>
      </c>
      <c r="K214" s="2">
        <f t="shared" si="12"/>
        <v>536</v>
      </c>
      <c r="L214" s="2">
        <f t="shared" si="13"/>
        <v>0</v>
      </c>
      <c r="M214" s="2">
        <f t="shared" si="14"/>
        <v>0</v>
      </c>
      <c r="N214" s="2">
        <v>1.1162477225896916E-2</v>
      </c>
      <c r="O214" s="2">
        <f t="shared" si="15"/>
        <v>0</v>
      </c>
      <c r="P214" s="2">
        <v>-0.78266810459962954</v>
      </c>
      <c r="Q214" s="2">
        <v>12.249393148962326</v>
      </c>
    </row>
    <row r="215" spans="1:17" ht="15">
      <c r="A215" s="2" t="s">
        <v>13</v>
      </c>
      <c r="B215" s="2">
        <v>1355.4876450332813</v>
      </c>
      <c r="C215" s="2">
        <v>1066.9566133990884</v>
      </c>
      <c r="D215" s="2">
        <v>479.45372303947806</v>
      </c>
      <c r="E215" s="2">
        <v>237.98092272598296</v>
      </c>
      <c r="F215" s="2">
        <v>8.3887364803813398</v>
      </c>
      <c r="G215" s="2">
        <v>0.79885659775696694</v>
      </c>
      <c r="H215" s="2">
        <v>45</v>
      </c>
      <c r="I215" s="2">
        <v>25</v>
      </c>
      <c r="J215" s="2">
        <f>(IF(A215='Hybrid Calculator'!$B$6,0,1))^2+((B215-'Hybrid Calculator'!$B$7)/1500)^2+((C215-'Hybrid Calculator'!$B$8)/1300)^2+((D215-'Hybrid Calculator'!$B$9)/800)^2+((E215-'Hybrid Calculator'!$B$10)/350)^2+((F215-'Hybrid Calculator'!$B$11)/30)^2+(G215-'Hybrid Calculator'!$B$12)^2+((H215-'Hybrid Calculator'!$E$14)/IF(A215="Lightning",100,30000))^2+((I215-'Hybrid Calculator'!$E$17)/IF(A215="Lightning",100,30000))^2</f>
        <v>0.21039267536229653</v>
      </c>
      <c r="K215" s="2">
        <f t="shared" si="12"/>
        <v>464</v>
      </c>
      <c r="L215" s="2">
        <f t="shared" si="13"/>
        <v>0</v>
      </c>
      <c r="M215" s="2">
        <f t="shared" si="14"/>
        <v>0</v>
      </c>
      <c r="N215" s="2">
        <v>1.4083475317224536E-2</v>
      </c>
      <c r="O215" s="2">
        <f t="shared" si="15"/>
        <v>0</v>
      </c>
      <c r="P215" s="2">
        <v>1.3932300652962439</v>
      </c>
      <c r="Q215" s="2">
        <v>9.004089296197435</v>
      </c>
    </row>
    <row r="216" spans="1:17" ht="15">
      <c r="A216" s="2" t="s">
        <v>13</v>
      </c>
      <c r="B216" s="2">
        <v>1461.2758596427739</v>
      </c>
      <c r="C216" s="2">
        <v>1187.9556977539323</v>
      </c>
      <c r="D216" s="2">
        <v>633.84495172649622</v>
      </c>
      <c r="E216" s="2">
        <v>275.43733453610912</v>
      </c>
      <c r="F216" s="2">
        <v>20.169142501428723</v>
      </c>
      <c r="G216" s="2">
        <v>0.81264081924455245</v>
      </c>
      <c r="H216" s="2">
        <v>35</v>
      </c>
      <c r="I216" s="2">
        <v>25</v>
      </c>
      <c r="J216" s="2">
        <f>(IF(A216='Hybrid Calculator'!$B$6,0,1))^2+((B216-'Hybrid Calculator'!$B$7)/1500)^2+((C216-'Hybrid Calculator'!$B$8)/1300)^2+((D216-'Hybrid Calculator'!$B$9)/800)^2+((E216-'Hybrid Calculator'!$B$10)/350)^2+((F216-'Hybrid Calculator'!$B$11)/30)^2+(G216-'Hybrid Calculator'!$B$12)^2+((H216-'Hybrid Calculator'!$E$14)/IF(A216="Lightning",100,30000))^2+((I216-'Hybrid Calculator'!$E$17)/IF(A216="Lightning",100,30000))^2</f>
        <v>0.25025335774263624</v>
      </c>
      <c r="K216" s="2">
        <f t="shared" si="12"/>
        <v>543</v>
      </c>
      <c r="L216" s="2">
        <f t="shared" si="13"/>
        <v>0</v>
      </c>
      <c r="M216" s="2">
        <f t="shared" si="14"/>
        <v>0</v>
      </c>
      <c r="N216" s="2">
        <v>1.3679115594245728E-2</v>
      </c>
      <c r="O216" s="2">
        <f t="shared" si="15"/>
        <v>0</v>
      </c>
      <c r="P216" s="2">
        <v>1.3108227875418095</v>
      </c>
      <c r="Q216" s="2">
        <v>-6.5968318509994788</v>
      </c>
    </row>
    <row r="217" spans="1:17" ht="15">
      <c r="A217" s="2" t="s">
        <v>13</v>
      </c>
      <c r="B217" s="2">
        <v>1430.2134878584184</v>
      </c>
      <c r="C217" s="2">
        <v>1212.2468290152028</v>
      </c>
      <c r="D217" s="2">
        <v>600.16043866053224</v>
      </c>
      <c r="E217" s="2">
        <v>329.11788222379982</v>
      </c>
      <c r="F217" s="2">
        <v>8.1694495980627835</v>
      </c>
      <c r="G217" s="2">
        <v>0.84818180727306758</v>
      </c>
      <c r="H217" s="2">
        <v>35</v>
      </c>
      <c r="I217" s="2">
        <v>25</v>
      </c>
      <c r="J217" s="2">
        <f>(IF(A217='Hybrid Calculator'!$B$6,0,1))^2+((B217-'Hybrid Calculator'!$B$7)/1500)^2+((C217-'Hybrid Calculator'!$B$8)/1300)^2+((D217-'Hybrid Calculator'!$B$9)/800)^2+((E217-'Hybrid Calculator'!$B$10)/350)^2+((F217-'Hybrid Calculator'!$B$11)/30)^2+(G217-'Hybrid Calculator'!$B$12)^2+((H217-'Hybrid Calculator'!$E$14)/IF(A217="Lightning",100,30000))^2+((I217-'Hybrid Calculator'!$E$17)/IF(A217="Lightning",100,30000))^2</f>
        <v>0.49710995981140199</v>
      </c>
      <c r="K217" s="2">
        <f t="shared" si="12"/>
        <v>700</v>
      </c>
      <c r="L217" s="2">
        <f t="shared" si="13"/>
        <v>0</v>
      </c>
      <c r="M217" s="2">
        <f t="shared" si="14"/>
        <v>0</v>
      </c>
      <c r="N217" s="2">
        <v>1.1935828377488189E-2</v>
      </c>
      <c r="O217" s="2">
        <f t="shared" si="15"/>
        <v>0</v>
      </c>
      <c r="P217" s="2">
        <v>1.7262058601728825</v>
      </c>
      <c r="Q217" s="2">
        <v>-6.3532315944019047</v>
      </c>
    </row>
    <row r="218" spans="1:17" ht="15">
      <c r="A218" s="2" t="s">
        <v>13</v>
      </c>
      <c r="B218" s="2">
        <v>1450.6680873921141</v>
      </c>
      <c r="C218" s="2">
        <v>745.49840349936858</v>
      </c>
      <c r="D218" s="2">
        <v>616.78705774247646</v>
      </c>
      <c r="E218" s="2">
        <v>218.57249048305675</v>
      </c>
      <c r="F218" s="2">
        <v>24.168970686383545</v>
      </c>
      <c r="G218" s="2">
        <v>0.80630760718835526</v>
      </c>
      <c r="H218" s="2">
        <v>45</v>
      </c>
      <c r="I218" s="2">
        <v>25</v>
      </c>
      <c r="J218" s="2">
        <f>(IF(A218='Hybrid Calculator'!$B$6,0,1))^2+((B218-'Hybrid Calculator'!$B$7)/1500)^2+((C218-'Hybrid Calculator'!$B$8)/1300)^2+((D218-'Hybrid Calculator'!$B$9)/800)^2+((E218-'Hybrid Calculator'!$B$10)/350)^2+((F218-'Hybrid Calculator'!$B$11)/30)^2+(G218-'Hybrid Calculator'!$B$12)^2+((H218-'Hybrid Calculator'!$E$14)/IF(A218="Lightning",100,30000))^2+((I218-'Hybrid Calculator'!$E$17)/IF(A218="Lightning",100,30000))^2</f>
        <v>0.10484669167008366</v>
      </c>
      <c r="K218" s="2">
        <f t="shared" si="12"/>
        <v>218</v>
      </c>
      <c r="L218" s="2">
        <f t="shared" si="13"/>
        <v>0</v>
      </c>
      <c r="M218" s="2">
        <f t="shared" si="14"/>
        <v>0</v>
      </c>
      <c r="N218" s="2">
        <v>-1.0772782737493714E-3</v>
      </c>
      <c r="O218" s="2">
        <f t="shared" si="15"/>
        <v>0</v>
      </c>
      <c r="P218" s="2">
        <v>0.4016693967983116</v>
      </c>
      <c r="Q218" s="2">
        <v>-0.65689832328507691</v>
      </c>
    </row>
    <row r="219" spans="1:17" ht="15">
      <c r="A219" s="2" t="s">
        <v>13</v>
      </c>
      <c r="B219" s="2">
        <v>1497.6435528486036</v>
      </c>
      <c r="C219" s="2">
        <v>687.60057711042464</v>
      </c>
      <c r="D219" s="2">
        <v>537.11317656561732</v>
      </c>
      <c r="E219" s="2">
        <v>239.15629582013935</v>
      </c>
      <c r="F219" s="2">
        <v>24.923896938096732</v>
      </c>
      <c r="G219" s="2">
        <v>0.79873212093487389</v>
      </c>
      <c r="H219" s="2">
        <v>45</v>
      </c>
      <c r="I219" s="2">
        <v>25</v>
      </c>
      <c r="J219" s="2">
        <f>(IF(A219='Hybrid Calculator'!$B$6,0,1))^2+((B219-'Hybrid Calculator'!$B$7)/1500)^2+((C219-'Hybrid Calculator'!$B$8)/1300)^2+((D219-'Hybrid Calculator'!$B$9)/800)^2+((E219-'Hybrid Calculator'!$B$10)/350)^2+((F219-'Hybrid Calculator'!$B$11)/30)^2+(G219-'Hybrid Calculator'!$B$12)^2+((H219-'Hybrid Calculator'!$E$14)/IF(A219="Lightning",100,30000))^2+((I219-'Hybrid Calculator'!$E$17)/IF(A219="Lightning",100,30000))^2</f>
        <v>0.13379567141276527</v>
      </c>
      <c r="K219" s="2">
        <f t="shared" si="12"/>
        <v>288</v>
      </c>
      <c r="L219" s="2">
        <f t="shared" si="13"/>
        <v>0</v>
      </c>
      <c r="M219" s="2">
        <f t="shared" si="14"/>
        <v>0</v>
      </c>
      <c r="N219" s="2">
        <v>-3.144232168124983E-3</v>
      </c>
      <c r="O219" s="2">
        <f t="shared" si="15"/>
        <v>0</v>
      </c>
      <c r="P219" s="2">
        <v>-0.84034934190805188</v>
      </c>
      <c r="Q219" s="2">
        <v>-4.2006185265208842</v>
      </c>
    </row>
    <row r="220" spans="1:17" ht="15">
      <c r="A220" s="2" t="s">
        <v>13</v>
      </c>
      <c r="B220" s="2">
        <v>1475.9195525664836</v>
      </c>
      <c r="C220" s="2">
        <v>940.79899563221261</v>
      </c>
      <c r="D220" s="2">
        <v>720.24547141045332</v>
      </c>
      <c r="E220" s="2">
        <v>166.07917121844366</v>
      </c>
      <c r="F220" s="2">
        <v>29.251064836978912</v>
      </c>
      <c r="G220" s="2">
        <v>0.83419948822120205</v>
      </c>
      <c r="H220" s="2">
        <v>40</v>
      </c>
      <c r="I220" s="2">
        <v>25</v>
      </c>
      <c r="J220" s="2">
        <f>(IF(A220='Hybrid Calculator'!$B$6,0,1))^2+((B220-'Hybrid Calculator'!$B$7)/1500)^2+((C220-'Hybrid Calculator'!$B$8)/1300)^2+((D220-'Hybrid Calculator'!$B$9)/800)^2+((E220-'Hybrid Calculator'!$B$10)/350)^2+((F220-'Hybrid Calculator'!$B$11)/30)^2+(G220-'Hybrid Calculator'!$B$12)^2+((H220-'Hybrid Calculator'!$E$14)/IF(A220="Lightning",100,30000))^2+((I220-'Hybrid Calculator'!$E$17)/IF(A220="Lightning",100,30000))^2</f>
        <v>0.22256495977697122</v>
      </c>
      <c r="K220" s="2">
        <f t="shared" si="12"/>
        <v>491</v>
      </c>
      <c r="L220" s="2">
        <f t="shared" si="13"/>
        <v>0</v>
      </c>
      <c r="M220" s="2">
        <f t="shared" si="14"/>
        <v>0</v>
      </c>
      <c r="N220" s="2">
        <v>4.9573173779233759E-3</v>
      </c>
      <c r="O220" s="2">
        <f t="shared" si="15"/>
        <v>0</v>
      </c>
      <c r="P220" s="2">
        <v>-0.13793644353396672</v>
      </c>
      <c r="Q220" s="2">
        <v>-13.158134141179517</v>
      </c>
    </row>
    <row r="221" spans="1:17" ht="15">
      <c r="A221" s="2" t="s">
        <v>13</v>
      </c>
      <c r="B221" s="2">
        <v>1419.1474602674134</v>
      </c>
      <c r="C221" s="2">
        <v>650.7511863252148</v>
      </c>
      <c r="D221" s="2">
        <v>455.76132955029607</v>
      </c>
      <c r="E221" s="2">
        <v>124.68555981293321</v>
      </c>
      <c r="F221" s="2">
        <v>11.560886195395142</v>
      </c>
      <c r="G221" s="2">
        <v>0.83864327204879374</v>
      </c>
      <c r="H221" s="2">
        <v>65</v>
      </c>
      <c r="I221" s="2">
        <v>25</v>
      </c>
      <c r="J221" s="2">
        <f>(IF(A221='Hybrid Calculator'!$B$6,0,1))^2+((B221-'Hybrid Calculator'!$B$7)/1500)^2+((C221-'Hybrid Calculator'!$B$8)/1300)^2+((D221-'Hybrid Calculator'!$B$9)/800)^2+((E221-'Hybrid Calculator'!$B$10)/350)^2+((F221-'Hybrid Calculator'!$B$11)/30)^2+(G221-'Hybrid Calculator'!$B$12)^2+((H221-'Hybrid Calculator'!$E$14)/IF(A221="Lightning",100,30000))^2+((I221-'Hybrid Calculator'!$E$17)/IF(A221="Lightning",100,30000))^2</f>
        <v>0.10814451411667891</v>
      </c>
      <c r="K221" s="2">
        <f t="shared" si="12"/>
        <v>221</v>
      </c>
      <c r="L221" s="2">
        <f t="shared" si="13"/>
        <v>0</v>
      </c>
      <c r="M221" s="2">
        <f t="shared" si="14"/>
        <v>0</v>
      </c>
      <c r="N221" s="2">
        <v>-1.2379915122834095E-2</v>
      </c>
      <c r="O221" s="2">
        <f t="shared" si="15"/>
        <v>0</v>
      </c>
      <c r="P221" s="2">
        <v>-1.0607000282173047</v>
      </c>
      <c r="Q221" s="2">
        <v>23.471083648851391</v>
      </c>
    </row>
    <row r="222" spans="1:17" ht="15">
      <c r="A222" s="2" t="s">
        <v>13</v>
      </c>
      <c r="B222" s="2">
        <v>1414.8453035624698</v>
      </c>
      <c r="C222" s="2">
        <v>1095.3975690645166</v>
      </c>
      <c r="D222" s="2">
        <v>406.67156726121902</v>
      </c>
      <c r="E222" s="2">
        <v>164.32666858425364</v>
      </c>
      <c r="F222" s="2">
        <v>21.819713423959911</v>
      </c>
      <c r="G222" s="2">
        <v>0.8526198117784225</v>
      </c>
      <c r="H222" s="2">
        <v>45</v>
      </c>
      <c r="I222" s="2">
        <v>25</v>
      </c>
      <c r="J222" s="2">
        <f>(IF(A222='Hybrid Calculator'!$B$6,0,1))^2+((B222-'Hybrid Calculator'!$B$7)/1500)^2+((C222-'Hybrid Calculator'!$B$8)/1300)^2+((D222-'Hybrid Calculator'!$B$9)/800)^2+((E222-'Hybrid Calculator'!$B$10)/350)^2+((F222-'Hybrid Calculator'!$B$11)/30)^2+(G222-'Hybrid Calculator'!$B$12)^2+((H222-'Hybrid Calculator'!$E$14)/IF(A222="Lightning",100,30000))^2+((I222-'Hybrid Calculator'!$E$17)/IF(A222="Lightning",100,30000))^2</f>
        <v>6.6773215733751126E-2</v>
      </c>
      <c r="K222" s="2">
        <f t="shared" si="12"/>
        <v>100</v>
      </c>
      <c r="L222" s="2">
        <f t="shared" si="13"/>
        <v>0</v>
      </c>
      <c r="M222" s="2">
        <f t="shared" si="14"/>
        <v>0</v>
      </c>
      <c r="N222" s="2">
        <v>-6.9605250117992234E-3</v>
      </c>
      <c r="O222" s="2">
        <f t="shared" si="15"/>
        <v>0</v>
      </c>
      <c r="P222" s="2">
        <v>8.6371280875702894E-2</v>
      </c>
      <c r="Q222" s="2">
        <v>-0.24901275882439222</v>
      </c>
    </row>
    <row r="223" spans="1:17" ht="15">
      <c r="A223" s="2" t="s">
        <v>13</v>
      </c>
      <c r="B223" s="2">
        <v>1445.8631805027835</v>
      </c>
      <c r="C223" s="2">
        <v>1232.391897123307</v>
      </c>
      <c r="D223" s="2">
        <v>458.30975687131286</v>
      </c>
      <c r="E223" s="2">
        <v>325.3021319815889</v>
      </c>
      <c r="F223" s="2">
        <v>15.94232097780332</v>
      </c>
      <c r="G223" s="2">
        <v>0.79324250650592154</v>
      </c>
      <c r="H223" s="2">
        <v>35</v>
      </c>
      <c r="I223" s="2">
        <v>25</v>
      </c>
      <c r="J223" s="2">
        <f>(IF(A223='Hybrid Calculator'!$B$6,0,1))^2+((B223-'Hybrid Calculator'!$B$7)/1500)^2+((C223-'Hybrid Calculator'!$B$8)/1300)^2+((D223-'Hybrid Calculator'!$B$9)/800)^2+((E223-'Hybrid Calculator'!$B$10)/350)^2+((F223-'Hybrid Calculator'!$B$11)/30)^2+(G223-'Hybrid Calculator'!$B$12)^2+((H223-'Hybrid Calculator'!$E$14)/IF(A223="Lightning",100,30000))^2+((I223-'Hybrid Calculator'!$E$17)/IF(A223="Lightning",100,30000))^2</f>
        <v>0.37078053986493237</v>
      </c>
      <c r="K223" s="2">
        <f t="shared" si="12"/>
        <v>667</v>
      </c>
      <c r="L223" s="2">
        <f t="shared" si="13"/>
        <v>0</v>
      </c>
      <c r="M223" s="2">
        <f t="shared" si="14"/>
        <v>0</v>
      </c>
      <c r="N223" s="2">
        <v>1.4054967037110178E-2</v>
      </c>
      <c r="O223" s="2">
        <f t="shared" si="15"/>
        <v>0</v>
      </c>
      <c r="P223" s="2">
        <v>1.3632765124599828</v>
      </c>
      <c r="Q223" s="2">
        <v>-6.5011229991105211</v>
      </c>
    </row>
    <row r="224" spans="1:17" ht="15">
      <c r="A224" s="2" t="s">
        <v>13</v>
      </c>
      <c r="B224" s="2">
        <v>1379.4238518923521</v>
      </c>
      <c r="C224" s="2">
        <v>1130.7523576891981</v>
      </c>
      <c r="D224" s="2">
        <v>732.53956604748964</v>
      </c>
      <c r="E224" s="2">
        <v>308.50149177247658</v>
      </c>
      <c r="F224" s="2">
        <v>8.40564258210361</v>
      </c>
      <c r="G224" s="2">
        <v>0.8072214999538847</v>
      </c>
      <c r="H224" s="2">
        <v>35</v>
      </c>
      <c r="I224" s="2">
        <v>25</v>
      </c>
      <c r="J224" s="2">
        <f>(IF(A224='Hybrid Calculator'!$B$6,0,1))^2+((B224-'Hybrid Calculator'!$B$7)/1500)^2+((C224-'Hybrid Calculator'!$B$8)/1300)^2+((D224-'Hybrid Calculator'!$B$9)/800)^2+((E224-'Hybrid Calculator'!$B$10)/350)^2+((F224-'Hybrid Calculator'!$B$11)/30)^2+(G224-'Hybrid Calculator'!$B$12)^2+((H224-'Hybrid Calculator'!$E$14)/IF(A224="Lightning",100,30000))^2+((I224-'Hybrid Calculator'!$E$17)/IF(A224="Lightning",100,30000))^2</f>
        <v>0.4730195806307218</v>
      </c>
      <c r="K224" s="2">
        <f t="shared" si="12"/>
        <v>699</v>
      </c>
      <c r="L224" s="2">
        <f t="shared" si="13"/>
        <v>0</v>
      </c>
      <c r="M224" s="2">
        <f t="shared" si="14"/>
        <v>0</v>
      </c>
      <c r="N224" s="2">
        <v>6.8680703180969971E-3</v>
      </c>
      <c r="O224" s="2">
        <f t="shared" si="15"/>
        <v>0</v>
      </c>
      <c r="P224" s="2">
        <v>0.32701190434195126</v>
      </c>
      <c r="Q224" s="2">
        <v>-3.1072529956923063</v>
      </c>
    </row>
    <row r="225" spans="1:17" ht="15">
      <c r="A225" s="2" t="s">
        <v>13</v>
      </c>
      <c r="B225" s="2">
        <v>1393.629800027702</v>
      </c>
      <c r="C225" s="2">
        <v>1155.9723286191002</v>
      </c>
      <c r="D225" s="2">
        <v>530.76239386573434</v>
      </c>
      <c r="E225" s="2">
        <v>91.297844117507339</v>
      </c>
      <c r="F225" s="2">
        <v>17.063708466012031</v>
      </c>
      <c r="G225" s="2">
        <v>0.82349781297612934</v>
      </c>
      <c r="H225" s="2">
        <v>40</v>
      </c>
      <c r="I225" s="2">
        <v>25</v>
      </c>
      <c r="J225" s="2">
        <f>(IF(A225='Hybrid Calculator'!$B$6,0,1))^2+((B225-'Hybrid Calculator'!$B$7)/1500)^2+((C225-'Hybrid Calculator'!$B$8)/1300)^2+((D225-'Hybrid Calculator'!$B$9)/800)^2+((E225-'Hybrid Calculator'!$B$10)/350)^2+((F225-'Hybrid Calculator'!$B$11)/30)^2+(G225-'Hybrid Calculator'!$B$12)^2+((H225-'Hybrid Calculator'!$E$14)/IF(A225="Lightning",100,30000))^2+((I225-'Hybrid Calculator'!$E$17)/IF(A225="Lightning",100,30000))^2</f>
        <v>9.7746433360466123E-2</v>
      </c>
      <c r="K225" s="2">
        <f t="shared" si="12"/>
        <v>197</v>
      </c>
      <c r="L225" s="2">
        <f t="shared" si="13"/>
        <v>0</v>
      </c>
      <c r="M225" s="2">
        <f t="shared" si="14"/>
        <v>0</v>
      </c>
      <c r="N225" s="2">
        <v>2.1945169199431014E-3</v>
      </c>
      <c r="O225" s="2">
        <f t="shared" si="15"/>
        <v>0</v>
      </c>
      <c r="P225" s="2">
        <v>-0.16478242021694456</v>
      </c>
      <c r="Q225" s="2">
        <v>-5.2618534594562334</v>
      </c>
    </row>
    <row r="226" spans="1:17" ht="15">
      <c r="A226" s="2" t="s">
        <v>13</v>
      </c>
      <c r="B226" s="2">
        <v>1443.1873711757362</v>
      </c>
      <c r="C226" s="2">
        <v>1225.8047822280787</v>
      </c>
      <c r="D226" s="2">
        <v>724.51223079115152</v>
      </c>
      <c r="E226" s="2">
        <v>245.86551914224401</v>
      </c>
      <c r="F226" s="2">
        <v>17.879516849294305</v>
      </c>
      <c r="G226" s="2">
        <v>0.84083612228976568</v>
      </c>
      <c r="H226" s="2">
        <v>35</v>
      </c>
      <c r="I226" s="2">
        <v>25</v>
      </c>
      <c r="J226" s="2">
        <f>(IF(A226='Hybrid Calculator'!$B$6,0,1))^2+((B226-'Hybrid Calculator'!$B$7)/1500)^2+((C226-'Hybrid Calculator'!$B$8)/1300)^2+((D226-'Hybrid Calculator'!$B$9)/800)^2+((E226-'Hybrid Calculator'!$B$10)/350)^2+((F226-'Hybrid Calculator'!$B$11)/30)^2+(G226-'Hybrid Calculator'!$B$12)^2+((H226-'Hybrid Calculator'!$E$14)/IF(A226="Lightning",100,30000))^2+((I226-'Hybrid Calculator'!$E$17)/IF(A226="Lightning",100,30000))^2</f>
        <v>0.26085752292361564</v>
      </c>
      <c r="K226" s="2">
        <f t="shared" si="12"/>
        <v>559</v>
      </c>
      <c r="L226" s="2">
        <f t="shared" si="13"/>
        <v>0</v>
      </c>
      <c r="M226" s="2">
        <f t="shared" si="14"/>
        <v>0</v>
      </c>
      <c r="N226" s="2">
        <v>1.9842054421805644E-2</v>
      </c>
      <c r="O226" s="2">
        <f t="shared" si="15"/>
        <v>0</v>
      </c>
      <c r="P226" s="2">
        <v>0.11883533636881793</v>
      </c>
      <c r="Q226" s="2">
        <v>-9.6974908370143567</v>
      </c>
    </row>
    <row r="227" spans="1:17" ht="15">
      <c r="A227" s="2" t="s">
        <v>13</v>
      </c>
      <c r="B227" s="2">
        <v>1415.5557570629753</v>
      </c>
      <c r="C227" s="2">
        <v>955.05359463859349</v>
      </c>
      <c r="D227" s="2">
        <v>434.95999211445451</v>
      </c>
      <c r="E227" s="2">
        <v>158.31343845464289</v>
      </c>
      <c r="F227" s="2">
        <v>28.694142275024205</v>
      </c>
      <c r="G227" s="2">
        <v>0.84206673203501858</v>
      </c>
      <c r="H227" s="2">
        <v>45</v>
      </c>
      <c r="I227" s="2">
        <v>25</v>
      </c>
      <c r="J227" s="2">
        <f>(IF(A227='Hybrid Calculator'!$B$6,0,1))^2+((B227-'Hybrid Calculator'!$B$7)/1500)^2+((C227-'Hybrid Calculator'!$B$8)/1300)^2+((D227-'Hybrid Calculator'!$B$9)/800)^2+((E227-'Hybrid Calculator'!$B$10)/350)^2+((F227-'Hybrid Calculator'!$B$11)/30)^2+(G227-'Hybrid Calculator'!$B$12)^2+((H227-'Hybrid Calculator'!$E$14)/IF(A227="Lightning",100,30000))^2+((I227-'Hybrid Calculator'!$E$17)/IF(A227="Lightning",100,30000))^2</f>
        <v>0.13219805684328351</v>
      </c>
      <c r="K227" s="2">
        <f t="shared" si="12"/>
        <v>282</v>
      </c>
      <c r="L227" s="2">
        <f t="shared" si="13"/>
        <v>0</v>
      </c>
      <c r="M227" s="2">
        <f t="shared" si="14"/>
        <v>0</v>
      </c>
      <c r="N227" s="2">
        <v>-1.1359735044689678E-2</v>
      </c>
      <c r="O227" s="2">
        <f t="shared" si="15"/>
        <v>0</v>
      </c>
      <c r="P227" s="2">
        <v>0.89825814647432622</v>
      </c>
      <c r="Q227" s="2">
        <v>-8.1955756426016251</v>
      </c>
    </row>
    <row r="228" spans="1:17" ht="15">
      <c r="A228" s="2" t="s">
        <v>13</v>
      </c>
      <c r="B228" s="2">
        <v>1457.1671988582239</v>
      </c>
      <c r="C228" s="2">
        <v>1107.3886176222004</v>
      </c>
      <c r="D228" s="2">
        <v>714.42570798099041</v>
      </c>
      <c r="E228" s="2">
        <v>202.50265449983999</v>
      </c>
      <c r="F228" s="2">
        <v>11.51985386479646</v>
      </c>
      <c r="G228" s="2">
        <v>0.80256116823060442</v>
      </c>
      <c r="H228" s="2">
        <v>35</v>
      </c>
      <c r="I228" s="2">
        <v>25</v>
      </c>
      <c r="J228" s="2">
        <f>(IF(A228='Hybrid Calculator'!$B$6,0,1))^2+((B228-'Hybrid Calculator'!$B$7)/1500)^2+((C228-'Hybrid Calculator'!$B$8)/1300)^2+((D228-'Hybrid Calculator'!$B$9)/800)^2+((E228-'Hybrid Calculator'!$B$10)/350)^2+((F228-'Hybrid Calculator'!$B$11)/30)^2+(G228-'Hybrid Calculator'!$B$12)^2+((H228-'Hybrid Calculator'!$E$14)/IF(A228="Lightning",100,30000))^2+((I228-'Hybrid Calculator'!$E$17)/IF(A228="Lightning",100,30000))^2</f>
        <v>0.21094407034104923</v>
      </c>
      <c r="K228" s="2">
        <f t="shared" si="12"/>
        <v>467</v>
      </c>
      <c r="L228" s="2">
        <f t="shared" si="13"/>
        <v>0</v>
      </c>
      <c r="M228" s="2">
        <f t="shared" si="14"/>
        <v>0</v>
      </c>
      <c r="N228" s="2">
        <v>1.1838474466244975E-2</v>
      </c>
      <c r="O228" s="2">
        <f t="shared" si="15"/>
        <v>0</v>
      </c>
      <c r="P228" s="2">
        <v>0.44115184776914163</v>
      </c>
      <c r="Q228" s="2">
        <v>-2.1595488877030675</v>
      </c>
    </row>
    <row r="229" spans="1:17" ht="15">
      <c r="A229" s="2" t="s">
        <v>13</v>
      </c>
      <c r="B229" s="2">
        <v>1423.2422492816113</v>
      </c>
      <c r="C229" s="2">
        <v>775.04790318198502</v>
      </c>
      <c r="D229" s="2">
        <v>451.22349290177226</v>
      </c>
      <c r="E229" s="2">
        <v>285.5934447562322</v>
      </c>
      <c r="F229" s="2">
        <v>28.913187734317034</v>
      </c>
      <c r="G229" s="2">
        <v>0.84411305284127591</v>
      </c>
      <c r="H229" s="2">
        <v>45</v>
      </c>
      <c r="I229" s="2">
        <v>25</v>
      </c>
      <c r="J229" s="2">
        <f>(IF(A229='Hybrid Calculator'!$B$6,0,1))^2+((B229-'Hybrid Calculator'!$B$7)/1500)^2+((C229-'Hybrid Calculator'!$B$8)/1300)^2+((D229-'Hybrid Calculator'!$B$9)/800)^2+((E229-'Hybrid Calculator'!$B$10)/350)^2+((F229-'Hybrid Calculator'!$B$11)/30)^2+(G229-'Hybrid Calculator'!$B$12)^2+((H229-'Hybrid Calculator'!$E$14)/IF(A229="Lightning",100,30000))^2+((I229-'Hybrid Calculator'!$E$17)/IF(A229="Lightning",100,30000))^2</f>
        <v>0.28069352268383407</v>
      </c>
      <c r="K229" s="2">
        <f t="shared" si="12"/>
        <v>582</v>
      </c>
      <c r="L229" s="2">
        <f t="shared" si="13"/>
        <v>0</v>
      </c>
      <c r="M229" s="2">
        <f t="shared" si="14"/>
        <v>0</v>
      </c>
      <c r="N229" s="2">
        <v>-4.3613879200237182E-3</v>
      </c>
      <c r="O229" s="2">
        <f t="shared" si="15"/>
        <v>0</v>
      </c>
      <c r="P229" s="2">
        <v>-1.0805470242870356</v>
      </c>
      <c r="Q229" s="2">
        <v>-11.12303061981379</v>
      </c>
    </row>
    <row r="230" spans="1:17" ht="15">
      <c r="A230" s="2" t="s">
        <v>13</v>
      </c>
      <c r="B230" s="2">
        <v>1484.6258046571165</v>
      </c>
      <c r="C230" s="2">
        <v>829.26402556477115</v>
      </c>
      <c r="D230" s="2">
        <v>476.52146648615599</v>
      </c>
      <c r="E230" s="2">
        <v>229.01878620730713</v>
      </c>
      <c r="F230" s="2">
        <v>12.763326577842236</v>
      </c>
      <c r="G230" s="2">
        <v>0.83252652170369401</v>
      </c>
      <c r="H230" s="2">
        <v>50</v>
      </c>
      <c r="I230" s="2">
        <v>25</v>
      </c>
      <c r="J230" s="2">
        <f>(IF(A230='Hybrid Calculator'!$B$6,0,1))^2+((B230-'Hybrid Calculator'!$B$7)/1500)^2+((C230-'Hybrid Calculator'!$B$8)/1300)^2+((D230-'Hybrid Calculator'!$B$9)/800)^2+((E230-'Hybrid Calculator'!$B$10)/350)^2+((F230-'Hybrid Calculator'!$B$11)/30)^2+(G230-'Hybrid Calculator'!$B$12)^2+((H230-'Hybrid Calculator'!$E$14)/IF(A230="Lightning",100,30000))^2+((I230-'Hybrid Calculator'!$E$17)/IF(A230="Lightning",100,30000))^2</f>
        <v>9.0389956626415927E-2</v>
      </c>
      <c r="K230" s="2">
        <f t="shared" si="12"/>
        <v>176</v>
      </c>
      <c r="L230" s="2">
        <f t="shared" si="13"/>
        <v>0</v>
      </c>
      <c r="M230" s="2">
        <f t="shared" si="14"/>
        <v>0</v>
      </c>
      <c r="N230" s="2">
        <v>-1.2545239096195537E-4</v>
      </c>
      <c r="O230" s="2">
        <f t="shared" si="15"/>
        <v>0</v>
      </c>
      <c r="P230" s="2">
        <v>0.40931425923425735</v>
      </c>
      <c r="Q230" s="2">
        <v>5.6207048014184693</v>
      </c>
    </row>
    <row r="231" spans="1:17" ht="15">
      <c r="A231" s="2" t="s">
        <v>13</v>
      </c>
      <c r="B231" s="2">
        <v>1495.5836362321861</v>
      </c>
      <c r="C231" s="2">
        <v>979.20816054102033</v>
      </c>
      <c r="D231" s="2">
        <v>514.22690721228719</v>
      </c>
      <c r="E231" s="2">
        <v>259.47170091792941</v>
      </c>
      <c r="F231" s="2">
        <v>24.894892050419003</v>
      </c>
      <c r="G231" s="2">
        <v>0.83258456075098364</v>
      </c>
      <c r="H231" s="2">
        <v>40</v>
      </c>
      <c r="I231" s="2">
        <v>25</v>
      </c>
      <c r="J231" s="2">
        <f>(IF(A231='Hybrid Calculator'!$B$6,0,1))^2+((B231-'Hybrid Calculator'!$B$7)/1500)^2+((C231-'Hybrid Calculator'!$B$8)/1300)^2+((D231-'Hybrid Calculator'!$B$9)/800)^2+((E231-'Hybrid Calculator'!$B$10)/350)^2+((F231-'Hybrid Calculator'!$B$11)/30)^2+(G231-'Hybrid Calculator'!$B$12)^2+((H231-'Hybrid Calculator'!$E$14)/IF(A231="Lightning",100,30000))^2+((I231-'Hybrid Calculator'!$E$17)/IF(A231="Lightning",100,30000))^2</f>
        <v>0.16583492293038388</v>
      </c>
      <c r="K231" s="2">
        <f t="shared" si="12"/>
        <v>370</v>
      </c>
      <c r="L231" s="2">
        <f t="shared" si="13"/>
        <v>0</v>
      </c>
      <c r="M231" s="2">
        <f t="shared" si="14"/>
        <v>0</v>
      </c>
      <c r="N231" s="2">
        <v>-2.0923726388417663E-3</v>
      </c>
      <c r="O231" s="2">
        <f t="shared" si="15"/>
        <v>0</v>
      </c>
      <c r="P231" s="2">
        <v>2.5559195110993471E-2</v>
      </c>
      <c r="Q231" s="2">
        <v>-18.017256634811702</v>
      </c>
    </row>
    <row r="232" spans="1:17" ht="15">
      <c r="A232" s="2" t="s">
        <v>13</v>
      </c>
      <c r="B232" s="2">
        <v>1398.2881910400465</v>
      </c>
      <c r="C232" s="2">
        <v>758.60489384504035</v>
      </c>
      <c r="D232" s="2">
        <v>697.30559885501862</v>
      </c>
      <c r="E232" s="2">
        <v>171.47583687445149</v>
      </c>
      <c r="F232" s="2">
        <v>19.122358682565391</v>
      </c>
      <c r="G232" s="2">
        <v>0.81952597632771362</v>
      </c>
      <c r="H232" s="2">
        <v>45</v>
      </c>
      <c r="I232" s="2">
        <v>25</v>
      </c>
      <c r="J232" s="2">
        <f>(IF(A232='Hybrid Calculator'!$B$6,0,1))^2+((B232-'Hybrid Calculator'!$B$7)/1500)^2+((C232-'Hybrid Calculator'!$B$8)/1300)^2+((D232-'Hybrid Calculator'!$B$9)/800)^2+((E232-'Hybrid Calculator'!$B$10)/350)^2+((F232-'Hybrid Calculator'!$B$11)/30)^2+(G232-'Hybrid Calculator'!$B$12)^2+((H232-'Hybrid Calculator'!$E$14)/IF(A232="Lightning",100,30000))^2+((I232-'Hybrid Calculator'!$E$17)/IF(A232="Lightning",100,30000))^2</f>
        <v>7.2782689446967169E-2</v>
      </c>
      <c r="K232" s="2">
        <f t="shared" si="12"/>
        <v>118</v>
      </c>
      <c r="L232" s="2">
        <f t="shared" si="13"/>
        <v>0</v>
      </c>
      <c r="M232" s="2">
        <f t="shared" si="14"/>
        <v>0</v>
      </c>
      <c r="N232" s="2">
        <v>-4.1146888334639975E-3</v>
      </c>
      <c r="O232" s="2">
        <f t="shared" si="15"/>
        <v>0</v>
      </c>
      <c r="P232" s="2">
        <v>-1.255495420966021</v>
      </c>
      <c r="Q232" s="2">
        <v>-4.5561377283561342</v>
      </c>
    </row>
    <row r="233" spans="1:17" ht="15">
      <c r="A233" s="2" t="s">
        <v>13</v>
      </c>
      <c r="B233" s="2">
        <v>1390.3713879059069</v>
      </c>
      <c r="C233" s="2">
        <v>1119.4118608720601</v>
      </c>
      <c r="D233" s="2">
        <v>399.9459988437593</v>
      </c>
      <c r="E233" s="2">
        <v>116.34537348989397</v>
      </c>
      <c r="F233" s="2">
        <v>16.080622789915651</v>
      </c>
      <c r="G233" s="2">
        <v>0.85950007193721834</v>
      </c>
      <c r="H233" s="2">
        <v>45</v>
      </c>
      <c r="I233" s="2">
        <v>25</v>
      </c>
      <c r="J233" s="2">
        <f>(IF(A233='Hybrid Calculator'!$B$6,0,1))^2+((B233-'Hybrid Calculator'!$B$7)/1500)^2+((C233-'Hybrid Calculator'!$B$8)/1300)^2+((D233-'Hybrid Calculator'!$B$9)/800)^2+((E233-'Hybrid Calculator'!$B$10)/350)^2+((F233-'Hybrid Calculator'!$B$11)/30)^2+(G233-'Hybrid Calculator'!$B$12)^2+((H233-'Hybrid Calculator'!$E$14)/IF(A233="Lightning",100,30000))^2+((I233-'Hybrid Calculator'!$E$17)/IF(A233="Lightning",100,30000))^2</f>
        <v>7.8933213516995435E-2</v>
      </c>
      <c r="K233" s="2">
        <f t="shared" si="12"/>
        <v>134</v>
      </c>
      <c r="L233" s="2">
        <f t="shared" si="13"/>
        <v>0</v>
      </c>
      <c r="M233" s="2">
        <f t="shared" si="14"/>
        <v>0</v>
      </c>
      <c r="N233" s="2">
        <v>3.1482839448915279E-3</v>
      </c>
      <c r="O233" s="2">
        <f t="shared" si="15"/>
        <v>0</v>
      </c>
      <c r="P233" s="2">
        <v>1.4124982026403643</v>
      </c>
      <c r="Q233" s="2">
        <v>0.9667936933033161</v>
      </c>
    </row>
    <row r="234" spans="1:17" ht="15">
      <c r="A234" s="2" t="s">
        <v>13</v>
      </c>
      <c r="B234" s="2">
        <v>1420.9783399477601</v>
      </c>
      <c r="C234" s="2">
        <v>629.08421236788854</v>
      </c>
      <c r="D234" s="2">
        <v>474.32974893599749</v>
      </c>
      <c r="E234" s="2">
        <v>123.60930022085086</v>
      </c>
      <c r="F234" s="2">
        <v>14.993105238303542</v>
      </c>
      <c r="G234" s="2">
        <v>0.80174180829199038</v>
      </c>
      <c r="H234" s="2">
        <v>60</v>
      </c>
      <c r="I234" s="2">
        <v>25</v>
      </c>
      <c r="J234" s="2">
        <f>(IF(A234='Hybrid Calculator'!$B$6,0,1))^2+((B234-'Hybrid Calculator'!$B$7)/1500)^2+((C234-'Hybrid Calculator'!$B$8)/1300)^2+((D234-'Hybrid Calculator'!$B$9)/800)^2+((E234-'Hybrid Calculator'!$B$10)/350)^2+((F234-'Hybrid Calculator'!$B$11)/30)^2+(G234-'Hybrid Calculator'!$B$12)^2+((H234-'Hybrid Calculator'!$E$14)/IF(A234="Lightning",100,30000))^2+((I234-'Hybrid Calculator'!$E$17)/IF(A234="Lightning",100,30000))^2</f>
        <v>5.9598408481094864E-2</v>
      </c>
      <c r="K234" s="2">
        <f t="shared" si="12"/>
        <v>80</v>
      </c>
      <c r="L234" s="2">
        <f t="shared" si="13"/>
        <v>0</v>
      </c>
      <c r="M234" s="2">
        <f t="shared" si="14"/>
        <v>0</v>
      </c>
      <c r="N234" s="2">
        <v>3.739258261527878E-3</v>
      </c>
      <c r="O234" s="2">
        <f t="shared" si="15"/>
        <v>0</v>
      </c>
      <c r="P234" s="2">
        <v>-0.15856261519235915</v>
      </c>
      <c r="Q234" s="2">
        <v>14.356878879543729</v>
      </c>
    </row>
    <row r="235" spans="1:17" ht="15">
      <c r="A235" s="2" t="s">
        <v>13</v>
      </c>
      <c r="B235" s="2">
        <v>1387.1377327130176</v>
      </c>
      <c r="C235" s="2">
        <v>903.13543679658324</v>
      </c>
      <c r="D235" s="2">
        <v>667.77108618989587</v>
      </c>
      <c r="E235" s="2">
        <v>87.292140973731875</v>
      </c>
      <c r="F235" s="2">
        <v>8.8774738949723542</v>
      </c>
      <c r="G235" s="2">
        <v>0.79772712264675649</v>
      </c>
      <c r="H235" s="2">
        <v>45</v>
      </c>
      <c r="I235" s="2">
        <v>25</v>
      </c>
      <c r="J235" s="2">
        <f>(IF(A235='Hybrid Calculator'!$B$6,0,1))^2+((B235-'Hybrid Calculator'!$B$7)/1500)^2+((C235-'Hybrid Calculator'!$B$8)/1300)^2+((D235-'Hybrid Calculator'!$B$9)/800)^2+((E235-'Hybrid Calculator'!$B$10)/350)^2+((F235-'Hybrid Calculator'!$B$11)/30)^2+(G235-'Hybrid Calculator'!$B$12)^2+((H235-'Hybrid Calculator'!$E$14)/IF(A235="Lightning",100,30000))^2+((I235-'Hybrid Calculator'!$E$17)/IF(A235="Lightning",100,30000))^2</f>
        <v>0.18426508253995255</v>
      </c>
      <c r="K235" s="2">
        <f t="shared" si="12"/>
        <v>410</v>
      </c>
      <c r="L235" s="2">
        <f t="shared" si="13"/>
        <v>0</v>
      </c>
      <c r="M235" s="2">
        <f t="shared" si="14"/>
        <v>0</v>
      </c>
      <c r="N235" s="2">
        <v>1.8306850418873033E-2</v>
      </c>
      <c r="O235" s="2">
        <f t="shared" si="15"/>
        <v>0</v>
      </c>
      <c r="P235" s="2">
        <v>1.0929209077621564</v>
      </c>
      <c r="Q235" s="2">
        <v>12.140087684220589</v>
      </c>
    </row>
    <row r="236" spans="1:17" ht="15">
      <c r="A236" s="2" t="s">
        <v>13</v>
      </c>
      <c r="B236" s="2">
        <v>1434.6847454784438</v>
      </c>
      <c r="C236" s="2">
        <v>1082.6367112458684</v>
      </c>
      <c r="D236" s="2">
        <v>365.52659161388874</v>
      </c>
      <c r="E236" s="2">
        <v>138.95831080852076</v>
      </c>
      <c r="F236" s="2">
        <v>20.435768068768084</v>
      </c>
      <c r="G236" s="2">
        <v>0.80921233235625556</v>
      </c>
      <c r="H236" s="2">
        <v>45</v>
      </c>
      <c r="I236" s="2">
        <v>25</v>
      </c>
      <c r="J236" s="2">
        <f>(IF(A236='Hybrid Calculator'!$B$6,0,1))^2+((B236-'Hybrid Calculator'!$B$7)/1500)^2+((C236-'Hybrid Calculator'!$B$8)/1300)^2+((D236-'Hybrid Calculator'!$B$9)/800)^2+((E236-'Hybrid Calculator'!$B$10)/350)^2+((F236-'Hybrid Calculator'!$B$11)/30)^2+(G236-'Hybrid Calculator'!$B$12)^2+((H236-'Hybrid Calculator'!$E$14)/IF(A236="Lightning",100,30000))^2+((I236-'Hybrid Calculator'!$E$17)/IF(A236="Lightning",100,30000))^2</f>
        <v>6.8095283368907411E-2</v>
      </c>
      <c r="K236" s="2">
        <f t="shared" si="12"/>
        <v>107</v>
      </c>
      <c r="L236" s="2">
        <f t="shared" si="13"/>
        <v>0</v>
      </c>
      <c r="M236" s="2">
        <f t="shared" si="14"/>
        <v>0</v>
      </c>
      <c r="N236" s="2">
        <v>8.4725271444774375E-3</v>
      </c>
      <c r="O236" s="2">
        <f t="shared" si="15"/>
        <v>0</v>
      </c>
      <c r="P236" s="2">
        <v>-0.36229773223627859</v>
      </c>
      <c r="Q236" s="2">
        <v>2.5729058547540262</v>
      </c>
    </row>
    <row r="237" spans="1:17" ht="15">
      <c r="A237" s="2" t="s">
        <v>13</v>
      </c>
      <c r="B237" s="2">
        <v>1372.0211321837269</v>
      </c>
      <c r="C237" s="2">
        <v>645.319360261783</v>
      </c>
      <c r="D237" s="2">
        <v>510.97472412511706</v>
      </c>
      <c r="E237" s="2">
        <v>171.93846851121634</v>
      </c>
      <c r="F237" s="2">
        <v>24.571775052230805</v>
      </c>
      <c r="G237" s="2">
        <v>0.82519825872033836</v>
      </c>
      <c r="H237" s="2">
        <v>55</v>
      </c>
      <c r="I237" s="2">
        <v>25</v>
      </c>
      <c r="J237" s="2">
        <f>(IF(A237='Hybrid Calculator'!$B$6,0,1))^2+((B237-'Hybrid Calculator'!$B$7)/1500)^2+((C237-'Hybrid Calculator'!$B$8)/1300)^2+((D237-'Hybrid Calculator'!$B$9)/800)^2+((E237-'Hybrid Calculator'!$B$10)/350)^2+((F237-'Hybrid Calculator'!$B$11)/30)^2+(G237-'Hybrid Calculator'!$B$12)^2+((H237-'Hybrid Calculator'!$E$14)/IF(A237="Lightning",100,30000))^2+((I237-'Hybrid Calculator'!$E$17)/IF(A237="Lightning",100,30000))^2</f>
        <v>7.3643786907821626E-2</v>
      </c>
      <c r="K237" s="2">
        <f t="shared" si="12"/>
        <v>120</v>
      </c>
      <c r="L237" s="2">
        <f t="shared" si="13"/>
        <v>0</v>
      </c>
      <c r="M237" s="2">
        <f t="shared" si="14"/>
        <v>0</v>
      </c>
      <c r="N237" s="2">
        <v>-2.1150087931933292E-2</v>
      </c>
      <c r="O237" s="2">
        <f t="shared" si="15"/>
        <v>0</v>
      </c>
      <c r="P237" s="2">
        <v>-0.94965128834116541</v>
      </c>
      <c r="Q237" s="2">
        <v>-1.0448555076352477</v>
      </c>
    </row>
    <row r="238" spans="1:17" ht="15">
      <c r="A238" s="2" t="s">
        <v>13</v>
      </c>
      <c r="B238" s="2">
        <v>1440.4369512107223</v>
      </c>
      <c r="C238" s="2">
        <v>607.0383018697612</v>
      </c>
      <c r="D238" s="2">
        <v>739.4547363743186</v>
      </c>
      <c r="E238" s="2">
        <v>104.68165737809613</v>
      </c>
      <c r="F238" s="2">
        <v>11.939255643635988</v>
      </c>
      <c r="G238" s="2">
        <v>0.80493455916875978</v>
      </c>
      <c r="H238" s="2">
        <v>55</v>
      </c>
      <c r="I238" s="2">
        <v>25</v>
      </c>
      <c r="J238" s="2">
        <f>(IF(A238='Hybrid Calculator'!$B$6,0,1))^2+((B238-'Hybrid Calculator'!$B$7)/1500)^2+((C238-'Hybrid Calculator'!$B$8)/1300)^2+((D238-'Hybrid Calculator'!$B$9)/800)^2+((E238-'Hybrid Calculator'!$B$10)/350)^2+((F238-'Hybrid Calculator'!$B$11)/30)^2+(G238-'Hybrid Calculator'!$B$12)^2+((H238-'Hybrid Calculator'!$E$14)/IF(A238="Lightning",100,30000))^2+((I238-'Hybrid Calculator'!$E$17)/IF(A238="Lightning",100,30000))^2</f>
        <v>0.19194490483547583</v>
      </c>
      <c r="K238" s="2">
        <f t="shared" si="12"/>
        <v>431</v>
      </c>
      <c r="L238" s="2">
        <f t="shared" si="13"/>
        <v>0</v>
      </c>
      <c r="M238" s="2">
        <f t="shared" si="14"/>
        <v>0</v>
      </c>
      <c r="N238" s="2">
        <v>-9.4948233235370161E-3</v>
      </c>
      <c r="O238" s="2">
        <f t="shared" si="15"/>
        <v>0</v>
      </c>
      <c r="P238" s="2">
        <v>-1.5492744475436595</v>
      </c>
      <c r="Q238" s="2">
        <v>6.7300415878089552</v>
      </c>
    </row>
    <row r="239" spans="1:17" ht="15">
      <c r="A239" s="2" t="s">
        <v>13</v>
      </c>
      <c r="B239" s="2">
        <v>1460.00587065937</v>
      </c>
      <c r="C239" s="2">
        <v>631.50109618436545</v>
      </c>
      <c r="D239" s="2">
        <v>544.19720815494657</v>
      </c>
      <c r="E239" s="2">
        <v>206.45706348121166</v>
      </c>
      <c r="F239" s="2">
        <v>8.2295090206898749</v>
      </c>
      <c r="G239" s="2">
        <v>0.85585141568910339</v>
      </c>
      <c r="H239" s="2">
        <v>55</v>
      </c>
      <c r="I239" s="2">
        <v>25</v>
      </c>
      <c r="J239" s="2">
        <f>(IF(A239='Hybrid Calculator'!$B$6,0,1))^2+((B239-'Hybrid Calculator'!$B$7)/1500)^2+((C239-'Hybrid Calculator'!$B$8)/1300)^2+((D239-'Hybrid Calculator'!$B$9)/800)^2+((E239-'Hybrid Calculator'!$B$10)/350)^2+((F239-'Hybrid Calculator'!$B$11)/30)^2+(G239-'Hybrid Calculator'!$B$12)^2+((H239-'Hybrid Calculator'!$E$14)/IF(A239="Lightning",100,30000))^2+((I239-'Hybrid Calculator'!$E$17)/IF(A239="Lightning",100,30000))^2</f>
        <v>0.17885460521123347</v>
      </c>
      <c r="K239" s="2">
        <f t="shared" si="12"/>
        <v>399</v>
      </c>
      <c r="L239" s="2">
        <f t="shared" si="13"/>
        <v>0</v>
      </c>
      <c r="M239" s="2">
        <f t="shared" si="14"/>
        <v>0</v>
      </c>
      <c r="N239" s="2">
        <v>-3.3946164383211741E-3</v>
      </c>
      <c r="O239" s="2">
        <f t="shared" si="15"/>
        <v>0</v>
      </c>
      <c r="P239" s="2">
        <v>-0.11072165192292971</v>
      </c>
      <c r="Q239" s="2">
        <v>21.335717796076779</v>
      </c>
    </row>
    <row r="240" spans="1:17" ht="15">
      <c r="A240" s="2" t="s">
        <v>13</v>
      </c>
      <c r="B240" s="2">
        <v>1381.5949842799455</v>
      </c>
      <c r="C240" s="2">
        <v>932.01467952458188</v>
      </c>
      <c r="D240" s="2">
        <v>742.54143815487623</v>
      </c>
      <c r="E240" s="2">
        <v>287.35745906131342</v>
      </c>
      <c r="F240" s="2">
        <v>28.553370282053947</v>
      </c>
      <c r="G240" s="2">
        <v>0.85319800852099437</v>
      </c>
      <c r="H240" s="2">
        <v>35</v>
      </c>
      <c r="I240" s="2">
        <v>25</v>
      </c>
      <c r="J240" s="2">
        <f>(IF(A240='Hybrid Calculator'!$B$6,0,1))^2+((B240-'Hybrid Calculator'!$B$7)/1500)^2+((C240-'Hybrid Calculator'!$B$8)/1300)^2+((D240-'Hybrid Calculator'!$B$9)/800)^2+((E240-'Hybrid Calculator'!$B$10)/350)^2+((F240-'Hybrid Calculator'!$B$11)/30)^2+(G240-'Hybrid Calculator'!$B$12)^2+((H240-'Hybrid Calculator'!$E$14)/IF(A240="Lightning",100,30000))^2+((I240-'Hybrid Calculator'!$E$17)/IF(A240="Lightning",100,30000))^2</f>
        <v>0.38665292553358099</v>
      </c>
      <c r="K240" s="2">
        <f t="shared" si="12"/>
        <v>678</v>
      </c>
      <c r="L240" s="2">
        <f t="shared" si="13"/>
        <v>0</v>
      </c>
      <c r="M240" s="2">
        <f t="shared" si="14"/>
        <v>0</v>
      </c>
      <c r="N240" s="2">
        <v>-5.7727485395975275E-3</v>
      </c>
      <c r="O240" s="2">
        <f t="shared" si="15"/>
        <v>0</v>
      </c>
      <c r="P240" s="2">
        <v>1.0515767000058815</v>
      </c>
      <c r="Q240" s="2">
        <v>-14.747422628658342</v>
      </c>
    </row>
    <row r="241" spans="1:17" ht="15">
      <c r="A241" s="2" t="s">
        <v>13</v>
      </c>
      <c r="B241" s="2">
        <v>1462.4810067121871</v>
      </c>
      <c r="C241" s="2">
        <v>743.46712955739349</v>
      </c>
      <c r="D241" s="2">
        <v>736.01274015381932</v>
      </c>
      <c r="E241" s="2">
        <v>299.20732827857137</v>
      </c>
      <c r="F241" s="2">
        <v>20.066549635026604</v>
      </c>
      <c r="G241" s="2">
        <v>0.79866962110158057</v>
      </c>
      <c r="H241" s="2">
        <v>35</v>
      </c>
      <c r="I241" s="2">
        <v>25</v>
      </c>
      <c r="J241" s="2">
        <f>(IF(A241='Hybrid Calculator'!$B$6,0,1))^2+((B241-'Hybrid Calculator'!$B$7)/1500)^2+((C241-'Hybrid Calculator'!$B$8)/1300)^2+((D241-'Hybrid Calculator'!$B$9)/800)^2+((E241-'Hybrid Calculator'!$B$10)/350)^2+((F241-'Hybrid Calculator'!$B$11)/30)^2+(G241-'Hybrid Calculator'!$B$12)^2+((H241-'Hybrid Calculator'!$E$14)/IF(A241="Lightning",100,30000))^2+((I241-'Hybrid Calculator'!$E$17)/IF(A241="Lightning",100,30000))^2</f>
        <v>0.3017933970427904</v>
      </c>
      <c r="K241" s="2">
        <f t="shared" si="12"/>
        <v>598</v>
      </c>
      <c r="L241" s="2">
        <f t="shared" si="13"/>
        <v>0</v>
      </c>
      <c r="M241" s="2">
        <f t="shared" si="14"/>
        <v>0</v>
      </c>
      <c r="N241" s="2">
        <v>4.2134755387694955E-3</v>
      </c>
      <c r="O241" s="2">
        <f t="shared" si="15"/>
        <v>0</v>
      </c>
      <c r="P241" s="2">
        <v>-1.0686667518610804</v>
      </c>
      <c r="Q241" s="2">
        <v>-5.4338874998904885</v>
      </c>
    </row>
    <row r="242" spans="1:17" ht="15">
      <c r="A242" s="2" t="s">
        <v>13</v>
      </c>
      <c r="B242" s="2">
        <v>1371.8650196911767</v>
      </c>
      <c r="C242" s="2">
        <v>1065.0171579909511</v>
      </c>
      <c r="D242" s="2">
        <v>650.52250474691391</v>
      </c>
      <c r="E242" s="2">
        <v>152.90065375855193</v>
      </c>
      <c r="F242" s="2">
        <v>9.7348713232204318</v>
      </c>
      <c r="G242" s="2">
        <v>0.85962702374672517</v>
      </c>
      <c r="H242" s="2">
        <v>45</v>
      </c>
      <c r="I242" s="2">
        <v>25</v>
      </c>
      <c r="J242" s="2">
        <f>(IF(A242='Hybrid Calculator'!$B$6,0,1))^2+((B242-'Hybrid Calculator'!$B$7)/1500)^2+((C242-'Hybrid Calculator'!$B$8)/1300)^2+((D242-'Hybrid Calculator'!$B$9)/800)^2+((E242-'Hybrid Calculator'!$B$10)/350)^2+((F242-'Hybrid Calculator'!$B$11)/30)^2+(G242-'Hybrid Calculator'!$B$12)^2+((H242-'Hybrid Calculator'!$E$14)/IF(A242="Lightning",100,30000))^2+((I242-'Hybrid Calculator'!$E$17)/IF(A242="Lightning",100,30000))^2</f>
        <v>0.1535157016137545</v>
      </c>
      <c r="K242" s="2">
        <f t="shared" si="12"/>
        <v>335</v>
      </c>
      <c r="L242" s="2">
        <f t="shared" si="13"/>
        <v>0</v>
      </c>
      <c r="M242" s="2">
        <f t="shared" si="14"/>
        <v>0</v>
      </c>
      <c r="N242" s="2">
        <v>6.5847124739681906E-3</v>
      </c>
      <c r="O242" s="2">
        <f t="shared" si="15"/>
        <v>0</v>
      </c>
      <c r="P242" s="2">
        <v>0.30578207953008985</v>
      </c>
      <c r="Q242" s="2">
        <v>0.6662706402423737</v>
      </c>
    </row>
    <row r="243" spans="1:17" ht="15">
      <c r="A243" s="2" t="s">
        <v>13</v>
      </c>
      <c r="B243" s="2">
        <v>1435.4763450915925</v>
      </c>
      <c r="C243" s="2">
        <v>1244.4697088561952</v>
      </c>
      <c r="D243" s="2">
        <v>439.58648657426238</v>
      </c>
      <c r="E243" s="2">
        <v>230.62013326678425</v>
      </c>
      <c r="F243" s="2">
        <v>11.198174079414457</v>
      </c>
      <c r="G243" s="2">
        <v>0.84696419511921706</v>
      </c>
      <c r="H243" s="2">
        <v>40</v>
      </c>
      <c r="I243" s="2">
        <v>25</v>
      </c>
      <c r="J243" s="2">
        <f>(IF(A243='Hybrid Calculator'!$B$6,0,1))^2+((B243-'Hybrid Calculator'!$B$7)/1500)^2+((C243-'Hybrid Calculator'!$B$8)/1300)^2+((D243-'Hybrid Calculator'!$B$9)/800)^2+((E243-'Hybrid Calculator'!$B$10)/350)^2+((F243-'Hybrid Calculator'!$B$11)/30)^2+(G243-'Hybrid Calculator'!$B$12)^2+((H243-'Hybrid Calculator'!$E$14)/IF(A243="Lightning",100,30000))^2+((I243-'Hybrid Calculator'!$E$17)/IF(A243="Lightning",100,30000))^2</f>
        <v>0.22085215481273796</v>
      </c>
      <c r="K243" s="2">
        <f t="shared" si="12"/>
        <v>489</v>
      </c>
      <c r="L243" s="2">
        <f t="shared" si="13"/>
        <v>0</v>
      </c>
      <c r="M243" s="2">
        <f t="shared" si="14"/>
        <v>0</v>
      </c>
      <c r="N243" s="2">
        <v>1.9900582681888768E-2</v>
      </c>
      <c r="O243" s="2">
        <f t="shared" si="15"/>
        <v>0</v>
      </c>
      <c r="P243" s="2">
        <v>0.91967905247201998</v>
      </c>
      <c r="Q243" s="2">
        <v>4.3263159041002837</v>
      </c>
    </row>
    <row r="244" spans="1:17" ht="15">
      <c r="A244" s="2" t="s">
        <v>13</v>
      </c>
      <c r="B244" s="2">
        <v>1430.7516194880009</v>
      </c>
      <c r="C244" s="2">
        <v>924.29999582236633</v>
      </c>
      <c r="D244" s="2">
        <v>413.99409640580416</v>
      </c>
      <c r="E244" s="2">
        <v>247.34191268915311</v>
      </c>
      <c r="F244" s="2">
        <v>17.348759708926082</v>
      </c>
      <c r="G244" s="2">
        <v>0.82642544050933797</v>
      </c>
      <c r="H244" s="2">
        <v>45</v>
      </c>
      <c r="I244" s="2">
        <v>25</v>
      </c>
      <c r="J244" s="2">
        <f>(IF(A244='Hybrid Calculator'!$B$6,0,1))^2+((B244-'Hybrid Calculator'!$B$7)/1500)^2+((C244-'Hybrid Calculator'!$B$8)/1300)^2+((D244-'Hybrid Calculator'!$B$9)/800)^2+((E244-'Hybrid Calculator'!$B$10)/350)^2+((F244-'Hybrid Calculator'!$B$11)/30)^2+(G244-'Hybrid Calculator'!$B$12)^2+((H244-'Hybrid Calculator'!$E$14)/IF(A244="Lightning",100,30000))^2+((I244-'Hybrid Calculator'!$E$17)/IF(A244="Lightning",100,30000))^2</f>
        <v>9.6203598844082361E-2</v>
      </c>
      <c r="K244" s="2">
        <f t="shared" si="12"/>
        <v>191</v>
      </c>
      <c r="L244" s="2">
        <f t="shared" si="13"/>
        <v>0</v>
      </c>
      <c r="M244" s="2">
        <f t="shared" si="14"/>
        <v>0</v>
      </c>
      <c r="N244" s="2">
        <v>-6.7810543302047055E-3</v>
      </c>
      <c r="O244" s="2">
        <f t="shared" si="15"/>
        <v>0</v>
      </c>
      <c r="P244" s="2">
        <v>1.1965401348703608E-2</v>
      </c>
      <c r="Q244" s="2">
        <v>-3.1084891758509912</v>
      </c>
    </row>
    <row r="245" spans="1:17" ht="15">
      <c r="A245" s="2" t="s">
        <v>13</v>
      </c>
      <c r="B245" s="2">
        <v>1395.3170268447138</v>
      </c>
      <c r="C245" s="2">
        <v>1074.581870646216</v>
      </c>
      <c r="D245" s="2">
        <v>406.41943076625466</v>
      </c>
      <c r="E245" s="2">
        <v>109.6396182384342</v>
      </c>
      <c r="F245" s="2">
        <v>25.121748414356261</v>
      </c>
      <c r="G245" s="2">
        <v>0.83286832377780229</v>
      </c>
      <c r="H245" s="2">
        <v>45</v>
      </c>
      <c r="I245" s="2">
        <v>25</v>
      </c>
      <c r="J245" s="2">
        <f>(IF(A245='Hybrid Calculator'!$B$6,0,1))^2+((B245-'Hybrid Calculator'!$B$7)/1500)^2+((C245-'Hybrid Calculator'!$B$8)/1300)^2+((D245-'Hybrid Calculator'!$B$9)/800)^2+((E245-'Hybrid Calculator'!$B$10)/350)^2+((F245-'Hybrid Calculator'!$B$11)/30)^2+(G245-'Hybrid Calculator'!$B$12)^2+((H245-'Hybrid Calculator'!$E$14)/IF(A245="Lightning",100,30000))^2+((I245-'Hybrid Calculator'!$E$17)/IF(A245="Lightning",100,30000))^2</f>
        <v>0.10860202834283167</v>
      </c>
      <c r="K245" s="2">
        <f t="shared" si="12"/>
        <v>222</v>
      </c>
      <c r="L245" s="2">
        <f t="shared" si="13"/>
        <v>0</v>
      </c>
      <c r="M245" s="2">
        <f t="shared" si="14"/>
        <v>0</v>
      </c>
      <c r="N245" s="2">
        <v>-1.6802364862542385E-2</v>
      </c>
      <c r="O245" s="2">
        <f t="shared" si="15"/>
        <v>0</v>
      </c>
      <c r="P245" s="2">
        <v>0.54728338824855882</v>
      </c>
      <c r="Q245" s="2">
        <v>-1.2201515274900885</v>
      </c>
    </row>
    <row r="246" spans="1:17" ht="15">
      <c r="A246" s="2" t="s">
        <v>13</v>
      </c>
      <c r="B246" s="2">
        <v>1385.5179168982431</v>
      </c>
      <c r="C246" s="2">
        <v>1016.1527243093587</v>
      </c>
      <c r="D246" s="2">
        <v>483.46167244017124</v>
      </c>
      <c r="E246" s="2">
        <v>320.46604073373601</v>
      </c>
      <c r="F246" s="2">
        <v>12.001299732364714</v>
      </c>
      <c r="G246" s="2">
        <v>0.82382434929488235</v>
      </c>
      <c r="H246" s="2">
        <v>40</v>
      </c>
      <c r="I246" s="2">
        <v>25</v>
      </c>
      <c r="J246" s="2">
        <f>(IF(A246='Hybrid Calculator'!$B$6,0,1))^2+((B246-'Hybrid Calculator'!$B$7)/1500)^2+((C246-'Hybrid Calculator'!$B$8)/1300)^2+((D246-'Hybrid Calculator'!$B$9)/800)^2+((E246-'Hybrid Calculator'!$B$10)/350)^2+((F246-'Hybrid Calculator'!$B$11)/30)^2+(G246-'Hybrid Calculator'!$B$12)^2+((H246-'Hybrid Calculator'!$E$14)/IF(A246="Lightning",100,30000))^2+((I246-'Hybrid Calculator'!$E$17)/IF(A246="Lightning",100,30000))^2</f>
        <v>0.31160946580876175</v>
      </c>
      <c r="K246" s="2">
        <f t="shared" si="12"/>
        <v>608</v>
      </c>
      <c r="L246" s="2">
        <f t="shared" si="13"/>
        <v>0</v>
      </c>
      <c r="M246" s="2">
        <f t="shared" si="14"/>
        <v>0</v>
      </c>
      <c r="N246" s="2">
        <v>-1.0167721447598144E-3</v>
      </c>
      <c r="O246" s="2">
        <f t="shared" si="15"/>
        <v>0</v>
      </c>
      <c r="P246" s="2">
        <v>0.66910994802127988</v>
      </c>
      <c r="Q246" s="2">
        <v>6.3655848285795855</v>
      </c>
    </row>
    <row r="247" spans="1:17" ht="15">
      <c r="A247" s="2" t="s">
        <v>13</v>
      </c>
      <c r="B247" s="2">
        <v>1488.9011532417499</v>
      </c>
      <c r="C247" s="2">
        <v>719.20965160243213</v>
      </c>
      <c r="D247" s="2">
        <v>441.55552042648196</v>
      </c>
      <c r="E247" s="2">
        <v>171.91567439120263</v>
      </c>
      <c r="F247" s="2">
        <v>29.730104859452695</v>
      </c>
      <c r="G247" s="2">
        <v>0.85358760513365273</v>
      </c>
      <c r="H247" s="2">
        <v>55</v>
      </c>
      <c r="I247" s="2">
        <v>25</v>
      </c>
      <c r="J247" s="2">
        <f>(IF(A247='Hybrid Calculator'!$B$6,0,1))^2+((B247-'Hybrid Calculator'!$B$7)/1500)^2+((C247-'Hybrid Calculator'!$B$8)/1300)^2+((D247-'Hybrid Calculator'!$B$9)/800)^2+((E247-'Hybrid Calculator'!$B$10)/350)^2+((F247-'Hybrid Calculator'!$B$11)/30)^2+(G247-'Hybrid Calculator'!$B$12)^2+((H247-'Hybrid Calculator'!$E$14)/IF(A247="Lightning",100,30000))^2+((I247-'Hybrid Calculator'!$E$17)/IF(A247="Lightning",100,30000))^2</f>
        <v>0.16495088636990365</v>
      </c>
      <c r="K247" s="2">
        <f t="shared" si="12"/>
        <v>365</v>
      </c>
      <c r="L247" s="2">
        <f t="shared" si="13"/>
        <v>0</v>
      </c>
      <c r="M247" s="2">
        <f t="shared" si="14"/>
        <v>0</v>
      </c>
      <c r="N247" s="2">
        <v>-1.5968199101709324E-2</v>
      </c>
      <c r="O247" s="2">
        <f t="shared" si="15"/>
        <v>0</v>
      </c>
      <c r="P247" s="2">
        <v>8.2768485500551492E-2</v>
      </c>
      <c r="Q247" s="2">
        <v>-10.962152746864831</v>
      </c>
    </row>
    <row r="248" spans="1:17" ht="15">
      <c r="A248" s="2" t="s">
        <v>13</v>
      </c>
      <c r="B248" s="2">
        <v>1354.1042945813388</v>
      </c>
      <c r="C248" s="2">
        <v>1190.8421949367039</v>
      </c>
      <c r="D248" s="2">
        <v>539.52073808759451</v>
      </c>
      <c r="E248" s="2">
        <v>143.12027649255469</v>
      </c>
      <c r="F248" s="2">
        <v>15.677627127617598</v>
      </c>
      <c r="G248" s="2">
        <v>0.80746211435878656</v>
      </c>
      <c r="H248" s="2">
        <v>40</v>
      </c>
      <c r="I248" s="2">
        <v>25</v>
      </c>
      <c r="J248" s="2">
        <f>(IF(A248='Hybrid Calculator'!$B$6,0,1))^2+((B248-'Hybrid Calculator'!$B$7)/1500)^2+((C248-'Hybrid Calculator'!$B$8)/1300)^2+((D248-'Hybrid Calculator'!$B$9)/800)^2+((E248-'Hybrid Calculator'!$B$10)/350)^2+((F248-'Hybrid Calculator'!$B$11)/30)^2+(G248-'Hybrid Calculator'!$B$12)^2+((H248-'Hybrid Calculator'!$E$14)/IF(A248="Lightning",100,30000))^2+((I248-'Hybrid Calculator'!$E$17)/IF(A248="Lightning",100,30000))^2</f>
        <v>9.281042322679392E-2</v>
      </c>
      <c r="K248" s="2">
        <f t="shared" si="12"/>
        <v>182</v>
      </c>
      <c r="L248" s="2">
        <f t="shared" si="13"/>
        <v>0</v>
      </c>
      <c r="M248" s="2">
        <f t="shared" si="14"/>
        <v>0</v>
      </c>
      <c r="N248" s="2">
        <v>1.2374218440696971E-2</v>
      </c>
      <c r="O248" s="2">
        <f t="shared" si="15"/>
        <v>0</v>
      </c>
      <c r="P248" s="2">
        <v>0.22833667761224063</v>
      </c>
      <c r="Q248" s="2">
        <v>-4.4553749737810904</v>
      </c>
    </row>
    <row r="249" spans="1:17" ht="15">
      <c r="A249" s="2" t="s">
        <v>13</v>
      </c>
      <c r="B249" s="2">
        <v>1350.8555524167605</v>
      </c>
      <c r="C249" s="2">
        <v>703.11905134003609</v>
      </c>
      <c r="D249" s="2">
        <v>468.38520364835858</v>
      </c>
      <c r="E249" s="2">
        <v>95.956233255565166</v>
      </c>
      <c r="F249" s="2">
        <v>17.519550728145987</v>
      </c>
      <c r="G249" s="2">
        <v>0.83253856282215566</v>
      </c>
      <c r="H249" s="2">
        <v>60</v>
      </c>
      <c r="I249" s="2">
        <v>25</v>
      </c>
      <c r="J249" s="2">
        <f>(IF(A249='Hybrid Calculator'!$B$6,0,1))^2+((B249-'Hybrid Calculator'!$B$7)/1500)^2+((C249-'Hybrid Calculator'!$B$8)/1300)^2+((D249-'Hybrid Calculator'!$B$9)/800)^2+((E249-'Hybrid Calculator'!$B$10)/350)^2+((F249-'Hybrid Calculator'!$B$11)/30)^2+(G249-'Hybrid Calculator'!$B$12)^2+((H249-'Hybrid Calculator'!$E$14)/IF(A249="Lightning",100,30000))^2+((I249-'Hybrid Calculator'!$E$17)/IF(A249="Lightning",100,30000))^2</f>
        <v>5.1838676954484887E-2</v>
      </c>
      <c r="K249" s="2">
        <f t="shared" si="12"/>
        <v>57</v>
      </c>
      <c r="L249" s="2">
        <f t="shared" si="13"/>
        <v>0</v>
      </c>
      <c r="M249" s="2">
        <f t="shared" si="14"/>
        <v>0</v>
      </c>
      <c r="N249" s="2">
        <v>-2.0681427702864408E-3</v>
      </c>
      <c r="O249" s="2">
        <f t="shared" si="15"/>
        <v>0</v>
      </c>
      <c r="P249" s="2">
        <v>0.55201633342502276</v>
      </c>
      <c r="Q249" s="2">
        <v>17.548284325062014</v>
      </c>
    </row>
    <row r="250" spans="1:17" ht="15">
      <c r="A250" s="2" t="s">
        <v>13</v>
      </c>
      <c r="B250" s="2">
        <v>1465.9111414337531</v>
      </c>
      <c r="C250" s="2">
        <v>1155.122592963744</v>
      </c>
      <c r="D250" s="2">
        <v>526.92132815718651</v>
      </c>
      <c r="E250" s="2">
        <v>122.6112687564455</v>
      </c>
      <c r="F250" s="2">
        <v>15.140655777417123</v>
      </c>
      <c r="G250" s="2">
        <v>0.85125445658108223</v>
      </c>
      <c r="H250" s="2">
        <v>40</v>
      </c>
      <c r="I250" s="2">
        <v>25</v>
      </c>
      <c r="J250" s="2">
        <f>(IF(A250='Hybrid Calculator'!$B$6,0,1))^2+((B250-'Hybrid Calculator'!$B$7)/1500)^2+((C250-'Hybrid Calculator'!$B$8)/1300)^2+((D250-'Hybrid Calculator'!$B$9)/800)^2+((E250-'Hybrid Calculator'!$B$10)/350)^2+((F250-'Hybrid Calculator'!$B$11)/30)^2+(G250-'Hybrid Calculator'!$B$12)^2+((H250-'Hybrid Calculator'!$E$14)/IF(A250="Lightning",100,30000))^2+((I250-'Hybrid Calculator'!$E$17)/IF(A250="Lightning",100,30000))^2</f>
        <v>8.6604505692471329E-2</v>
      </c>
      <c r="K250" s="2">
        <f t="shared" si="12"/>
        <v>161</v>
      </c>
      <c r="L250" s="2">
        <f t="shared" si="13"/>
        <v>0</v>
      </c>
      <c r="M250" s="2">
        <f t="shared" si="14"/>
        <v>0</v>
      </c>
      <c r="N250" s="2">
        <v>1.0689525572247449E-2</v>
      </c>
      <c r="O250" s="2">
        <f t="shared" si="15"/>
        <v>0</v>
      </c>
      <c r="P250" s="2">
        <v>0.17818787641455458</v>
      </c>
      <c r="Q250" s="2">
        <v>0.30367085627540291</v>
      </c>
    </row>
    <row r="251" spans="1:17" ht="15">
      <c r="A251" s="2" t="s">
        <v>13</v>
      </c>
      <c r="B251" s="2">
        <v>1400.2466520178132</v>
      </c>
      <c r="C251" s="2">
        <v>1223.3939677476883</v>
      </c>
      <c r="D251" s="2">
        <v>471.60578658804297</v>
      </c>
      <c r="E251" s="2">
        <v>308.96728210616857</v>
      </c>
      <c r="F251" s="2">
        <v>14.535299183335155</v>
      </c>
      <c r="G251" s="2">
        <v>0.82203020657412706</v>
      </c>
      <c r="H251" s="2">
        <v>35</v>
      </c>
      <c r="I251" s="2">
        <v>25</v>
      </c>
      <c r="J251" s="2">
        <f>(IF(A251='Hybrid Calculator'!$B$6,0,1))^2+((B251-'Hybrid Calculator'!$B$7)/1500)^2+((C251-'Hybrid Calculator'!$B$8)/1300)^2+((D251-'Hybrid Calculator'!$B$9)/800)^2+((E251-'Hybrid Calculator'!$B$10)/350)^2+((F251-'Hybrid Calculator'!$B$11)/30)^2+(G251-'Hybrid Calculator'!$B$12)^2+((H251-'Hybrid Calculator'!$E$14)/IF(A251="Lightning",100,30000))^2+((I251-'Hybrid Calculator'!$E$17)/IF(A251="Lightning",100,30000))^2</f>
        <v>0.33029100879397466</v>
      </c>
      <c r="K251" s="2">
        <f t="shared" si="12"/>
        <v>636</v>
      </c>
      <c r="L251" s="2">
        <f t="shared" si="13"/>
        <v>0</v>
      </c>
      <c r="M251" s="2">
        <f t="shared" si="14"/>
        <v>0</v>
      </c>
      <c r="N251" s="2">
        <v>6.5799691075987266E-3</v>
      </c>
      <c r="O251" s="2">
        <f t="shared" si="15"/>
        <v>0</v>
      </c>
      <c r="P251" s="2">
        <v>0.50412148920214861</v>
      </c>
      <c r="Q251" s="2">
        <v>-7.0022707900925525</v>
      </c>
    </row>
    <row r="252" spans="1:17" ht="15">
      <c r="A252" s="2" t="s">
        <v>13</v>
      </c>
      <c r="B252" s="2">
        <v>1485.3823601268232</v>
      </c>
      <c r="C252" s="2">
        <v>1069.7346172644757</v>
      </c>
      <c r="D252" s="2">
        <v>452.92082075029612</v>
      </c>
      <c r="E252" s="2">
        <v>313.49160986253992</v>
      </c>
      <c r="F252" s="2">
        <v>23.921262497082353</v>
      </c>
      <c r="G252" s="2">
        <v>0.83025461810873824</v>
      </c>
      <c r="H252" s="2">
        <v>40</v>
      </c>
      <c r="I252" s="2">
        <v>25</v>
      </c>
      <c r="J252" s="2">
        <f>(IF(A252='Hybrid Calculator'!$B$6,0,1))^2+((B252-'Hybrid Calculator'!$B$7)/1500)^2+((C252-'Hybrid Calculator'!$B$8)/1300)^2+((D252-'Hybrid Calculator'!$B$9)/800)^2+((E252-'Hybrid Calculator'!$B$10)/350)^2+((F252-'Hybrid Calculator'!$B$11)/30)^2+(G252-'Hybrid Calculator'!$B$12)^2+((H252-'Hybrid Calculator'!$E$14)/IF(A252="Lightning",100,30000))^2+((I252-'Hybrid Calculator'!$E$17)/IF(A252="Lightning",100,30000))^2</f>
        <v>0.29461452297157315</v>
      </c>
      <c r="K252" s="2">
        <f t="shared" si="12"/>
        <v>594</v>
      </c>
      <c r="L252" s="2">
        <f t="shared" si="13"/>
        <v>0</v>
      </c>
      <c r="M252" s="2">
        <f t="shared" si="14"/>
        <v>0</v>
      </c>
      <c r="N252" s="2">
        <v>1.1981704378305036E-2</v>
      </c>
      <c r="O252" s="2">
        <f t="shared" si="15"/>
        <v>0</v>
      </c>
      <c r="P252" s="2">
        <v>0.9609287455672515</v>
      </c>
      <c r="Q252" s="2">
        <v>-15.349675655716055</v>
      </c>
    </row>
    <row r="253" spans="1:17" ht="15">
      <c r="A253" s="2" t="s">
        <v>13</v>
      </c>
      <c r="B253" s="2">
        <v>1484.5165410661139</v>
      </c>
      <c r="C253" s="2">
        <v>1167.3558327602223</v>
      </c>
      <c r="D253" s="2">
        <v>516.75039464607835</v>
      </c>
      <c r="E253" s="2">
        <v>264.42215793766081</v>
      </c>
      <c r="F253" s="2">
        <v>16.928319670725614</v>
      </c>
      <c r="G253" s="2">
        <v>0.85520630440209067</v>
      </c>
      <c r="H253" s="2">
        <v>40</v>
      </c>
      <c r="I253" s="2">
        <v>25</v>
      </c>
      <c r="J253" s="2">
        <f>(IF(A253='Hybrid Calculator'!$B$6,0,1))^2+((B253-'Hybrid Calculator'!$B$7)/1500)^2+((C253-'Hybrid Calculator'!$B$8)/1300)^2+((D253-'Hybrid Calculator'!$B$9)/800)^2+((E253-'Hybrid Calculator'!$B$10)/350)^2+((F253-'Hybrid Calculator'!$B$11)/30)^2+(G253-'Hybrid Calculator'!$B$12)^2+((H253-'Hybrid Calculator'!$E$14)/IF(A253="Lightning",100,30000))^2+((I253-'Hybrid Calculator'!$E$17)/IF(A253="Lightning",100,30000))^2</f>
        <v>0.18246833927090519</v>
      </c>
      <c r="K253" s="2">
        <f t="shared" si="12"/>
        <v>405</v>
      </c>
      <c r="L253" s="2">
        <f t="shared" si="13"/>
        <v>0</v>
      </c>
      <c r="M253" s="2">
        <f t="shared" si="14"/>
        <v>0</v>
      </c>
      <c r="N253" s="2">
        <v>4.9481952197050205E-3</v>
      </c>
      <c r="O253" s="2">
        <f t="shared" si="15"/>
        <v>0</v>
      </c>
      <c r="P253" s="2">
        <v>1.4565229952621337</v>
      </c>
      <c r="Q253" s="2">
        <v>-6.1984757828577131</v>
      </c>
    </row>
    <row r="254" spans="1:17" ht="15">
      <c r="A254" s="2" t="s">
        <v>13</v>
      </c>
      <c r="B254" s="2">
        <v>1356.9545974954963</v>
      </c>
      <c r="C254" s="2">
        <v>759.49434306239709</v>
      </c>
      <c r="D254" s="2">
        <v>580.66468853503466</v>
      </c>
      <c r="E254" s="2">
        <v>101.94435481214896</v>
      </c>
      <c r="F254" s="2">
        <v>28.786540320143104</v>
      </c>
      <c r="G254" s="2">
        <v>0.83206325964303696</v>
      </c>
      <c r="H254" s="2">
        <v>50</v>
      </c>
      <c r="I254" s="2">
        <v>25</v>
      </c>
      <c r="J254" s="2">
        <f>(IF(A254='Hybrid Calculator'!$B$6,0,1))^2+((B254-'Hybrid Calculator'!$B$7)/1500)^2+((C254-'Hybrid Calculator'!$B$8)/1300)^2+((D254-'Hybrid Calculator'!$B$9)/800)^2+((E254-'Hybrid Calculator'!$B$10)/350)^2+((F254-'Hybrid Calculator'!$B$11)/30)^2+(G254-'Hybrid Calculator'!$B$12)^2+((H254-'Hybrid Calculator'!$E$14)/IF(A254="Lightning",100,30000))^2+((I254-'Hybrid Calculator'!$E$17)/IF(A254="Lightning",100,30000))^2</f>
        <v>0.15363884686092474</v>
      </c>
      <c r="K254" s="2">
        <f t="shared" si="12"/>
        <v>336</v>
      </c>
      <c r="L254" s="2">
        <f t="shared" si="13"/>
        <v>0</v>
      </c>
      <c r="M254" s="2">
        <f t="shared" si="14"/>
        <v>0</v>
      </c>
      <c r="N254" s="2">
        <v>-1.0405830776744951E-2</v>
      </c>
      <c r="O254" s="2">
        <f t="shared" si="15"/>
        <v>0</v>
      </c>
      <c r="P254" s="2">
        <v>0.71586741479804061</v>
      </c>
      <c r="Q254" s="2">
        <v>-4.4854723727946748</v>
      </c>
    </row>
    <row r="255" spans="1:17" ht="15">
      <c r="A255" s="2" t="s">
        <v>13</v>
      </c>
      <c r="B255" s="2">
        <v>1446.3499028817751</v>
      </c>
      <c r="C255" s="2">
        <v>632.5194243574515</v>
      </c>
      <c r="D255" s="2">
        <v>441.24478111043572</v>
      </c>
      <c r="E255" s="2">
        <v>151.06564822606742</v>
      </c>
      <c r="F255" s="2">
        <v>17.427482951898128</v>
      </c>
      <c r="G255" s="2">
        <v>0.84171728428918868</v>
      </c>
      <c r="H255" s="2">
        <v>60</v>
      </c>
      <c r="I255" s="2">
        <v>25</v>
      </c>
      <c r="J255" s="2">
        <f>(IF(A255='Hybrid Calculator'!$B$6,0,1))^2+((B255-'Hybrid Calculator'!$B$7)/1500)^2+((C255-'Hybrid Calculator'!$B$8)/1300)^2+((D255-'Hybrid Calculator'!$B$9)/800)^2+((E255-'Hybrid Calculator'!$B$10)/350)^2+((F255-'Hybrid Calculator'!$B$11)/30)^2+(G255-'Hybrid Calculator'!$B$12)^2+((H255-'Hybrid Calculator'!$E$14)/IF(A255="Lightning",100,30000))^2+((I255-'Hybrid Calculator'!$E$17)/IF(A255="Lightning",100,30000))^2</f>
        <v>4.5342488729692737E-2</v>
      </c>
      <c r="K255" s="2">
        <f t="shared" si="12"/>
        <v>43</v>
      </c>
      <c r="L255" s="2">
        <f t="shared" si="13"/>
        <v>0</v>
      </c>
      <c r="M255" s="2">
        <f t="shared" si="14"/>
        <v>0</v>
      </c>
      <c r="N255" s="2">
        <v>1.2174263199955515E-3</v>
      </c>
      <c r="O255" s="2">
        <f t="shared" si="15"/>
        <v>0</v>
      </c>
      <c r="P255" s="2">
        <v>-0.10528545125343669</v>
      </c>
      <c r="Q255" s="2">
        <v>14.804801363793558</v>
      </c>
    </row>
    <row r="256" spans="1:17" ht="15">
      <c r="A256" s="2" t="s">
        <v>13</v>
      </c>
      <c r="B256" s="2">
        <v>1438.4637511102483</v>
      </c>
      <c r="C256" s="2">
        <v>1079.8169216723181</v>
      </c>
      <c r="D256" s="2">
        <v>389.9943370372057</v>
      </c>
      <c r="E256" s="2">
        <v>122.67752746818587</v>
      </c>
      <c r="F256" s="2">
        <v>18.597485826350749</v>
      </c>
      <c r="G256" s="2">
        <v>0.81955464235274122</v>
      </c>
      <c r="H256" s="2">
        <v>45</v>
      </c>
      <c r="I256" s="2">
        <v>25</v>
      </c>
      <c r="J256" s="2">
        <f>(IF(A256='Hybrid Calculator'!$B$6,0,1))^2+((B256-'Hybrid Calculator'!$B$7)/1500)^2+((C256-'Hybrid Calculator'!$B$8)/1300)^2+((D256-'Hybrid Calculator'!$B$9)/800)^2+((E256-'Hybrid Calculator'!$B$10)/350)^2+((F256-'Hybrid Calculator'!$B$11)/30)^2+(G256-'Hybrid Calculator'!$B$12)^2+((H256-'Hybrid Calculator'!$E$14)/IF(A256="Lightning",100,30000))^2+((I256-'Hybrid Calculator'!$E$17)/IF(A256="Lightning",100,30000))^2</f>
        <v>5.8845503524641907E-2</v>
      </c>
      <c r="K256" s="2">
        <f t="shared" si="12"/>
        <v>78</v>
      </c>
      <c r="L256" s="2">
        <f t="shared" si="13"/>
        <v>0</v>
      </c>
      <c r="M256" s="2">
        <f t="shared" si="14"/>
        <v>0</v>
      </c>
      <c r="N256" s="2">
        <v>1.1697055960593117E-2</v>
      </c>
      <c r="O256" s="2">
        <f t="shared" si="15"/>
        <v>0</v>
      </c>
      <c r="P256" s="2">
        <v>0.7103149673764122</v>
      </c>
      <c r="Q256" s="2">
        <v>6.0752546575856741</v>
      </c>
    </row>
    <row r="257" spans="1:17" ht="15">
      <c r="A257" s="2" t="s">
        <v>13</v>
      </c>
      <c r="B257" s="2">
        <v>1436.7534047341906</v>
      </c>
      <c r="C257" s="2">
        <v>801.17662264965475</v>
      </c>
      <c r="D257" s="2">
        <v>701.54467625543475</v>
      </c>
      <c r="E257" s="2">
        <v>202.91954166721553</v>
      </c>
      <c r="F257" s="2">
        <v>26.401734131854028</v>
      </c>
      <c r="G257" s="2">
        <v>0.83358874458819632</v>
      </c>
      <c r="H257" s="2">
        <v>40</v>
      </c>
      <c r="I257" s="2">
        <v>25</v>
      </c>
      <c r="J257" s="2">
        <f>(IF(A257='Hybrid Calculator'!$B$6,0,1))^2+((B257-'Hybrid Calculator'!$B$7)/1500)^2+((C257-'Hybrid Calculator'!$B$8)/1300)^2+((D257-'Hybrid Calculator'!$B$9)/800)^2+((E257-'Hybrid Calculator'!$B$10)/350)^2+((F257-'Hybrid Calculator'!$B$11)/30)^2+(G257-'Hybrid Calculator'!$B$12)^2+((H257-'Hybrid Calculator'!$E$14)/IF(A257="Lightning",100,30000))^2+((I257-'Hybrid Calculator'!$E$17)/IF(A257="Lightning",100,30000))^2</f>
        <v>0.1673616234102949</v>
      </c>
      <c r="K257" s="2">
        <f t="shared" si="12"/>
        <v>377</v>
      </c>
      <c r="L257" s="2">
        <f t="shared" si="13"/>
        <v>0</v>
      </c>
      <c r="M257" s="2">
        <f t="shared" si="14"/>
        <v>0</v>
      </c>
      <c r="N257" s="2">
        <v>6.489620116915118E-3</v>
      </c>
      <c r="O257" s="2">
        <f t="shared" si="15"/>
        <v>0</v>
      </c>
      <c r="P257" s="2">
        <v>-1.0575000893723256</v>
      </c>
      <c r="Q257" s="2">
        <v>-12.13943738801504</v>
      </c>
    </row>
    <row r="258" spans="1:17" ht="15">
      <c r="A258" s="2" t="s">
        <v>13</v>
      </c>
      <c r="B258" s="2">
        <v>1472.2474103327841</v>
      </c>
      <c r="C258" s="2">
        <v>843.07561767054722</v>
      </c>
      <c r="D258" s="2">
        <v>409.0444615110755</v>
      </c>
      <c r="E258" s="2">
        <v>252.95244504930452</v>
      </c>
      <c r="F258" s="2">
        <v>28.029916439205408</v>
      </c>
      <c r="G258" s="2">
        <v>0.80862783931428572</v>
      </c>
      <c r="H258" s="2">
        <v>45</v>
      </c>
      <c r="I258" s="2">
        <v>25</v>
      </c>
      <c r="J258" s="2">
        <f>(IF(A258='Hybrid Calculator'!$B$6,0,1))^2+((B258-'Hybrid Calculator'!$B$7)/1500)^2+((C258-'Hybrid Calculator'!$B$8)/1300)^2+((D258-'Hybrid Calculator'!$B$9)/800)^2+((E258-'Hybrid Calculator'!$B$10)/350)^2+((F258-'Hybrid Calculator'!$B$11)/30)^2+(G258-'Hybrid Calculator'!$B$12)^2+((H258-'Hybrid Calculator'!$E$14)/IF(A258="Lightning",100,30000))^2+((I258-'Hybrid Calculator'!$E$17)/IF(A258="Lightning",100,30000))^2</f>
        <v>0.20401073179260248</v>
      </c>
      <c r="K258" s="2">
        <f t="shared" ref="K258:K321" si="16">RANK(J258,$J$2:$J$1401,1)</f>
        <v>454</v>
      </c>
      <c r="L258" s="2">
        <f t="shared" ref="L258:L321" si="17">IF(K258&lt;=7,1,0)</f>
        <v>0</v>
      </c>
      <c r="M258" s="2">
        <f t="shared" ref="M258:M321" si="18">IF(L258=1,1/(J258+0.000001),0)</f>
        <v>0</v>
      </c>
      <c r="N258" s="2">
        <v>-1.3507099850474269E-2</v>
      </c>
      <c r="O258" s="2">
        <f t="shared" ref="O258:O321" si="19">M258</f>
        <v>0</v>
      </c>
      <c r="P258" s="2">
        <v>0.49983075871463711</v>
      </c>
      <c r="Q258" s="2">
        <v>-17.717514973968946</v>
      </c>
    </row>
    <row r="259" spans="1:17" ht="15">
      <c r="A259" s="2" t="s">
        <v>13</v>
      </c>
      <c r="B259" s="2">
        <v>1481.0315562528558</v>
      </c>
      <c r="C259" s="2">
        <v>975.18858320545405</v>
      </c>
      <c r="D259" s="2">
        <v>368.40260969474912</v>
      </c>
      <c r="E259" s="2">
        <v>141.45583838224411</v>
      </c>
      <c r="F259" s="2">
        <v>15.779217431787401</v>
      </c>
      <c r="G259" s="2">
        <v>0.83164726785849785</v>
      </c>
      <c r="H259" s="2">
        <v>50</v>
      </c>
      <c r="I259" s="2">
        <v>25</v>
      </c>
      <c r="J259" s="2">
        <f>(IF(A259='Hybrid Calculator'!$B$6,0,1))^2+((B259-'Hybrid Calculator'!$B$7)/1500)^2+((C259-'Hybrid Calculator'!$B$8)/1300)^2+((D259-'Hybrid Calculator'!$B$9)/800)^2+((E259-'Hybrid Calculator'!$B$10)/350)^2+((F259-'Hybrid Calculator'!$B$11)/30)^2+(G259-'Hybrid Calculator'!$B$12)^2+((H259-'Hybrid Calculator'!$E$14)/IF(A259="Lightning",100,30000))^2+((I259-'Hybrid Calculator'!$E$17)/IF(A259="Lightning",100,30000))^2</f>
        <v>4.6684780445153437E-2</v>
      </c>
      <c r="K259" s="2">
        <f t="shared" si="16"/>
        <v>46</v>
      </c>
      <c r="L259" s="2">
        <f t="shared" si="17"/>
        <v>0</v>
      </c>
      <c r="M259" s="2">
        <f t="shared" si="18"/>
        <v>0</v>
      </c>
      <c r="N259" s="2">
        <v>3.6001951960189515E-3</v>
      </c>
      <c r="O259" s="2">
        <f t="shared" si="19"/>
        <v>0</v>
      </c>
      <c r="P259" s="2">
        <v>0.46637585910188761</v>
      </c>
      <c r="Q259" s="2">
        <v>12.905086263448993</v>
      </c>
    </row>
    <row r="260" spans="1:17" ht="15">
      <c r="A260" s="2" t="s">
        <v>13</v>
      </c>
      <c r="B260" s="2">
        <v>1442.9888429353014</v>
      </c>
      <c r="C260" s="2">
        <v>1203.1873398576863</v>
      </c>
      <c r="D260" s="2">
        <v>356.35126009583473</v>
      </c>
      <c r="E260" s="2">
        <v>283.52388027822599</v>
      </c>
      <c r="F260" s="2">
        <v>20.833665444515646</v>
      </c>
      <c r="G260" s="2">
        <v>0.80962395211448901</v>
      </c>
      <c r="H260" s="2">
        <v>40</v>
      </c>
      <c r="I260" s="2">
        <v>25</v>
      </c>
      <c r="J260" s="2">
        <f>(IF(A260='Hybrid Calculator'!$B$6,0,1))^2+((B260-'Hybrid Calculator'!$B$7)/1500)^2+((C260-'Hybrid Calculator'!$B$8)/1300)^2+((D260-'Hybrid Calculator'!$B$9)/800)^2+((E260-'Hybrid Calculator'!$B$10)/350)^2+((F260-'Hybrid Calculator'!$B$11)/30)^2+(G260-'Hybrid Calculator'!$B$12)^2+((H260-'Hybrid Calculator'!$E$14)/IF(A260="Lightning",100,30000))^2+((I260-'Hybrid Calculator'!$E$17)/IF(A260="Lightning",100,30000))^2</f>
        <v>0.26789594193354777</v>
      </c>
      <c r="K260" s="2">
        <f t="shared" si="16"/>
        <v>570</v>
      </c>
      <c r="L260" s="2">
        <f t="shared" si="17"/>
        <v>0</v>
      </c>
      <c r="M260" s="2">
        <f t="shared" si="18"/>
        <v>0</v>
      </c>
      <c r="N260" s="2">
        <v>1.135457707324572E-2</v>
      </c>
      <c r="O260" s="2">
        <f t="shared" si="19"/>
        <v>0</v>
      </c>
      <c r="P260" s="2">
        <v>1.7222778197132698</v>
      </c>
      <c r="Q260" s="2">
        <v>-6.8305222089393283</v>
      </c>
    </row>
    <row r="261" spans="1:17" ht="15">
      <c r="A261" s="2" t="s">
        <v>13</v>
      </c>
      <c r="B261" s="2">
        <v>1412.7015259000473</v>
      </c>
      <c r="C261" s="2">
        <v>1002.1722124889493</v>
      </c>
      <c r="D261" s="2">
        <v>722.57683118805289</v>
      </c>
      <c r="E261" s="2">
        <v>295.22530179936439</v>
      </c>
      <c r="F261" s="2">
        <v>25.995523059275001</v>
      </c>
      <c r="G261" s="2">
        <v>0.8320437026675791</v>
      </c>
      <c r="H261" s="2">
        <v>35</v>
      </c>
      <c r="I261" s="2">
        <v>25</v>
      </c>
      <c r="J261" s="2">
        <f>(IF(A261='Hybrid Calculator'!$B$6,0,1))^2+((B261-'Hybrid Calculator'!$B$7)/1500)^2+((C261-'Hybrid Calculator'!$B$8)/1300)^2+((D261-'Hybrid Calculator'!$B$9)/800)^2+((E261-'Hybrid Calculator'!$B$10)/350)^2+((F261-'Hybrid Calculator'!$B$11)/30)^2+(G261-'Hybrid Calculator'!$B$12)^2+((H261-'Hybrid Calculator'!$E$14)/IF(A261="Lightning",100,30000))^2+((I261-'Hybrid Calculator'!$E$17)/IF(A261="Lightning",100,30000))^2</f>
        <v>0.34841306351153334</v>
      </c>
      <c r="K261" s="2">
        <f t="shared" si="16"/>
        <v>648</v>
      </c>
      <c r="L261" s="2">
        <f t="shared" si="17"/>
        <v>0</v>
      </c>
      <c r="M261" s="2">
        <f t="shared" si="18"/>
        <v>0</v>
      </c>
      <c r="N261" s="2">
        <v>2.5609618854089966E-3</v>
      </c>
      <c r="O261" s="2">
        <f t="shared" si="19"/>
        <v>0</v>
      </c>
      <c r="P261" s="2">
        <v>1.2192452533427343</v>
      </c>
      <c r="Q261" s="2">
        <v>-24.209689353561544</v>
      </c>
    </row>
    <row r="262" spans="1:17" ht="15">
      <c r="A262" s="2" t="s">
        <v>13</v>
      </c>
      <c r="B262" s="2">
        <v>1472.5564015097916</v>
      </c>
      <c r="C262" s="2">
        <v>728.41088784625754</v>
      </c>
      <c r="D262" s="2">
        <v>680.1762918010354</v>
      </c>
      <c r="E262" s="2">
        <v>321.58581724623218</v>
      </c>
      <c r="F262" s="2">
        <v>24.849252449348569</v>
      </c>
      <c r="G262" s="2">
        <v>0.82540328695671639</v>
      </c>
      <c r="H262" s="2">
        <v>40</v>
      </c>
      <c r="I262" s="2">
        <v>25</v>
      </c>
      <c r="J262" s="2">
        <f>(IF(A262='Hybrid Calculator'!$B$6,0,1))^2+((B262-'Hybrid Calculator'!$B$7)/1500)^2+((C262-'Hybrid Calculator'!$B$8)/1300)^2+((D262-'Hybrid Calculator'!$B$9)/800)^2+((E262-'Hybrid Calculator'!$B$10)/350)^2+((F262-'Hybrid Calculator'!$B$11)/30)^2+(G262-'Hybrid Calculator'!$B$12)^2+((H262-'Hybrid Calculator'!$E$14)/IF(A262="Lightning",100,30000))^2+((I262-'Hybrid Calculator'!$E$17)/IF(A262="Lightning",100,30000))^2</f>
        <v>0.3556390238724349</v>
      </c>
      <c r="K262" s="2">
        <f t="shared" si="16"/>
        <v>654</v>
      </c>
      <c r="L262" s="2">
        <f t="shared" si="17"/>
        <v>0</v>
      </c>
      <c r="M262" s="2">
        <f t="shared" si="18"/>
        <v>0</v>
      </c>
      <c r="N262" s="2">
        <v>-2.5442770718824281E-3</v>
      </c>
      <c r="O262" s="2">
        <f t="shared" si="19"/>
        <v>0</v>
      </c>
      <c r="P262" s="2">
        <v>-1.0828990435314907</v>
      </c>
      <c r="Q262" s="2">
        <v>-13.794925951155847</v>
      </c>
    </row>
    <row r="263" spans="1:17" ht="15">
      <c r="A263" s="2" t="s">
        <v>13</v>
      </c>
      <c r="B263" s="2">
        <v>1495.5932467826642</v>
      </c>
      <c r="C263" s="2">
        <v>749.54814363736659</v>
      </c>
      <c r="D263" s="2">
        <v>459.06595075502992</v>
      </c>
      <c r="E263" s="2">
        <v>265.06731581874192</v>
      </c>
      <c r="F263" s="2">
        <v>28.49345624493435</v>
      </c>
      <c r="G263" s="2">
        <v>0.84552143784705558</v>
      </c>
      <c r="H263" s="2">
        <v>50</v>
      </c>
      <c r="I263" s="2">
        <v>25</v>
      </c>
      <c r="J263" s="2">
        <f>(IF(A263='Hybrid Calculator'!$B$6,0,1))^2+((B263-'Hybrid Calculator'!$B$7)/1500)^2+((C263-'Hybrid Calculator'!$B$8)/1300)^2+((D263-'Hybrid Calculator'!$B$9)/800)^2+((E263-'Hybrid Calculator'!$B$10)/350)^2+((F263-'Hybrid Calculator'!$B$11)/30)^2+(G263-'Hybrid Calculator'!$B$12)^2+((H263-'Hybrid Calculator'!$E$14)/IF(A263="Lightning",100,30000))^2+((I263-'Hybrid Calculator'!$E$17)/IF(A263="Lightning",100,30000))^2</f>
        <v>0.23050641663633434</v>
      </c>
      <c r="K263" s="2">
        <f t="shared" si="16"/>
        <v>504</v>
      </c>
      <c r="L263" s="2">
        <f t="shared" si="17"/>
        <v>0</v>
      </c>
      <c r="M263" s="2">
        <f t="shared" si="18"/>
        <v>0</v>
      </c>
      <c r="N263" s="2">
        <v>-8.1889838082520594E-3</v>
      </c>
      <c r="O263" s="2">
        <f t="shared" si="19"/>
        <v>0</v>
      </c>
      <c r="P263" s="2">
        <v>-1.1081888787189911</v>
      </c>
      <c r="Q263" s="2">
        <v>-14.157445501454504</v>
      </c>
    </row>
    <row r="264" spans="1:17" ht="15">
      <c r="A264" s="2" t="s">
        <v>13</v>
      </c>
      <c r="B264" s="2">
        <v>1432.8501840820536</v>
      </c>
      <c r="C264" s="2">
        <v>1198.3006301918067</v>
      </c>
      <c r="D264" s="2">
        <v>386.87027655541897</v>
      </c>
      <c r="E264" s="2">
        <v>324.69412368489429</v>
      </c>
      <c r="F264" s="2">
        <v>11.981436085887253</v>
      </c>
      <c r="G264" s="2">
        <v>0.83166386280907323</v>
      </c>
      <c r="H264" s="2">
        <v>40</v>
      </c>
      <c r="I264" s="2">
        <v>25</v>
      </c>
      <c r="J264" s="2">
        <f>(IF(A264='Hybrid Calculator'!$B$6,0,1))^2+((B264-'Hybrid Calculator'!$B$7)/1500)^2+((C264-'Hybrid Calculator'!$B$8)/1300)^2+((D264-'Hybrid Calculator'!$B$9)/800)^2+((E264-'Hybrid Calculator'!$B$10)/350)^2+((F264-'Hybrid Calculator'!$B$11)/30)^2+(G264-'Hybrid Calculator'!$B$12)^2+((H264-'Hybrid Calculator'!$E$14)/IF(A264="Lightning",100,30000))^2+((I264-'Hybrid Calculator'!$E$17)/IF(A264="Lightning",100,30000))^2</f>
        <v>0.39828367125906289</v>
      </c>
      <c r="K264" s="2">
        <f t="shared" si="16"/>
        <v>684</v>
      </c>
      <c r="L264" s="2">
        <f t="shared" si="17"/>
        <v>0</v>
      </c>
      <c r="M264" s="2">
        <f t="shared" si="18"/>
        <v>0</v>
      </c>
      <c r="N264" s="2">
        <v>6.7941601779750727E-3</v>
      </c>
      <c r="O264" s="2">
        <f t="shared" si="19"/>
        <v>0</v>
      </c>
      <c r="P264" s="2">
        <v>6.3045160963277169E-2</v>
      </c>
      <c r="Q264" s="2">
        <v>-6.3919643255046594</v>
      </c>
    </row>
    <row r="265" spans="1:17" ht="15">
      <c r="A265" s="2" t="s">
        <v>13</v>
      </c>
      <c r="B265" s="2">
        <v>1363.6312731890939</v>
      </c>
      <c r="C265" s="2">
        <v>731.79951407946646</v>
      </c>
      <c r="D265" s="2">
        <v>528.22603462263942</v>
      </c>
      <c r="E265" s="2">
        <v>195.44214875902981</v>
      </c>
      <c r="F265" s="2">
        <v>21.347850322257727</v>
      </c>
      <c r="G265" s="2">
        <v>0.83375366369262338</v>
      </c>
      <c r="H265" s="2">
        <v>50</v>
      </c>
      <c r="I265" s="2">
        <v>25</v>
      </c>
      <c r="J265" s="2">
        <f>(IF(A265='Hybrid Calculator'!$B$6,0,1))^2+((B265-'Hybrid Calculator'!$B$7)/1500)^2+((C265-'Hybrid Calculator'!$B$8)/1300)^2+((D265-'Hybrid Calculator'!$B$9)/800)^2+((E265-'Hybrid Calculator'!$B$10)/350)^2+((F265-'Hybrid Calculator'!$B$11)/30)^2+(G265-'Hybrid Calculator'!$B$12)^2+((H265-'Hybrid Calculator'!$E$14)/IF(A265="Lightning",100,30000))^2+((I265-'Hybrid Calculator'!$E$17)/IF(A265="Lightning",100,30000))^2</f>
        <v>3.7243369026940872E-2</v>
      </c>
      <c r="K265" s="2">
        <f t="shared" si="16"/>
        <v>31</v>
      </c>
      <c r="L265" s="2">
        <f t="shared" si="17"/>
        <v>0</v>
      </c>
      <c r="M265" s="2">
        <f t="shared" si="18"/>
        <v>0</v>
      </c>
      <c r="N265" s="2">
        <v>-6.5975142442076251E-3</v>
      </c>
      <c r="O265" s="2">
        <f t="shared" si="19"/>
        <v>0</v>
      </c>
      <c r="P265" s="2">
        <v>-0.70840473259320191</v>
      </c>
      <c r="Q265" s="2">
        <v>8.6903968813535357</v>
      </c>
    </row>
    <row r="266" spans="1:17" ht="15">
      <c r="A266" s="2" t="s">
        <v>13</v>
      </c>
      <c r="B266" s="2">
        <v>1391.368879051879</v>
      </c>
      <c r="C266" s="2">
        <v>1114.8607745650224</v>
      </c>
      <c r="D266" s="2">
        <v>617.21663158386946</v>
      </c>
      <c r="E266" s="2">
        <v>116.32145590381697</v>
      </c>
      <c r="F266" s="2">
        <v>10.675665885210037</v>
      </c>
      <c r="G266" s="2">
        <v>0.84075341930845759</v>
      </c>
      <c r="H266" s="2">
        <v>40</v>
      </c>
      <c r="I266" s="2">
        <v>25</v>
      </c>
      <c r="J266" s="2">
        <f>(IF(A266='Hybrid Calculator'!$B$6,0,1))^2+((B266-'Hybrid Calculator'!$B$7)/1500)^2+((C266-'Hybrid Calculator'!$B$8)/1300)^2+((D266-'Hybrid Calculator'!$B$9)/800)^2+((E266-'Hybrid Calculator'!$B$10)/350)^2+((F266-'Hybrid Calculator'!$B$11)/30)^2+(G266-'Hybrid Calculator'!$B$12)^2+((H266-'Hybrid Calculator'!$E$14)/IF(A266="Lightning",100,30000))^2+((I266-'Hybrid Calculator'!$E$17)/IF(A266="Lightning",100,30000))^2</f>
        <v>0.15119292623940908</v>
      </c>
      <c r="K266" s="2">
        <f t="shared" si="16"/>
        <v>330</v>
      </c>
      <c r="L266" s="2">
        <f t="shared" si="17"/>
        <v>0</v>
      </c>
      <c r="M266" s="2">
        <f t="shared" si="18"/>
        <v>0</v>
      </c>
      <c r="N266" s="2">
        <v>3.7162099325025455E-3</v>
      </c>
      <c r="O266" s="2">
        <f t="shared" si="19"/>
        <v>0</v>
      </c>
      <c r="P266" s="2">
        <v>1.2659943955588417</v>
      </c>
      <c r="Q266" s="2">
        <v>3.5219491622262922</v>
      </c>
    </row>
    <row r="267" spans="1:17" ht="15">
      <c r="A267" s="2" t="s">
        <v>13</v>
      </c>
      <c r="B267" s="2">
        <v>1399.5288380538113</v>
      </c>
      <c r="C267" s="2">
        <v>923.14410374965519</v>
      </c>
      <c r="D267" s="2">
        <v>407.06958593800664</v>
      </c>
      <c r="E267" s="2">
        <v>234.35040602460504</v>
      </c>
      <c r="F267" s="2">
        <v>22.837248703930527</v>
      </c>
      <c r="G267" s="2">
        <v>0.8491576534276829</v>
      </c>
      <c r="H267" s="2">
        <v>45</v>
      </c>
      <c r="I267" s="2">
        <v>25</v>
      </c>
      <c r="J267" s="2">
        <f>(IF(A267='Hybrid Calculator'!$B$6,0,1))^2+((B267-'Hybrid Calculator'!$B$7)/1500)^2+((C267-'Hybrid Calculator'!$B$8)/1300)^2+((D267-'Hybrid Calculator'!$B$9)/800)^2+((E267-'Hybrid Calculator'!$B$10)/350)^2+((F267-'Hybrid Calculator'!$B$11)/30)^2+(G267-'Hybrid Calculator'!$B$12)^2+((H267-'Hybrid Calculator'!$E$14)/IF(A267="Lightning",100,30000))^2+((I267-'Hybrid Calculator'!$E$17)/IF(A267="Lightning",100,30000))^2</f>
        <v>9.9281555326515392E-2</v>
      </c>
      <c r="K267" s="2">
        <f t="shared" si="16"/>
        <v>201</v>
      </c>
      <c r="L267" s="2">
        <f t="shared" si="17"/>
        <v>0</v>
      </c>
      <c r="M267" s="2">
        <f t="shared" si="18"/>
        <v>0</v>
      </c>
      <c r="N267" s="2">
        <v>4.1734839025850956E-3</v>
      </c>
      <c r="O267" s="2">
        <f t="shared" si="19"/>
        <v>0</v>
      </c>
      <c r="P267" s="2">
        <v>2.7492938625464092E-2</v>
      </c>
      <c r="Q267" s="2">
        <v>-3.7940425855472313</v>
      </c>
    </row>
    <row r="268" spans="1:17" ht="15">
      <c r="A268" s="2" t="s">
        <v>13</v>
      </c>
      <c r="B268" s="2">
        <v>1355.8091390412301</v>
      </c>
      <c r="C268" s="2">
        <v>784.4821308623068</v>
      </c>
      <c r="D268" s="2">
        <v>548.34939297288656</v>
      </c>
      <c r="E268" s="2">
        <v>91.103364464361221</v>
      </c>
      <c r="F268" s="2">
        <v>20.034178998321295</v>
      </c>
      <c r="G268" s="2">
        <v>0.85678851504111664</v>
      </c>
      <c r="H268" s="2">
        <v>60</v>
      </c>
      <c r="I268" s="2">
        <v>25</v>
      </c>
      <c r="J268" s="2">
        <f>(IF(A268='Hybrid Calculator'!$B$6,0,1))^2+((B268-'Hybrid Calculator'!$B$7)/1500)^2+((C268-'Hybrid Calculator'!$B$8)/1300)^2+((D268-'Hybrid Calculator'!$B$9)/800)^2+((E268-'Hybrid Calculator'!$B$10)/350)^2+((F268-'Hybrid Calculator'!$B$11)/30)^2+(G268-'Hybrid Calculator'!$B$12)^2+((H268-'Hybrid Calculator'!$E$14)/IF(A268="Lightning",100,30000))^2+((I268-'Hybrid Calculator'!$E$17)/IF(A268="Lightning",100,30000))^2</f>
        <v>5.0605785980674951E-2</v>
      </c>
      <c r="K268" s="2">
        <f t="shared" si="16"/>
        <v>55</v>
      </c>
      <c r="L268" s="2">
        <f t="shared" si="17"/>
        <v>0</v>
      </c>
      <c r="M268" s="2">
        <f t="shared" si="18"/>
        <v>0</v>
      </c>
      <c r="N268" s="2">
        <v>-3.9956519724502204E-3</v>
      </c>
      <c r="O268" s="2">
        <f t="shared" si="19"/>
        <v>0</v>
      </c>
      <c r="P268" s="2">
        <v>-0.42921232065076964</v>
      </c>
      <c r="Q268" s="2">
        <v>5.5509746093121066</v>
      </c>
    </row>
    <row r="269" spans="1:17" ht="15">
      <c r="A269" s="2" t="s">
        <v>13</v>
      </c>
      <c r="B269" s="2">
        <v>1396.9656143453903</v>
      </c>
      <c r="C269" s="2">
        <v>1140.0566461263224</v>
      </c>
      <c r="D269" s="2">
        <v>529.90006105974317</v>
      </c>
      <c r="E269" s="2">
        <v>232.22666133195162</v>
      </c>
      <c r="F269" s="2">
        <v>20.537409278098494</v>
      </c>
      <c r="G269" s="2">
        <v>0.82300220731180163</v>
      </c>
      <c r="H269" s="2">
        <v>40</v>
      </c>
      <c r="I269" s="2">
        <v>25</v>
      </c>
      <c r="J269" s="2">
        <f>(IF(A269='Hybrid Calculator'!$B$6,0,1))^2+((B269-'Hybrid Calculator'!$B$7)/1500)^2+((C269-'Hybrid Calculator'!$B$8)/1300)^2+((D269-'Hybrid Calculator'!$B$9)/800)^2+((E269-'Hybrid Calculator'!$B$10)/350)^2+((F269-'Hybrid Calculator'!$B$11)/30)^2+(G269-'Hybrid Calculator'!$B$12)^2+((H269-'Hybrid Calculator'!$E$14)/IF(A269="Lightning",100,30000))^2+((I269-'Hybrid Calculator'!$E$17)/IF(A269="Lightning",100,30000))^2</f>
        <v>0.12134389336129162</v>
      </c>
      <c r="K269" s="2">
        <f t="shared" si="16"/>
        <v>255</v>
      </c>
      <c r="L269" s="2">
        <f t="shared" si="17"/>
        <v>0</v>
      </c>
      <c r="M269" s="2">
        <f t="shared" si="18"/>
        <v>0</v>
      </c>
      <c r="N269" s="2">
        <v>2.3163860256727453E-3</v>
      </c>
      <c r="O269" s="2">
        <f t="shared" si="19"/>
        <v>0</v>
      </c>
      <c r="P269" s="2">
        <v>-0.27690938939620935</v>
      </c>
      <c r="Q269" s="2">
        <v>-3.3558347993464395</v>
      </c>
    </row>
    <row r="270" spans="1:17" ht="15">
      <c r="A270" s="2" t="s">
        <v>13</v>
      </c>
      <c r="B270" s="2">
        <v>1365.4048770898953</v>
      </c>
      <c r="C270" s="2">
        <v>983.27576696174219</v>
      </c>
      <c r="D270" s="2">
        <v>657.35149309039116</v>
      </c>
      <c r="E270" s="2">
        <v>291.53967030113563</v>
      </c>
      <c r="F270" s="2">
        <v>19.327799207530916</v>
      </c>
      <c r="G270" s="2">
        <v>0.79690267072757714</v>
      </c>
      <c r="H270" s="2">
        <v>35</v>
      </c>
      <c r="I270" s="2">
        <v>25</v>
      </c>
      <c r="J270" s="2">
        <f>(IF(A270='Hybrid Calculator'!$B$6,0,1))^2+((B270-'Hybrid Calculator'!$B$7)/1500)^2+((C270-'Hybrid Calculator'!$B$8)/1300)^2+((D270-'Hybrid Calculator'!$B$9)/800)^2+((E270-'Hybrid Calculator'!$B$10)/350)^2+((F270-'Hybrid Calculator'!$B$11)/30)^2+(G270-'Hybrid Calculator'!$B$12)^2+((H270-'Hybrid Calculator'!$E$14)/IF(A270="Lightning",100,30000))^2+((I270-'Hybrid Calculator'!$E$17)/IF(A270="Lightning",100,30000))^2</f>
        <v>0.2381089752158444</v>
      </c>
      <c r="K270" s="2">
        <f t="shared" si="16"/>
        <v>518</v>
      </c>
      <c r="L270" s="2">
        <f t="shared" si="17"/>
        <v>0</v>
      </c>
      <c r="M270" s="2">
        <f t="shared" si="18"/>
        <v>0</v>
      </c>
      <c r="N270" s="2">
        <v>3.731796198220616E-3</v>
      </c>
      <c r="O270" s="2">
        <f t="shared" si="19"/>
        <v>0</v>
      </c>
      <c r="P270" s="2">
        <v>1.2855945235534705</v>
      </c>
      <c r="Q270" s="2">
        <v>-12.193484118257174</v>
      </c>
    </row>
    <row r="271" spans="1:17" ht="15">
      <c r="A271" s="2" t="s">
        <v>13</v>
      </c>
      <c r="B271" s="2">
        <v>1411.7574067669921</v>
      </c>
      <c r="C271" s="2">
        <v>1175.9391013532877</v>
      </c>
      <c r="D271" s="2">
        <v>556.84570064768195</v>
      </c>
      <c r="E271" s="2">
        <v>288.93610746134073</v>
      </c>
      <c r="F271" s="2">
        <v>24.129439161624759</v>
      </c>
      <c r="G271" s="2">
        <v>0.8088172690849752</v>
      </c>
      <c r="H271" s="2">
        <v>35</v>
      </c>
      <c r="I271" s="2">
        <v>25</v>
      </c>
      <c r="J271" s="2">
        <f>(IF(A271='Hybrid Calculator'!$B$6,0,1))^2+((B271-'Hybrid Calculator'!$B$7)/1500)^2+((C271-'Hybrid Calculator'!$B$8)/1300)^2+((D271-'Hybrid Calculator'!$B$9)/800)^2+((E271-'Hybrid Calculator'!$B$10)/350)^2+((F271-'Hybrid Calculator'!$B$11)/30)^2+(G271-'Hybrid Calculator'!$B$12)^2+((H271-'Hybrid Calculator'!$E$14)/IF(A271="Lightning",100,30000))^2+((I271-'Hybrid Calculator'!$E$17)/IF(A271="Lightning",100,30000))^2</f>
        <v>0.28340307061046532</v>
      </c>
      <c r="K271" s="2">
        <f t="shared" si="16"/>
        <v>587</v>
      </c>
      <c r="L271" s="2">
        <f t="shared" si="17"/>
        <v>0</v>
      </c>
      <c r="M271" s="2">
        <f t="shared" si="18"/>
        <v>0</v>
      </c>
      <c r="N271" s="2">
        <v>1.0912704137407747E-2</v>
      </c>
      <c r="O271" s="2">
        <f t="shared" si="19"/>
        <v>0</v>
      </c>
      <c r="P271" s="2">
        <v>1.3576391464548792</v>
      </c>
      <c r="Q271" s="2">
        <v>-21.156585937276532</v>
      </c>
    </row>
    <row r="272" spans="1:17" ht="15">
      <c r="A272" s="2" t="s">
        <v>13</v>
      </c>
      <c r="B272" s="2">
        <v>1498.1896365992725</v>
      </c>
      <c r="C272" s="2">
        <v>1207.8392665251158</v>
      </c>
      <c r="D272" s="2">
        <v>632.18886200338602</v>
      </c>
      <c r="E272" s="2">
        <v>148.72085953364149</v>
      </c>
      <c r="F272" s="2">
        <v>21.00043604709208</v>
      </c>
      <c r="G272" s="2">
        <v>0.8027424861048349</v>
      </c>
      <c r="H272" s="2">
        <v>30</v>
      </c>
      <c r="I272" s="2">
        <v>25</v>
      </c>
      <c r="J272" s="2">
        <f>(IF(A272='Hybrid Calculator'!$B$6,0,1))^2+((B272-'Hybrid Calculator'!$B$7)/1500)^2+((C272-'Hybrid Calculator'!$B$8)/1300)^2+((D272-'Hybrid Calculator'!$B$9)/800)^2+((E272-'Hybrid Calculator'!$B$10)/350)^2+((F272-'Hybrid Calculator'!$B$11)/30)^2+(G272-'Hybrid Calculator'!$B$12)^2+((H272-'Hybrid Calculator'!$E$14)/IF(A272="Lightning",100,30000))^2+((I272-'Hybrid Calculator'!$E$17)/IF(A272="Lightning",100,30000))^2</f>
        <v>0.15271037665268983</v>
      </c>
      <c r="K272" s="2">
        <f t="shared" si="16"/>
        <v>331</v>
      </c>
      <c r="L272" s="2">
        <f t="shared" si="17"/>
        <v>0</v>
      </c>
      <c r="M272" s="2">
        <f t="shared" si="18"/>
        <v>0</v>
      </c>
      <c r="N272" s="2">
        <v>1.7050745519319399E-2</v>
      </c>
      <c r="O272" s="2">
        <f t="shared" si="19"/>
        <v>0</v>
      </c>
      <c r="P272" s="2">
        <v>0.68334149514274856</v>
      </c>
      <c r="Q272" s="2">
        <v>-11.988075211765818</v>
      </c>
    </row>
    <row r="273" spans="1:17" ht="15">
      <c r="A273" s="2" t="s">
        <v>13</v>
      </c>
      <c r="B273" s="2">
        <v>1478.1066795461811</v>
      </c>
      <c r="C273" s="2">
        <v>1060.1211465196684</v>
      </c>
      <c r="D273" s="2">
        <v>352.98758978024125</v>
      </c>
      <c r="E273" s="2">
        <v>212.69134075380862</v>
      </c>
      <c r="F273" s="2">
        <v>17.942699932027608</v>
      </c>
      <c r="G273" s="2">
        <v>0.80208407981786878</v>
      </c>
      <c r="H273" s="2">
        <v>40</v>
      </c>
      <c r="I273" s="2">
        <v>25</v>
      </c>
      <c r="J273" s="2">
        <f>(IF(A273='Hybrid Calculator'!$B$6,0,1))^2+((B273-'Hybrid Calculator'!$B$7)/1500)^2+((C273-'Hybrid Calculator'!$B$8)/1300)^2+((D273-'Hybrid Calculator'!$B$9)/800)^2+((E273-'Hybrid Calculator'!$B$10)/350)^2+((F273-'Hybrid Calculator'!$B$11)/30)^2+(G273-'Hybrid Calculator'!$B$12)^2+((H273-'Hybrid Calculator'!$E$14)/IF(A273="Lightning",100,30000))^2+((I273-'Hybrid Calculator'!$E$17)/IF(A273="Lightning",100,30000))^2</f>
        <v>0.10389740210078102</v>
      </c>
      <c r="K273" s="2">
        <f t="shared" si="16"/>
        <v>212</v>
      </c>
      <c r="L273" s="2">
        <f t="shared" si="17"/>
        <v>0</v>
      </c>
      <c r="M273" s="2">
        <f t="shared" si="18"/>
        <v>0</v>
      </c>
      <c r="N273" s="2">
        <v>6.739250411312403E-3</v>
      </c>
      <c r="O273" s="2">
        <f t="shared" si="19"/>
        <v>0</v>
      </c>
      <c r="P273" s="2">
        <v>-0.3727378716526033</v>
      </c>
      <c r="Q273" s="2">
        <v>-1.6803874118661497</v>
      </c>
    </row>
    <row r="274" spans="1:17" ht="15">
      <c r="A274" s="2" t="s">
        <v>13</v>
      </c>
      <c r="B274" s="2">
        <v>1459.9825639044866</v>
      </c>
      <c r="C274" s="2">
        <v>871.2376830750145</v>
      </c>
      <c r="D274" s="2">
        <v>662.53207437694073</v>
      </c>
      <c r="E274" s="2">
        <v>295.95591650111601</v>
      </c>
      <c r="F274" s="2">
        <v>15.121929173357785</v>
      </c>
      <c r="G274" s="2">
        <v>0.79111611426575112</v>
      </c>
      <c r="H274" s="2">
        <v>35</v>
      </c>
      <c r="I274" s="2">
        <v>25</v>
      </c>
      <c r="J274" s="2">
        <f>(IF(A274='Hybrid Calculator'!$B$6,0,1))^2+((B274-'Hybrid Calculator'!$B$7)/1500)^2+((C274-'Hybrid Calculator'!$B$8)/1300)^2+((D274-'Hybrid Calculator'!$B$9)/800)^2+((E274-'Hybrid Calculator'!$B$10)/350)^2+((F274-'Hybrid Calculator'!$B$11)/30)^2+(G274-'Hybrid Calculator'!$B$12)^2+((H274-'Hybrid Calculator'!$E$14)/IF(A274="Lightning",100,30000))^2+((I274-'Hybrid Calculator'!$E$17)/IF(A274="Lightning",100,30000))^2</f>
        <v>0.25200351321079656</v>
      </c>
      <c r="K274" s="2">
        <f t="shared" si="16"/>
        <v>548</v>
      </c>
      <c r="L274" s="2">
        <f t="shared" si="17"/>
        <v>0</v>
      </c>
      <c r="M274" s="2">
        <f t="shared" si="18"/>
        <v>0</v>
      </c>
      <c r="N274" s="2">
        <v>2.6330989867622279E-3</v>
      </c>
      <c r="O274" s="2">
        <f t="shared" si="19"/>
        <v>0</v>
      </c>
      <c r="P274" s="2">
        <v>-0.40244315529127306</v>
      </c>
      <c r="Q274" s="2">
        <v>4.4419334698764033</v>
      </c>
    </row>
    <row r="275" spans="1:17" ht="15">
      <c r="A275" s="2" t="s">
        <v>13</v>
      </c>
      <c r="B275" s="2">
        <v>1451.9616647972725</v>
      </c>
      <c r="C275" s="2">
        <v>1143.8631292898208</v>
      </c>
      <c r="D275" s="2">
        <v>398.44635156914592</v>
      </c>
      <c r="E275" s="2">
        <v>241.1080135917291</v>
      </c>
      <c r="F275" s="2">
        <v>19.029987416695803</v>
      </c>
      <c r="G275" s="2">
        <v>0.83135813495144251</v>
      </c>
      <c r="H275" s="2">
        <v>40</v>
      </c>
      <c r="I275" s="2">
        <v>25</v>
      </c>
      <c r="J275" s="2">
        <f>(IF(A275='Hybrid Calculator'!$B$6,0,1))^2+((B275-'Hybrid Calculator'!$B$7)/1500)^2+((C275-'Hybrid Calculator'!$B$8)/1300)^2+((D275-'Hybrid Calculator'!$B$9)/800)^2+((E275-'Hybrid Calculator'!$B$10)/350)^2+((F275-'Hybrid Calculator'!$B$11)/30)^2+(G275-'Hybrid Calculator'!$B$12)^2+((H275-'Hybrid Calculator'!$E$14)/IF(A275="Lightning",100,30000))^2+((I275-'Hybrid Calculator'!$E$17)/IF(A275="Lightning",100,30000))^2</f>
        <v>0.14573699536579604</v>
      </c>
      <c r="K275" s="2">
        <f t="shared" si="16"/>
        <v>318</v>
      </c>
      <c r="L275" s="2">
        <f t="shared" si="17"/>
        <v>0</v>
      </c>
      <c r="M275" s="2">
        <f t="shared" si="18"/>
        <v>0</v>
      </c>
      <c r="N275" s="2">
        <v>1.2541361511131388E-3</v>
      </c>
      <c r="O275" s="2">
        <f t="shared" si="19"/>
        <v>0</v>
      </c>
      <c r="P275" s="2">
        <v>0.84970681300580253</v>
      </c>
      <c r="Q275" s="2">
        <v>-0.49599443034935575</v>
      </c>
    </row>
    <row r="276" spans="1:17" ht="15">
      <c r="A276" s="2" t="s">
        <v>13</v>
      </c>
      <c r="B276" s="2">
        <v>1444.0280253533274</v>
      </c>
      <c r="C276" s="2">
        <v>965.34958722768351</v>
      </c>
      <c r="D276" s="2">
        <v>457.76882600039244</v>
      </c>
      <c r="E276" s="2">
        <v>329.70343272434548</v>
      </c>
      <c r="F276" s="2">
        <v>22.552778623998165</v>
      </c>
      <c r="G276" s="2">
        <v>0.84419465529033921</v>
      </c>
      <c r="H276" s="2">
        <v>40</v>
      </c>
      <c r="I276" s="2">
        <v>25</v>
      </c>
      <c r="J276" s="2">
        <f>(IF(A276='Hybrid Calculator'!$B$6,0,1))^2+((B276-'Hybrid Calculator'!$B$7)/1500)^2+((C276-'Hybrid Calculator'!$B$8)/1300)^2+((D276-'Hybrid Calculator'!$B$9)/800)^2+((E276-'Hybrid Calculator'!$B$10)/350)^2+((F276-'Hybrid Calculator'!$B$11)/30)^2+(G276-'Hybrid Calculator'!$B$12)^2+((H276-'Hybrid Calculator'!$E$14)/IF(A276="Lightning",100,30000))^2+((I276-'Hybrid Calculator'!$E$17)/IF(A276="Lightning",100,30000))^2</f>
        <v>0.30327505304904956</v>
      </c>
      <c r="K276" s="2">
        <f t="shared" si="16"/>
        <v>601</v>
      </c>
      <c r="L276" s="2">
        <f t="shared" si="17"/>
        <v>0</v>
      </c>
      <c r="M276" s="2">
        <f t="shared" si="18"/>
        <v>0</v>
      </c>
      <c r="N276" s="2">
        <v>-1.0274849681706444E-2</v>
      </c>
      <c r="O276" s="2">
        <f t="shared" si="19"/>
        <v>0</v>
      </c>
      <c r="P276" s="2">
        <v>0.76443463867707351</v>
      </c>
      <c r="Q276" s="2">
        <v>-9.4870000855830767</v>
      </c>
    </row>
    <row r="277" spans="1:17" ht="15">
      <c r="A277" s="2" t="s">
        <v>13</v>
      </c>
      <c r="B277" s="2">
        <v>1421.1365132709034</v>
      </c>
      <c r="C277" s="2">
        <v>774.03726761694998</v>
      </c>
      <c r="D277" s="2">
        <v>433.89186831191182</v>
      </c>
      <c r="E277" s="2">
        <v>209.080671351403</v>
      </c>
      <c r="F277" s="2">
        <v>13.587840481195599</v>
      </c>
      <c r="G277" s="2">
        <v>0.82617872843053197</v>
      </c>
      <c r="H277" s="2">
        <v>55</v>
      </c>
      <c r="I277" s="2">
        <v>25</v>
      </c>
      <c r="J277" s="2">
        <f>(IF(A277='Hybrid Calculator'!$B$6,0,1))^2+((B277-'Hybrid Calculator'!$B$7)/1500)^2+((C277-'Hybrid Calculator'!$B$8)/1300)^2+((D277-'Hybrid Calculator'!$B$9)/800)^2+((E277-'Hybrid Calculator'!$B$10)/350)^2+((F277-'Hybrid Calculator'!$B$11)/30)^2+(G277-'Hybrid Calculator'!$B$12)^2+((H277-'Hybrid Calculator'!$E$14)/IF(A277="Lightning",100,30000))^2+((I277-'Hybrid Calculator'!$E$17)/IF(A277="Lightning",100,30000))^2</f>
        <v>6.8092214828280262E-2</v>
      </c>
      <c r="K277" s="2">
        <f t="shared" si="16"/>
        <v>106</v>
      </c>
      <c r="L277" s="2">
        <f t="shared" si="17"/>
        <v>0</v>
      </c>
      <c r="M277" s="2">
        <f t="shared" si="18"/>
        <v>0</v>
      </c>
      <c r="N277" s="2">
        <v>3.3922028079762523E-3</v>
      </c>
      <c r="O277" s="2">
        <f t="shared" si="19"/>
        <v>0</v>
      </c>
      <c r="P277" s="2">
        <v>-0.77105236990190207</v>
      </c>
      <c r="Q277" s="2">
        <v>12.754638002922093</v>
      </c>
    </row>
    <row r="278" spans="1:17" ht="15">
      <c r="A278" s="2" t="s">
        <v>13</v>
      </c>
      <c r="B278" s="2">
        <v>1431.4872264163569</v>
      </c>
      <c r="C278" s="2">
        <v>864.16382343741134</v>
      </c>
      <c r="D278" s="2">
        <v>744.86236274242401</v>
      </c>
      <c r="E278" s="2">
        <v>310.48188904067501</v>
      </c>
      <c r="F278" s="2">
        <v>23.432773205451667</v>
      </c>
      <c r="G278" s="2">
        <v>0.81549686312442649</v>
      </c>
      <c r="H278" s="2">
        <v>35</v>
      </c>
      <c r="I278" s="2">
        <v>25</v>
      </c>
      <c r="J278" s="2">
        <f>(IF(A278='Hybrid Calculator'!$B$6,0,1))^2+((B278-'Hybrid Calculator'!$B$7)/1500)^2+((C278-'Hybrid Calculator'!$B$8)/1300)^2+((D278-'Hybrid Calculator'!$B$9)/800)^2+((E278-'Hybrid Calculator'!$B$10)/350)^2+((F278-'Hybrid Calculator'!$B$11)/30)^2+(G278-'Hybrid Calculator'!$B$12)^2+((H278-'Hybrid Calculator'!$E$14)/IF(A278="Lightning",100,30000))^2+((I278-'Hybrid Calculator'!$E$17)/IF(A278="Lightning",100,30000))^2</f>
        <v>0.35361753698016185</v>
      </c>
      <c r="K278" s="2">
        <f t="shared" si="16"/>
        <v>653</v>
      </c>
      <c r="L278" s="2">
        <f t="shared" si="17"/>
        <v>0</v>
      </c>
      <c r="M278" s="2">
        <f t="shared" si="18"/>
        <v>0</v>
      </c>
      <c r="N278" s="2">
        <v>-8.8363583658068734E-4</v>
      </c>
      <c r="O278" s="2">
        <f t="shared" si="19"/>
        <v>0</v>
      </c>
      <c r="P278" s="2">
        <v>0.85236340478362393</v>
      </c>
      <c r="Q278" s="2">
        <v>-13.923084312941683</v>
      </c>
    </row>
    <row r="279" spans="1:17" ht="15">
      <c r="A279" s="2" t="s">
        <v>13</v>
      </c>
      <c r="B279" s="2">
        <v>1454.9365957151167</v>
      </c>
      <c r="C279" s="2">
        <v>697.03590245917439</v>
      </c>
      <c r="D279" s="2">
        <v>558.60617822036147</v>
      </c>
      <c r="E279" s="2">
        <v>263.26839769724756</v>
      </c>
      <c r="F279" s="2">
        <v>20.205072370823473</v>
      </c>
      <c r="G279" s="2">
        <v>0.84498671927489344</v>
      </c>
      <c r="H279" s="2">
        <v>50</v>
      </c>
      <c r="I279" s="2">
        <v>25</v>
      </c>
      <c r="J279" s="2">
        <f>(IF(A279='Hybrid Calculator'!$B$6,0,1))^2+((B279-'Hybrid Calculator'!$B$7)/1500)^2+((C279-'Hybrid Calculator'!$B$8)/1300)^2+((D279-'Hybrid Calculator'!$B$9)/800)^2+((E279-'Hybrid Calculator'!$B$10)/350)^2+((F279-'Hybrid Calculator'!$B$11)/30)^2+(G279-'Hybrid Calculator'!$B$12)^2+((H279-'Hybrid Calculator'!$E$14)/IF(A279="Lightning",100,30000))^2+((I279-'Hybrid Calculator'!$E$17)/IF(A279="Lightning",100,30000))^2</f>
        <v>0.12819711156901961</v>
      </c>
      <c r="K279" s="2">
        <f t="shared" si="16"/>
        <v>272</v>
      </c>
      <c r="L279" s="2">
        <f t="shared" si="17"/>
        <v>0</v>
      </c>
      <c r="M279" s="2">
        <f t="shared" si="18"/>
        <v>0</v>
      </c>
      <c r="N279" s="2">
        <v>-3.2678252873392655E-3</v>
      </c>
      <c r="O279" s="2">
        <f t="shared" si="19"/>
        <v>0</v>
      </c>
      <c r="P279" s="2">
        <v>0.13160021766600494</v>
      </c>
      <c r="Q279" s="2">
        <v>8.7524769491724328</v>
      </c>
    </row>
    <row r="280" spans="1:17" ht="15">
      <c r="A280" s="2" t="s">
        <v>13</v>
      </c>
      <c r="B280" s="2">
        <v>1366.8741362169385</v>
      </c>
      <c r="C280" s="2">
        <v>1063.6523470631801</v>
      </c>
      <c r="D280" s="2">
        <v>643.19355208426714</v>
      </c>
      <c r="E280" s="2">
        <v>137.31890868628398</v>
      </c>
      <c r="F280" s="2">
        <v>13.763826644048095</v>
      </c>
      <c r="G280" s="2">
        <v>0.83689420768292622</v>
      </c>
      <c r="H280" s="2">
        <v>40</v>
      </c>
      <c r="I280" s="2">
        <v>25</v>
      </c>
      <c r="J280" s="2">
        <f>(IF(A280='Hybrid Calculator'!$B$6,0,1))^2+((B280-'Hybrid Calculator'!$B$7)/1500)^2+((C280-'Hybrid Calculator'!$B$8)/1300)^2+((D280-'Hybrid Calculator'!$B$9)/800)^2+((E280-'Hybrid Calculator'!$B$10)/350)^2+((F280-'Hybrid Calculator'!$B$11)/30)^2+(G280-'Hybrid Calculator'!$B$12)^2+((H280-'Hybrid Calculator'!$E$14)/IF(A280="Lightning",100,30000))^2+((I280-'Hybrid Calculator'!$E$17)/IF(A280="Lightning",100,30000))^2</f>
        <v>9.7071831998930658E-2</v>
      </c>
      <c r="K280" s="2">
        <f t="shared" si="16"/>
        <v>195</v>
      </c>
      <c r="L280" s="2">
        <f t="shared" si="17"/>
        <v>0</v>
      </c>
      <c r="M280" s="2">
        <f t="shared" si="18"/>
        <v>0</v>
      </c>
      <c r="N280" s="2">
        <v>4.308307364313535E-3</v>
      </c>
      <c r="O280" s="2">
        <f t="shared" si="19"/>
        <v>0</v>
      </c>
      <c r="P280" s="2">
        <v>1.0002663861812167</v>
      </c>
      <c r="Q280" s="2">
        <v>-6.0437602926201635</v>
      </c>
    </row>
    <row r="281" spans="1:17" ht="15">
      <c r="A281" s="2" t="s">
        <v>13</v>
      </c>
      <c r="B281" s="2">
        <v>1413.09395438293</v>
      </c>
      <c r="C281" s="2">
        <v>815.92758374754339</v>
      </c>
      <c r="D281" s="2">
        <v>451.40403816476464</v>
      </c>
      <c r="E281" s="2">
        <v>111.90837125293911</v>
      </c>
      <c r="F281" s="2">
        <v>15.979557667393237</v>
      </c>
      <c r="G281" s="2">
        <v>0.8167903145076707</v>
      </c>
      <c r="H281" s="2">
        <v>55</v>
      </c>
      <c r="I281" s="2">
        <v>25</v>
      </c>
      <c r="J281" s="2">
        <f>(IF(A281='Hybrid Calculator'!$B$6,0,1))^2+((B281-'Hybrid Calculator'!$B$7)/1500)^2+((C281-'Hybrid Calculator'!$B$8)/1300)^2+((D281-'Hybrid Calculator'!$B$9)/800)^2+((E281-'Hybrid Calculator'!$B$10)/350)^2+((F281-'Hybrid Calculator'!$B$11)/30)^2+(G281-'Hybrid Calculator'!$B$12)^2+((H281-'Hybrid Calculator'!$E$14)/IF(A281="Lightning",100,30000))^2+((I281-'Hybrid Calculator'!$E$17)/IF(A281="Lightning",100,30000))^2</f>
        <v>2.5853341757154383E-2</v>
      </c>
      <c r="K281" s="2">
        <f t="shared" si="16"/>
        <v>16</v>
      </c>
      <c r="L281" s="2">
        <f t="shared" si="17"/>
        <v>0</v>
      </c>
      <c r="M281" s="2">
        <f t="shared" si="18"/>
        <v>0</v>
      </c>
      <c r="N281" s="2">
        <v>-9.9550847371099316E-3</v>
      </c>
      <c r="O281" s="2">
        <f t="shared" si="19"/>
        <v>0</v>
      </c>
      <c r="P281" s="2">
        <v>0.83882510480594874</v>
      </c>
      <c r="Q281" s="2">
        <v>7.9216510250962529</v>
      </c>
    </row>
    <row r="282" spans="1:17" ht="15">
      <c r="A282" s="2" t="s">
        <v>13</v>
      </c>
      <c r="B282" s="2">
        <v>1423.2615270651877</v>
      </c>
      <c r="C282" s="2">
        <v>724.57630237331614</v>
      </c>
      <c r="D282" s="2">
        <v>425.78592393547297</v>
      </c>
      <c r="E282" s="2">
        <v>117.16617642203346</v>
      </c>
      <c r="F282" s="2">
        <v>15.816677303984761</v>
      </c>
      <c r="G282" s="2">
        <v>0.84721835202770313</v>
      </c>
      <c r="H282" s="2">
        <v>60</v>
      </c>
      <c r="I282" s="2">
        <v>25</v>
      </c>
      <c r="J282" s="2">
        <f>(IF(A282='Hybrid Calculator'!$B$6,0,1))^2+((B282-'Hybrid Calculator'!$B$7)/1500)^2+((C282-'Hybrid Calculator'!$B$8)/1300)^2+((D282-'Hybrid Calculator'!$B$9)/800)^2+((E282-'Hybrid Calculator'!$B$10)/350)^2+((F282-'Hybrid Calculator'!$B$11)/30)^2+(G282-'Hybrid Calculator'!$B$12)^2+((H282-'Hybrid Calculator'!$E$14)/IF(A282="Lightning",100,30000))^2+((I282-'Hybrid Calculator'!$E$17)/IF(A282="Lightning",100,30000))^2</f>
        <v>4.5457088911180984E-2</v>
      </c>
      <c r="K282" s="2">
        <f t="shared" si="16"/>
        <v>45</v>
      </c>
      <c r="L282" s="2">
        <f t="shared" si="17"/>
        <v>0</v>
      </c>
      <c r="M282" s="2">
        <f t="shared" si="18"/>
        <v>0</v>
      </c>
      <c r="N282" s="2">
        <v>-9.0064557893261288E-3</v>
      </c>
      <c r="O282" s="2">
        <f t="shared" si="19"/>
        <v>0</v>
      </c>
      <c r="P282" s="2">
        <v>-0.95855085908236504</v>
      </c>
      <c r="Q282" s="2">
        <v>12.415339846610777</v>
      </c>
    </row>
    <row r="283" spans="1:17" ht="15">
      <c r="A283" s="2" t="s">
        <v>13</v>
      </c>
      <c r="B283" s="2">
        <v>1350.4490207531489</v>
      </c>
      <c r="C283" s="2">
        <v>1213.9437684090808</v>
      </c>
      <c r="D283" s="2">
        <v>414.34172773733735</v>
      </c>
      <c r="E283" s="2">
        <v>147.99323786981404</v>
      </c>
      <c r="F283" s="2">
        <v>8.2888375972397625</v>
      </c>
      <c r="G283" s="2">
        <v>0.8428024029219523</v>
      </c>
      <c r="H283" s="2">
        <v>45</v>
      </c>
      <c r="I283" s="2">
        <v>25</v>
      </c>
      <c r="J283" s="2">
        <f>(IF(A283='Hybrid Calculator'!$B$6,0,1))^2+((B283-'Hybrid Calculator'!$B$7)/1500)^2+((C283-'Hybrid Calculator'!$B$8)/1300)^2+((D283-'Hybrid Calculator'!$B$9)/800)^2+((E283-'Hybrid Calculator'!$B$10)/350)^2+((F283-'Hybrid Calculator'!$B$11)/30)^2+(G283-'Hybrid Calculator'!$B$12)^2+((H283-'Hybrid Calculator'!$E$14)/IF(A283="Lightning",100,30000))^2+((I283-'Hybrid Calculator'!$E$17)/IF(A283="Lightning",100,30000))^2</f>
        <v>0.21121650378358994</v>
      </c>
      <c r="K283" s="2">
        <f t="shared" si="16"/>
        <v>470</v>
      </c>
      <c r="L283" s="2">
        <f t="shared" si="17"/>
        <v>0</v>
      </c>
      <c r="M283" s="2">
        <f t="shared" si="18"/>
        <v>0</v>
      </c>
      <c r="N283" s="2">
        <v>1.7920943843811932E-2</v>
      </c>
      <c r="O283" s="2">
        <f t="shared" si="19"/>
        <v>0</v>
      </c>
      <c r="P283" s="2">
        <v>0.59367312941533612</v>
      </c>
      <c r="Q283" s="2">
        <v>6.0904458320305821</v>
      </c>
    </row>
    <row r="284" spans="1:17" ht="15">
      <c r="A284" s="2" t="s">
        <v>13</v>
      </c>
      <c r="B284" s="2">
        <v>1392.6192538579926</v>
      </c>
      <c r="C284" s="2">
        <v>1245.3987411805429</v>
      </c>
      <c r="D284" s="2">
        <v>468.83552335202694</v>
      </c>
      <c r="E284" s="2">
        <v>326.2092011119239</v>
      </c>
      <c r="F284" s="2">
        <v>23.795808014459908</v>
      </c>
      <c r="G284" s="2">
        <v>0.83622788634849721</v>
      </c>
      <c r="H284" s="2">
        <v>35</v>
      </c>
      <c r="I284" s="2">
        <v>25</v>
      </c>
      <c r="J284" s="2">
        <f>(IF(A284='Hybrid Calculator'!$B$6,0,1))^2+((B284-'Hybrid Calculator'!$B$7)/1500)^2+((C284-'Hybrid Calculator'!$B$8)/1300)^2+((D284-'Hybrid Calculator'!$B$9)/800)^2+((E284-'Hybrid Calculator'!$B$10)/350)^2+((F284-'Hybrid Calculator'!$B$11)/30)^2+(G284-'Hybrid Calculator'!$B$12)^2+((H284-'Hybrid Calculator'!$E$14)/IF(A284="Lightning",100,30000))^2+((I284-'Hybrid Calculator'!$E$17)/IF(A284="Lightning",100,30000))^2</f>
        <v>0.40188441622874616</v>
      </c>
      <c r="K284" s="2">
        <f t="shared" si="16"/>
        <v>687</v>
      </c>
      <c r="L284" s="2">
        <f t="shared" si="17"/>
        <v>0</v>
      </c>
      <c r="M284" s="2">
        <f t="shared" si="18"/>
        <v>0</v>
      </c>
      <c r="N284" s="2">
        <v>1.421926378436611E-2</v>
      </c>
      <c r="O284" s="2">
        <f t="shared" si="19"/>
        <v>0</v>
      </c>
      <c r="P284" s="2">
        <v>1.8454047961566005</v>
      </c>
      <c r="Q284" s="2">
        <v>-18.716455800206404</v>
      </c>
    </row>
    <row r="285" spans="1:17" ht="15">
      <c r="A285" s="2" t="s">
        <v>13</v>
      </c>
      <c r="B285" s="2">
        <v>1445.2263077138923</v>
      </c>
      <c r="C285" s="2">
        <v>1056.1165376100689</v>
      </c>
      <c r="D285" s="2">
        <v>739.66743526980281</v>
      </c>
      <c r="E285" s="2">
        <v>131.32478603627533</v>
      </c>
      <c r="F285" s="2">
        <v>25.46747414721176</v>
      </c>
      <c r="G285" s="2">
        <v>0.81099485518410808</v>
      </c>
      <c r="H285" s="2">
        <v>35</v>
      </c>
      <c r="I285" s="2">
        <v>25</v>
      </c>
      <c r="J285" s="2">
        <f>(IF(A285='Hybrid Calculator'!$B$6,0,1))^2+((B285-'Hybrid Calculator'!$B$7)/1500)^2+((C285-'Hybrid Calculator'!$B$8)/1300)^2+((D285-'Hybrid Calculator'!$B$9)/800)^2+((E285-'Hybrid Calculator'!$B$10)/350)^2+((F285-'Hybrid Calculator'!$B$11)/30)^2+(G285-'Hybrid Calculator'!$B$12)^2+((H285-'Hybrid Calculator'!$E$14)/IF(A285="Lightning",100,30000))^2+((I285-'Hybrid Calculator'!$E$17)/IF(A285="Lightning",100,30000))^2</f>
        <v>0.19443885538997779</v>
      </c>
      <c r="K285" s="2">
        <f t="shared" si="16"/>
        <v>434</v>
      </c>
      <c r="L285" s="2">
        <f t="shared" si="17"/>
        <v>0</v>
      </c>
      <c r="M285" s="2">
        <f t="shared" si="18"/>
        <v>0</v>
      </c>
      <c r="N285" s="2">
        <v>-6.0641327040089621E-5</v>
      </c>
      <c r="O285" s="2">
        <f t="shared" si="19"/>
        <v>0</v>
      </c>
      <c r="P285" s="2">
        <v>0.26915133379361578</v>
      </c>
      <c r="Q285" s="2">
        <v>-11.607500498970467</v>
      </c>
    </row>
    <row r="286" spans="1:17" ht="15">
      <c r="A286" s="2" t="s">
        <v>13</v>
      </c>
      <c r="B286" s="2">
        <v>1358.4089614916593</v>
      </c>
      <c r="C286" s="2">
        <v>652.16076708165929</v>
      </c>
      <c r="D286" s="2">
        <v>721.85894232243299</v>
      </c>
      <c r="E286" s="2">
        <v>205.2477730740793</v>
      </c>
      <c r="F286" s="2">
        <v>17.547395005822182</v>
      </c>
      <c r="G286" s="2">
        <v>0.81184496863046662</v>
      </c>
      <c r="H286" s="2">
        <v>45</v>
      </c>
      <c r="I286" s="2">
        <v>25</v>
      </c>
      <c r="J286" s="2">
        <f>(IF(A286='Hybrid Calculator'!$B$6,0,1))^2+((B286-'Hybrid Calculator'!$B$7)/1500)^2+((C286-'Hybrid Calculator'!$B$8)/1300)^2+((D286-'Hybrid Calculator'!$B$9)/800)^2+((E286-'Hybrid Calculator'!$B$10)/350)^2+((F286-'Hybrid Calculator'!$B$11)/30)^2+(G286-'Hybrid Calculator'!$B$12)^2+((H286-'Hybrid Calculator'!$E$14)/IF(A286="Lightning",100,30000))^2+((I286-'Hybrid Calculator'!$E$17)/IF(A286="Lightning",100,30000))^2</f>
        <v>0.13053088750419392</v>
      </c>
      <c r="K286" s="2">
        <f t="shared" si="16"/>
        <v>279</v>
      </c>
      <c r="L286" s="2">
        <f t="shared" si="17"/>
        <v>0</v>
      </c>
      <c r="M286" s="2">
        <f t="shared" si="18"/>
        <v>0</v>
      </c>
      <c r="N286" s="2">
        <v>-7.1215797808401593E-3</v>
      </c>
      <c r="O286" s="2">
        <f t="shared" si="19"/>
        <v>0</v>
      </c>
      <c r="P286" s="2">
        <v>-1.5974736482135938</v>
      </c>
      <c r="Q286" s="2">
        <v>8.9480203376508598</v>
      </c>
    </row>
    <row r="287" spans="1:17" ht="15">
      <c r="A287" s="2" t="s">
        <v>13</v>
      </c>
      <c r="B287" s="2">
        <v>1454.8698117141612</v>
      </c>
      <c r="C287" s="2">
        <v>637.93274366762489</v>
      </c>
      <c r="D287" s="2">
        <v>629.13694502785802</v>
      </c>
      <c r="E287" s="2">
        <v>153.65605281665921</v>
      </c>
      <c r="F287" s="2">
        <v>21.229184573981911</v>
      </c>
      <c r="G287" s="2">
        <v>0.81432978113647558</v>
      </c>
      <c r="H287" s="2">
        <v>50</v>
      </c>
      <c r="I287" s="2">
        <v>25</v>
      </c>
      <c r="J287" s="2">
        <f>(IF(A287='Hybrid Calculator'!$B$6,0,1))^2+((B287-'Hybrid Calculator'!$B$7)/1500)^2+((C287-'Hybrid Calculator'!$B$8)/1300)^2+((D287-'Hybrid Calculator'!$B$9)/800)^2+((E287-'Hybrid Calculator'!$B$10)/350)^2+((F287-'Hybrid Calculator'!$B$11)/30)^2+(G287-'Hybrid Calculator'!$B$12)^2+((H287-'Hybrid Calculator'!$E$14)/IF(A287="Lightning",100,30000))^2+((I287-'Hybrid Calculator'!$E$17)/IF(A287="Lightning",100,30000))^2</f>
        <v>6.1481614210019929E-2</v>
      </c>
      <c r="K287" s="2">
        <f t="shared" si="16"/>
        <v>86</v>
      </c>
      <c r="L287" s="2">
        <f t="shared" si="17"/>
        <v>0</v>
      </c>
      <c r="M287" s="2">
        <f t="shared" si="18"/>
        <v>0</v>
      </c>
      <c r="N287" s="2">
        <v>-1.0232662447138052E-2</v>
      </c>
      <c r="O287" s="2">
        <f t="shared" si="19"/>
        <v>0</v>
      </c>
      <c r="P287" s="2">
        <v>-1.4730640180928276</v>
      </c>
      <c r="Q287" s="2">
        <v>-4.4283254395345466</v>
      </c>
    </row>
    <row r="288" spans="1:17" ht="15">
      <c r="A288" s="2" t="s">
        <v>13</v>
      </c>
      <c r="B288" s="2">
        <v>1460.7093778671697</v>
      </c>
      <c r="C288" s="2">
        <v>1087.9530349862762</v>
      </c>
      <c r="D288" s="2">
        <v>398.61828535795212</v>
      </c>
      <c r="E288" s="2">
        <v>108.66414649179205</v>
      </c>
      <c r="F288" s="2">
        <v>29.7761494172737</v>
      </c>
      <c r="G288" s="2">
        <v>0.83550726379966367</v>
      </c>
      <c r="H288" s="2">
        <v>45</v>
      </c>
      <c r="I288" s="2">
        <v>25</v>
      </c>
      <c r="J288" s="2">
        <f>(IF(A288='Hybrid Calculator'!$B$6,0,1))^2+((B288-'Hybrid Calculator'!$B$7)/1500)^2+((C288-'Hybrid Calculator'!$B$8)/1300)^2+((D288-'Hybrid Calculator'!$B$9)/800)^2+((E288-'Hybrid Calculator'!$B$10)/350)^2+((F288-'Hybrid Calculator'!$B$11)/30)^2+(G288-'Hybrid Calculator'!$B$12)^2+((H288-'Hybrid Calculator'!$E$14)/IF(A288="Lightning",100,30000))^2+((I288-'Hybrid Calculator'!$E$17)/IF(A288="Lightning",100,30000))^2</f>
        <v>0.20809859596583555</v>
      </c>
      <c r="K288" s="2">
        <f t="shared" si="16"/>
        <v>459</v>
      </c>
      <c r="L288" s="2">
        <f t="shared" si="17"/>
        <v>0</v>
      </c>
      <c r="M288" s="2">
        <f t="shared" si="18"/>
        <v>0</v>
      </c>
      <c r="N288" s="2">
        <v>-1.3149506480136575E-2</v>
      </c>
      <c r="O288" s="2">
        <f t="shared" si="19"/>
        <v>0</v>
      </c>
      <c r="P288" s="2">
        <v>0.76340578659919345</v>
      </c>
      <c r="Q288" s="2">
        <v>-14.774825731029978</v>
      </c>
    </row>
    <row r="289" spans="1:17" ht="15">
      <c r="A289" s="2" t="s">
        <v>13</v>
      </c>
      <c r="B289" s="2">
        <v>1480.2102292771451</v>
      </c>
      <c r="C289" s="2">
        <v>891.62352224811912</v>
      </c>
      <c r="D289" s="2">
        <v>748.03952788934112</v>
      </c>
      <c r="E289" s="2">
        <v>104.74199666175991</v>
      </c>
      <c r="F289" s="2">
        <v>28.328916003461927</v>
      </c>
      <c r="G289" s="2">
        <v>0.83487686594016852</v>
      </c>
      <c r="H289" s="2">
        <v>40</v>
      </c>
      <c r="I289" s="2">
        <v>25</v>
      </c>
      <c r="J289" s="2">
        <f>(IF(A289='Hybrid Calculator'!$B$6,0,1))^2+((B289-'Hybrid Calculator'!$B$7)/1500)^2+((C289-'Hybrid Calculator'!$B$8)/1300)^2+((D289-'Hybrid Calculator'!$B$9)/800)^2+((E289-'Hybrid Calculator'!$B$10)/350)^2+((F289-'Hybrid Calculator'!$B$11)/30)^2+(G289-'Hybrid Calculator'!$B$12)^2+((H289-'Hybrid Calculator'!$E$14)/IF(A289="Lightning",100,30000))^2+((I289-'Hybrid Calculator'!$E$17)/IF(A289="Lightning",100,30000))^2</f>
        <v>0.23279433356402046</v>
      </c>
      <c r="K289" s="2">
        <f t="shared" si="16"/>
        <v>508</v>
      </c>
      <c r="L289" s="2">
        <f t="shared" si="17"/>
        <v>0</v>
      </c>
      <c r="M289" s="2">
        <f t="shared" si="18"/>
        <v>0</v>
      </c>
      <c r="N289" s="2">
        <v>-1.4194052196544904E-2</v>
      </c>
      <c r="O289" s="2">
        <f t="shared" si="19"/>
        <v>0</v>
      </c>
      <c r="P289" s="2">
        <v>-0.96204505370344151</v>
      </c>
      <c r="Q289" s="2">
        <v>-25.099650354856976</v>
      </c>
    </row>
    <row r="290" spans="1:17" ht="15">
      <c r="A290" s="2" t="s">
        <v>13</v>
      </c>
      <c r="B290" s="2">
        <v>1428.0183702707291</v>
      </c>
      <c r="C290" s="2">
        <v>657.13535196846351</v>
      </c>
      <c r="D290" s="2">
        <v>703.95660866051912</v>
      </c>
      <c r="E290" s="2">
        <v>154.03614983195439</v>
      </c>
      <c r="F290" s="2">
        <v>15.155810384079814</v>
      </c>
      <c r="G290" s="2">
        <v>0.82332335953833535</v>
      </c>
      <c r="H290" s="2">
        <v>50</v>
      </c>
      <c r="I290" s="2">
        <v>25</v>
      </c>
      <c r="J290" s="2">
        <f>(IF(A290='Hybrid Calculator'!$B$6,0,1))^2+((B290-'Hybrid Calculator'!$B$7)/1500)^2+((C290-'Hybrid Calculator'!$B$8)/1300)^2+((D290-'Hybrid Calculator'!$B$9)/800)^2+((E290-'Hybrid Calculator'!$B$10)/350)^2+((F290-'Hybrid Calculator'!$B$11)/30)^2+(G290-'Hybrid Calculator'!$B$12)^2+((H290-'Hybrid Calculator'!$E$14)/IF(A290="Lightning",100,30000))^2+((I290-'Hybrid Calculator'!$E$17)/IF(A290="Lightning",100,30000))^2</f>
        <v>9.9581569944490522E-2</v>
      </c>
      <c r="K290" s="2">
        <f t="shared" si="16"/>
        <v>204</v>
      </c>
      <c r="L290" s="2">
        <f t="shared" si="17"/>
        <v>0</v>
      </c>
      <c r="M290" s="2">
        <f t="shared" si="18"/>
        <v>0</v>
      </c>
      <c r="N290" s="2">
        <v>-1.0649726548806138E-2</v>
      </c>
      <c r="O290" s="2">
        <f t="shared" si="19"/>
        <v>0</v>
      </c>
      <c r="P290" s="2">
        <v>-0.33389934748466743</v>
      </c>
      <c r="Q290" s="2">
        <v>0.73535238501813183</v>
      </c>
    </row>
    <row r="291" spans="1:17" ht="15">
      <c r="A291" s="2" t="s">
        <v>13</v>
      </c>
      <c r="B291" s="2">
        <v>1411.6832426399924</v>
      </c>
      <c r="C291" s="2">
        <v>1184.417293430306</v>
      </c>
      <c r="D291" s="2">
        <v>564.6407769061625</v>
      </c>
      <c r="E291" s="2">
        <v>226.00432454608381</v>
      </c>
      <c r="F291" s="2">
        <v>21.845221575815231</v>
      </c>
      <c r="G291" s="2">
        <v>0.84929947942961015</v>
      </c>
      <c r="H291" s="2">
        <v>35</v>
      </c>
      <c r="I291" s="2">
        <v>25</v>
      </c>
      <c r="J291" s="2">
        <f>(IF(A291='Hybrid Calculator'!$B$6,0,1))^2+((B291-'Hybrid Calculator'!$B$7)/1500)^2+((C291-'Hybrid Calculator'!$B$8)/1300)^2+((D291-'Hybrid Calculator'!$B$9)/800)^2+((E291-'Hybrid Calculator'!$B$10)/350)^2+((F291-'Hybrid Calculator'!$B$11)/30)^2+(G291-'Hybrid Calculator'!$B$12)^2+((H291-'Hybrid Calculator'!$E$14)/IF(A291="Lightning",100,30000))^2+((I291-'Hybrid Calculator'!$E$17)/IF(A291="Lightning",100,30000))^2</f>
        <v>0.15573086858429283</v>
      </c>
      <c r="K291" s="2">
        <f t="shared" si="16"/>
        <v>344</v>
      </c>
      <c r="L291" s="2">
        <f t="shared" si="17"/>
        <v>0</v>
      </c>
      <c r="M291" s="2">
        <f t="shared" si="18"/>
        <v>0</v>
      </c>
      <c r="N291" s="2">
        <v>1.4874258996453449E-3</v>
      </c>
      <c r="O291" s="2">
        <f t="shared" si="19"/>
        <v>0</v>
      </c>
      <c r="P291" s="2">
        <v>-0.14252188236008578</v>
      </c>
      <c r="Q291" s="2">
        <v>-10.091789645088511</v>
      </c>
    </row>
    <row r="292" spans="1:17" ht="15">
      <c r="A292" s="2" t="s">
        <v>13</v>
      </c>
      <c r="B292" s="2">
        <v>1494.9549526674673</v>
      </c>
      <c r="C292" s="2">
        <v>721.3290516869165</v>
      </c>
      <c r="D292" s="2">
        <v>591.97129048407078</v>
      </c>
      <c r="E292" s="2">
        <v>177.95011690584943</v>
      </c>
      <c r="F292" s="2">
        <v>28.007653796114028</v>
      </c>
      <c r="G292" s="2">
        <v>0.85086332033155487</v>
      </c>
      <c r="H292" s="2">
        <v>50</v>
      </c>
      <c r="I292" s="2">
        <v>25</v>
      </c>
      <c r="J292" s="2">
        <f>(IF(A292='Hybrid Calculator'!$B$6,0,1))^2+((B292-'Hybrid Calculator'!$B$7)/1500)^2+((C292-'Hybrid Calculator'!$B$8)/1300)^2+((D292-'Hybrid Calculator'!$B$9)/800)^2+((E292-'Hybrid Calculator'!$B$10)/350)^2+((F292-'Hybrid Calculator'!$B$11)/30)^2+(G292-'Hybrid Calculator'!$B$12)^2+((H292-'Hybrid Calculator'!$E$14)/IF(A292="Lightning",100,30000))^2+((I292-'Hybrid Calculator'!$E$17)/IF(A292="Lightning",100,30000))^2</f>
        <v>0.13295748290265227</v>
      </c>
      <c r="K292" s="2">
        <f t="shared" si="16"/>
        <v>284</v>
      </c>
      <c r="L292" s="2">
        <f t="shared" si="17"/>
        <v>0</v>
      </c>
      <c r="M292" s="2">
        <f t="shared" si="18"/>
        <v>0</v>
      </c>
      <c r="N292" s="2">
        <v>-1.6969087456821796E-3</v>
      </c>
      <c r="O292" s="2">
        <f t="shared" si="19"/>
        <v>0</v>
      </c>
      <c r="P292" s="2">
        <v>0.50633589718808736</v>
      </c>
      <c r="Q292" s="2">
        <v>-1.0722247813159811</v>
      </c>
    </row>
    <row r="293" spans="1:17" ht="15">
      <c r="A293" s="2" t="s">
        <v>13</v>
      </c>
      <c r="B293" s="2">
        <v>1384.8676018766128</v>
      </c>
      <c r="C293" s="2">
        <v>731.83674733154476</v>
      </c>
      <c r="D293" s="2">
        <v>667.10536731407046</v>
      </c>
      <c r="E293" s="2">
        <v>271.22227642219514</v>
      </c>
      <c r="F293" s="2">
        <v>14.043720986228436</v>
      </c>
      <c r="G293" s="2">
        <v>0.82776212774217128</v>
      </c>
      <c r="H293" s="2">
        <v>45</v>
      </c>
      <c r="I293" s="2">
        <v>25</v>
      </c>
      <c r="J293" s="2">
        <f>(IF(A293='Hybrid Calculator'!$B$6,0,1))^2+((B293-'Hybrid Calculator'!$B$7)/1500)^2+((C293-'Hybrid Calculator'!$B$8)/1300)^2+((D293-'Hybrid Calculator'!$B$9)/800)^2+((E293-'Hybrid Calculator'!$B$10)/350)^2+((F293-'Hybrid Calculator'!$B$11)/30)^2+(G293-'Hybrid Calculator'!$B$12)^2+((H293-'Hybrid Calculator'!$E$14)/IF(A293="Lightning",100,30000))^2+((I293-'Hybrid Calculator'!$E$17)/IF(A293="Lightning",100,30000))^2</f>
        <v>0.19719230593268555</v>
      </c>
      <c r="K293" s="2">
        <f t="shared" si="16"/>
        <v>441</v>
      </c>
      <c r="L293" s="2">
        <f t="shared" si="17"/>
        <v>0</v>
      </c>
      <c r="M293" s="2">
        <f t="shared" si="18"/>
        <v>0</v>
      </c>
      <c r="N293" s="2">
        <v>-2.0347356105081538E-3</v>
      </c>
      <c r="O293" s="2">
        <f t="shared" si="19"/>
        <v>0</v>
      </c>
      <c r="P293" s="2">
        <v>-1.1079104833154219</v>
      </c>
      <c r="Q293" s="2">
        <v>2.1843322827280645</v>
      </c>
    </row>
    <row r="294" spans="1:17" ht="15">
      <c r="A294" s="2" t="s">
        <v>13</v>
      </c>
      <c r="B294" s="2">
        <v>1483.8094070088118</v>
      </c>
      <c r="C294" s="2">
        <v>1200.6499999086373</v>
      </c>
      <c r="D294" s="2">
        <v>500.48745032399893</v>
      </c>
      <c r="E294" s="2">
        <v>216.04858965845779</v>
      </c>
      <c r="F294" s="2">
        <v>15.719204913824797</v>
      </c>
      <c r="G294" s="2">
        <v>0.79239488970721139</v>
      </c>
      <c r="H294" s="2">
        <v>35</v>
      </c>
      <c r="I294" s="2">
        <v>25</v>
      </c>
      <c r="J294" s="2">
        <f>(IF(A294='Hybrid Calculator'!$B$6,0,1))^2+((B294-'Hybrid Calculator'!$B$7)/1500)^2+((C294-'Hybrid Calculator'!$B$8)/1300)^2+((D294-'Hybrid Calculator'!$B$9)/800)^2+((E294-'Hybrid Calculator'!$B$10)/350)^2+((F294-'Hybrid Calculator'!$B$11)/30)^2+(G294-'Hybrid Calculator'!$B$12)^2+((H294-'Hybrid Calculator'!$E$14)/IF(A294="Lightning",100,30000))^2+((I294-'Hybrid Calculator'!$E$17)/IF(A294="Lightning",100,30000))^2</f>
        <v>0.1417578173825676</v>
      </c>
      <c r="K294" s="2">
        <f t="shared" si="16"/>
        <v>308</v>
      </c>
      <c r="L294" s="2">
        <f t="shared" si="17"/>
        <v>0</v>
      </c>
      <c r="M294" s="2">
        <f t="shared" si="18"/>
        <v>0</v>
      </c>
      <c r="N294" s="2">
        <v>1.814392098943296E-3</v>
      </c>
      <c r="O294" s="2">
        <f t="shared" si="19"/>
        <v>0</v>
      </c>
      <c r="P294" s="2">
        <v>1.1065956676116855</v>
      </c>
      <c r="Q294" s="2">
        <v>-7.5929070301597221</v>
      </c>
    </row>
    <row r="295" spans="1:17" ht="15">
      <c r="A295" s="2" t="s">
        <v>13</v>
      </c>
      <c r="B295" s="2">
        <v>1491.3172438857146</v>
      </c>
      <c r="C295" s="2">
        <v>690.08594814222306</v>
      </c>
      <c r="D295" s="2">
        <v>360.01576380804181</v>
      </c>
      <c r="E295" s="2">
        <v>319.79985620826483</v>
      </c>
      <c r="F295" s="2">
        <v>22.491140859667212</v>
      </c>
      <c r="G295" s="2">
        <v>0.80728660489898174</v>
      </c>
      <c r="H295" s="2">
        <v>50</v>
      </c>
      <c r="I295" s="2">
        <v>25</v>
      </c>
      <c r="J295" s="2">
        <f>(IF(A295='Hybrid Calculator'!$B$6,0,1))^2+((B295-'Hybrid Calculator'!$B$7)/1500)^2+((C295-'Hybrid Calculator'!$B$8)/1300)^2+((D295-'Hybrid Calculator'!$B$9)/800)^2+((E295-'Hybrid Calculator'!$B$10)/350)^2+((F295-'Hybrid Calculator'!$B$11)/30)^2+(G295-'Hybrid Calculator'!$B$12)^2+((H295-'Hybrid Calculator'!$E$14)/IF(A295="Lightning",100,30000))^2+((I295-'Hybrid Calculator'!$E$17)/IF(A295="Lightning",100,30000))^2</f>
        <v>0.30092835994932882</v>
      </c>
      <c r="K295" s="2">
        <f t="shared" si="16"/>
        <v>597</v>
      </c>
      <c r="L295" s="2">
        <f t="shared" si="17"/>
        <v>0</v>
      </c>
      <c r="M295" s="2">
        <f t="shared" si="18"/>
        <v>0</v>
      </c>
      <c r="N295" s="2">
        <v>-1.7154544875228162E-2</v>
      </c>
      <c r="O295" s="2">
        <f t="shared" si="19"/>
        <v>0</v>
      </c>
      <c r="P295" s="2">
        <v>-7.0005148633889291E-2</v>
      </c>
      <c r="Q295" s="2">
        <v>-3.1058595444894763</v>
      </c>
    </row>
    <row r="296" spans="1:17" ht="15">
      <c r="A296" s="2" t="s">
        <v>13</v>
      </c>
      <c r="B296" s="2">
        <v>1467.2074577305466</v>
      </c>
      <c r="C296" s="2">
        <v>1158.9529139804654</v>
      </c>
      <c r="D296" s="2">
        <v>413.13077937811613</v>
      </c>
      <c r="E296" s="2">
        <v>114.35721743153408</v>
      </c>
      <c r="F296" s="2">
        <v>8.5598751381039619</v>
      </c>
      <c r="G296" s="2">
        <v>0.8261382887721993</v>
      </c>
      <c r="H296" s="2">
        <v>45</v>
      </c>
      <c r="I296" s="2">
        <v>25</v>
      </c>
      <c r="J296" s="2">
        <f>(IF(A296='Hybrid Calculator'!$B$6,0,1))^2+((B296-'Hybrid Calculator'!$B$7)/1500)^2+((C296-'Hybrid Calculator'!$B$8)/1300)^2+((D296-'Hybrid Calculator'!$B$9)/800)^2+((E296-'Hybrid Calculator'!$B$10)/350)^2+((F296-'Hybrid Calculator'!$B$11)/30)^2+(G296-'Hybrid Calculator'!$B$12)^2+((H296-'Hybrid Calculator'!$E$14)/IF(A296="Lightning",100,30000))^2+((I296-'Hybrid Calculator'!$E$17)/IF(A296="Lightning",100,30000))^2</f>
        <v>0.19175610538860355</v>
      </c>
      <c r="K296" s="2">
        <f t="shared" si="16"/>
        <v>430</v>
      </c>
      <c r="L296" s="2">
        <f t="shared" si="17"/>
        <v>0</v>
      </c>
      <c r="M296" s="2">
        <f t="shared" si="18"/>
        <v>0</v>
      </c>
      <c r="N296" s="2">
        <v>-3.7637998062651778E-3</v>
      </c>
      <c r="O296" s="2">
        <f t="shared" si="19"/>
        <v>0</v>
      </c>
      <c r="P296" s="2">
        <v>5.9634839126864847E-2</v>
      </c>
      <c r="Q296" s="2">
        <v>11.390260167644328</v>
      </c>
    </row>
    <row r="297" spans="1:17" ht="15">
      <c r="A297" s="2" t="s">
        <v>13</v>
      </c>
      <c r="B297" s="2">
        <v>1491.6673014988191</v>
      </c>
      <c r="C297" s="2">
        <v>1035.2292440598831</v>
      </c>
      <c r="D297" s="2">
        <v>602.86951335147023</v>
      </c>
      <c r="E297" s="2">
        <v>155.7115907035768</v>
      </c>
      <c r="F297" s="2">
        <v>20.718892066273838</v>
      </c>
      <c r="G297" s="2">
        <v>0.82503216774668553</v>
      </c>
      <c r="H297" s="2">
        <v>35</v>
      </c>
      <c r="I297" s="2">
        <v>25</v>
      </c>
      <c r="J297" s="2">
        <f>(IF(A297='Hybrid Calculator'!$B$6,0,1))^2+((B297-'Hybrid Calculator'!$B$7)/1500)^2+((C297-'Hybrid Calculator'!$B$8)/1300)^2+((D297-'Hybrid Calculator'!$B$9)/800)^2+((E297-'Hybrid Calculator'!$B$10)/350)^2+((F297-'Hybrid Calculator'!$B$11)/30)^2+(G297-'Hybrid Calculator'!$B$12)^2+((H297-'Hybrid Calculator'!$E$14)/IF(A297="Lightning",100,30000))^2+((I297-'Hybrid Calculator'!$E$17)/IF(A297="Lightning",100,30000))^2</f>
        <v>6.707379739167052E-2</v>
      </c>
      <c r="K297" s="2">
        <f t="shared" si="16"/>
        <v>102</v>
      </c>
      <c r="L297" s="2">
        <f t="shared" si="17"/>
        <v>0</v>
      </c>
      <c r="M297" s="2">
        <f t="shared" si="18"/>
        <v>0</v>
      </c>
      <c r="N297" s="2">
        <v>6.786362247807487E-3</v>
      </c>
      <c r="O297" s="2">
        <f t="shared" si="19"/>
        <v>0</v>
      </c>
      <c r="P297" s="2">
        <v>2.6674599194819848E-2</v>
      </c>
      <c r="Q297" s="2">
        <v>-13.639649491591399</v>
      </c>
    </row>
    <row r="298" spans="1:17" ht="15">
      <c r="A298" s="2" t="s">
        <v>13</v>
      </c>
      <c r="B298" s="2">
        <v>1438.7042339192703</v>
      </c>
      <c r="C298" s="2">
        <v>818.29023399623111</v>
      </c>
      <c r="D298" s="2">
        <v>568.57646703720093</v>
      </c>
      <c r="E298" s="2">
        <v>135.1389287575148</v>
      </c>
      <c r="F298" s="2">
        <v>24.227824407629669</v>
      </c>
      <c r="G298" s="2">
        <v>0.79832238010829315</v>
      </c>
      <c r="H298" s="2">
        <v>45</v>
      </c>
      <c r="I298" s="2">
        <v>25</v>
      </c>
      <c r="J298" s="2">
        <f>(IF(A298='Hybrid Calculator'!$B$6,0,1))^2+((B298-'Hybrid Calculator'!$B$7)/1500)^2+((C298-'Hybrid Calculator'!$B$8)/1300)^2+((D298-'Hybrid Calculator'!$B$9)/800)^2+((E298-'Hybrid Calculator'!$B$10)/350)^2+((F298-'Hybrid Calculator'!$B$11)/30)^2+(G298-'Hybrid Calculator'!$B$12)^2+((H298-'Hybrid Calculator'!$E$14)/IF(A298="Lightning",100,30000))^2+((I298-'Hybrid Calculator'!$E$17)/IF(A298="Lightning",100,30000))^2</f>
        <v>4.9252554531322976E-2</v>
      </c>
      <c r="K298" s="2">
        <f t="shared" si="16"/>
        <v>51</v>
      </c>
      <c r="L298" s="2">
        <f t="shared" si="17"/>
        <v>0</v>
      </c>
      <c r="M298" s="2">
        <f t="shared" si="18"/>
        <v>0</v>
      </c>
      <c r="N298" s="2">
        <v>-6.2285494184863843E-3</v>
      </c>
      <c r="O298" s="2">
        <f t="shared" si="19"/>
        <v>0</v>
      </c>
      <c r="P298" s="2">
        <v>-0.59809095793587375</v>
      </c>
      <c r="Q298" s="2">
        <v>-10.786428921758443</v>
      </c>
    </row>
    <row r="299" spans="1:17" ht="15">
      <c r="A299" s="2" t="s">
        <v>13</v>
      </c>
      <c r="B299" s="2">
        <v>1350.0007481197827</v>
      </c>
      <c r="C299" s="2">
        <v>949.58853432908654</v>
      </c>
      <c r="D299" s="2">
        <v>447.5681877695024</v>
      </c>
      <c r="E299" s="2">
        <v>318.85888757649809</v>
      </c>
      <c r="F299" s="2">
        <v>21.099703205283731</v>
      </c>
      <c r="G299" s="2">
        <v>0.84304495097137988</v>
      </c>
      <c r="H299" s="2">
        <v>40</v>
      </c>
      <c r="I299" s="2">
        <v>25</v>
      </c>
      <c r="J299" s="2">
        <f>(IF(A299='Hybrid Calculator'!$B$6,0,1))^2+((B299-'Hybrid Calculator'!$B$7)/1500)^2+((C299-'Hybrid Calculator'!$B$8)/1300)^2+((D299-'Hybrid Calculator'!$B$9)/800)^2+((E299-'Hybrid Calculator'!$B$10)/350)^2+((F299-'Hybrid Calculator'!$B$11)/30)^2+(G299-'Hybrid Calculator'!$B$12)^2+((H299-'Hybrid Calculator'!$E$14)/IF(A299="Lightning",100,30000))^2+((I299-'Hybrid Calculator'!$E$17)/IF(A299="Lightning",100,30000))^2</f>
        <v>0.26346627076681473</v>
      </c>
      <c r="K299" s="2">
        <f t="shared" si="16"/>
        <v>561</v>
      </c>
      <c r="L299" s="2">
        <f t="shared" si="17"/>
        <v>0</v>
      </c>
      <c r="M299" s="2">
        <f t="shared" si="18"/>
        <v>0</v>
      </c>
      <c r="N299" s="2">
        <v>-3.3342485514704645E-3</v>
      </c>
      <c r="O299" s="2">
        <f t="shared" si="19"/>
        <v>0</v>
      </c>
      <c r="P299" s="2">
        <v>0.33198203787952707</v>
      </c>
      <c r="Q299" s="2">
        <v>-4.1822626625544217</v>
      </c>
    </row>
    <row r="300" spans="1:17" ht="15">
      <c r="A300" s="2" t="s">
        <v>13</v>
      </c>
      <c r="B300" s="2">
        <v>1454.1976494714618</v>
      </c>
      <c r="C300" s="2">
        <v>720.88561694836244</v>
      </c>
      <c r="D300" s="2">
        <v>371.53548020869493</v>
      </c>
      <c r="E300" s="2">
        <v>104.76347942138091</v>
      </c>
      <c r="F300" s="2">
        <v>29.084876319393516</v>
      </c>
      <c r="G300" s="2">
        <v>0.84392874420853337</v>
      </c>
      <c r="H300" s="2">
        <v>60</v>
      </c>
      <c r="I300" s="2">
        <v>25</v>
      </c>
      <c r="J300" s="2">
        <f>(IF(A300='Hybrid Calculator'!$B$6,0,1))^2+((B300-'Hybrid Calculator'!$B$7)/1500)^2+((C300-'Hybrid Calculator'!$B$8)/1300)^2+((D300-'Hybrid Calculator'!$B$9)/800)^2+((E300-'Hybrid Calculator'!$B$10)/350)^2+((F300-'Hybrid Calculator'!$B$11)/30)^2+(G300-'Hybrid Calculator'!$B$12)^2+((H300-'Hybrid Calculator'!$E$14)/IF(A300="Lightning",100,30000))^2+((I300-'Hybrid Calculator'!$E$17)/IF(A300="Lightning",100,30000))^2</f>
        <v>0.1877951263267485</v>
      </c>
      <c r="K300" s="2">
        <f t="shared" si="16"/>
        <v>420</v>
      </c>
      <c r="L300" s="2">
        <f t="shared" si="17"/>
        <v>0</v>
      </c>
      <c r="M300" s="2">
        <f t="shared" si="18"/>
        <v>0</v>
      </c>
      <c r="N300" s="2">
        <v>-2.9799143067446021E-3</v>
      </c>
      <c r="O300" s="2">
        <f t="shared" si="19"/>
        <v>0</v>
      </c>
      <c r="P300" s="2">
        <v>4.8094839564683411E-2</v>
      </c>
      <c r="Q300" s="2">
        <v>-1.7364468755843063</v>
      </c>
    </row>
    <row r="301" spans="1:17" ht="15">
      <c r="A301" s="2" t="s">
        <v>13</v>
      </c>
      <c r="B301" s="2">
        <v>1487.6323383883573</v>
      </c>
      <c r="C301" s="2">
        <v>831.68633098248392</v>
      </c>
      <c r="D301" s="2">
        <v>499.86018547788262</v>
      </c>
      <c r="E301" s="2">
        <v>154.78735106997192</v>
      </c>
      <c r="F301" s="2">
        <v>27.760992963332683</v>
      </c>
      <c r="G301" s="2">
        <v>0.8218365941615775</v>
      </c>
      <c r="H301" s="2">
        <v>45</v>
      </c>
      <c r="I301" s="2">
        <v>25</v>
      </c>
      <c r="J301" s="2">
        <f>(IF(A301='Hybrid Calculator'!$B$6,0,1))^2+((B301-'Hybrid Calculator'!$B$7)/1500)^2+((C301-'Hybrid Calculator'!$B$8)/1300)^2+((D301-'Hybrid Calculator'!$B$9)/800)^2+((E301-'Hybrid Calculator'!$B$10)/350)^2+((F301-'Hybrid Calculator'!$B$11)/30)^2+(G301-'Hybrid Calculator'!$B$12)^2+((H301-'Hybrid Calculator'!$E$14)/IF(A301="Lightning",100,30000))^2+((I301-'Hybrid Calculator'!$E$17)/IF(A301="Lightning",100,30000))^2</f>
        <v>9.9927967411780463E-2</v>
      </c>
      <c r="K301" s="2">
        <f t="shared" si="16"/>
        <v>207</v>
      </c>
      <c r="L301" s="2">
        <f t="shared" si="17"/>
        <v>0</v>
      </c>
      <c r="M301" s="2">
        <f t="shared" si="18"/>
        <v>0</v>
      </c>
      <c r="N301" s="2">
        <v>-1.3010633667036142E-2</v>
      </c>
      <c r="O301" s="2">
        <f t="shared" si="19"/>
        <v>0</v>
      </c>
      <c r="P301" s="2">
        <v>0.44570818032892845</v>
      </c>
      <c r="Q301" s="2">
        <v>-11.835908352447404</v>
      </c>
    </row>
    <row r="302" spans="1:17" ht="15">
      <c r="A302" s="2" t="s">
        <v>13</v>
      </c>
      <c r="B302" s="2">
        <v>1375.0693945912644</v>
      </c>
      <c r="C302" s="2">
        <v>684.24962150165811</v>
      </c>
      <c r="D302" s="2">
        <v>475.95337219536304</v>
      </c>
      <c r="E302" s="2">
        <v>224.55042238114402</v>
      </c>
      <c r="F302" s="2">
        <v>16.873125092126429</v>
      </c>
      <c r="G302" s="2">
        <v>0.85280103183118627</v>
      </c>
      <c r="H302" s="2">
        <v>55</v>
      </c>
      <c r="I302" s="2">
        <v>25</v>
      </c>
      <c r="J302" s="2">
        <f>(IF(A302='Hybrid Calculator'!$B$6,0,1))^2+((B302-'Hybrid Calculator'!$B$7)/1500)^2+((C302-'Hybrid Calculator'!$B$8)/1300)^2+((D302-'Hybrid Calculator'!$B$9)/800)^2+((E302-'Hybrid Calculator'!$B$10)/350)^2+((F302-'Hybrid Calculator'!$B$11)/30)^2+(G302-'Hybrid Calculator'!$B$12)^2+((H302-'Hybrid Calculator'!$E$14)/IF(A302="Lightning",100,30000))^2+((I302-'Hybrid Calculator'!$E$17)/IF(A302="Lightning",100,30000))^2</f>
        <v>7.0154077746914331E-2</v>
      </c>
      <c r="K302" s="2">
        <f t="shared" si="16"/>
        <v>112</v>
      </c>
      <c r="L302" s="2">
        <f t="shared" si="17"/>
        <v>0</v>
      </c>
      <c r="M302" s="2">
        <f t="shared" si="18"/>
        <v>0</v>
      </c>
      <c r="N302" s="2">
        <v>-3.7710935224668507E-3</v>
      </c>
      <c r="O302" s="2">
        <f t="shared" si="19"/>
        <v>0</v>
      </c>
      <c r="P302" s="2">
        <v>0.33186904201875222</v>
      </c>
      <c r="Q302" s="2">
        <v>4.933309806369607</v>
      </c>
    </row>
    <row r="303" spans="1:17" ht="15">
      <c r="A303" s="2" t="s">
        <v>13</v>
      </c>
      <c r="B303" s="2">
        <v>1474.8933820403181</v>
      </c>
      <c r="C303" s="2">
        <v>782.65371113084257</v>
      </c>
      <c r="D303" s="2">
        <v>455.82415265962481</v>
      </c>
      <c r="E303" s="2">
        <v>231.33309445809573</v>
      </c>
      <c r="F303" s="2">
        <v>10.470147240441293</v>
      </c>
      <c r="G303" s="2">
        <v>0.79963738027960063</v>
      </c>
      <c r="H303" s="2">
        <v>45</v>
      </c>
      <c r="I303" s="2">
        <v>25</v>
      </c>
      <c r="J303" s="2">
        <f>(IF(A303='Hybrid Calculator'!$B$6,0,1))^2+((B303-'Hybrid Calculator'!$B$7)/1500)^2+((C303-'Hybrid Calculator'!$B$8)/1300)^2+((D303-'Hybrid Calculator'!$B$9)/800)^2+((E303-'Hybrid Calculator'!$B$10)/350)^2+((F303-'Hybrid Calculator'!$B$11)/30)^2+(G303-'Hybrid Calculator'!$B$12)^2+((H303-'Hybrid Calculator'!$E$14)/IF(A303="Lightning",100,30000))^2+((I303-'Hybrid Calculator'!$E$17)/IF(A303="Lightning",100,30000))^2</f>
        <v>0.1353973892667365</v>
      </c>
      <c r="K303" s="2">
        <f t="shared" si="16"/>
        <v>292</v>
      </c>
      <c r="L303" s="2">
        <f t="shared" si="17"/>
        <v>0</v>
      </c>
      <c r="M303" s="2">
        <f t="shared" si="18"/>
        <v>0</v>
      </c>
      <c r="N303" s="2">
        <v>1.0433325459334508E-2</v>
      </c>
      <c r="O303" s="2">
        <f t="shared" si="19"/>
        <v>0</v>
      </c>
      <c r="P303" s="2">
        <v>-0.41706226827852078</v>
      </c>
      <c r="Q303" s="2">
        <v>5.2447687067935931</v>
      </c>
    </row>
    <row r="304" spans="1:17" ht="15">
      <c r="A304" s="2" t="s">
        <v>13</v>
      </c>
      <c r="B304" s="2">
        <v>1486.6082367952913</v>
      </c>
      <c r="C304" s="2">
        <v>646.63480547023937</v>
      </c>
      <c r="D304" s="2">
        <v>351.85817386955023</v>
      </c>
      <c r="E304" s="2">
        <v>249.5546263945289</v>
      </c>
      <c r="F304" s="2">
        <v>27.669438485056162</v>
      </c>
      <c r="G304" s="2">
        <v>0.81955219753319397</v>
      </c>
      <c r="H304" s="2">
        <v>55</v>
      </c>
      <c r="I304" s="2">
        <v>25</v>
      </c>
      <c r="J304" s="2">
        <f>(IF(A304='Hybrid Calculator'!$B$6,0,1))^2+((B304-'Hybrid Calculator'!$B$7)/1500)^2+((C304-'Hybrid Calculator'!$B$8)/1300)^2+((D304-'Hybrid Calculator'!$B$9)/800)^2+((E304-'Hybrid Calculator'!$B$10)/350)^2+((F304-'Hybrid Calculator'!$B$11)/30)^2+(G304-'Hybrid Calculator'!$B$12)^2+((H304-'Hybrid Calculator'!$E$14)/IF(A304="Lightning",100,30000))^2+((I304-'Hybrid Calculator'!$E$17)/IF(A304="Lightning",100,30000))^2</f>
        <v>0.23727738516253136</v>
      </c>
      <c r="K304" s="2">
        <f t="shared" si="16"/>
        <v>516</v>
      </c>
      <c r="L304" s="2">
        <f t="shared" si="17"/>
        <v>0</v>
      </c>
      <c r="M304" s="2">
        <f t="shared" si="18"/>
        <v>0</v>
      </c>
      <c r="N304" s="2">
        <v>-6.0686118392303534E-3</v>
      </c>
      <c r="O304" s="2">
        <f t="shared" si="19"/>
        <v>0</v>
      </c>
      <c r="P304" s="2">
        <v>-0.66667792129784686</v>
      </c>
      <c r="Q304" s="2">
        <v>-2.8758295517616261</v>
      </c>
    </row>
    <row r="305" spans="1:17" ht="15">
      <c r="A305" s="2" t="s">
        <v>13</v>
      </c>
      <c r="B305" s="2">
        <v>1485.205701563973</v>
      </c>
      <c r="C305" s="2">
        <v>841.82586155366153</v>
      </c>
      <c r="D305" s="2">
        <v>655.01340972259641</v>
      </c>
      <c r="E305" s="2">
        <v>167.65355870127678</v>
      </c>
      <c r="F305" s="2">
        <v>16.695652762893587</v>
      </c>
      <c r="G305" s="2">
        <v>0.81102752543520185</v>
      </c>
      <c r="H305" s="2">
        <v>40</v>
      </c>
      <c r="I305" s="2">
        <v>25</v>
      </c>
      <c r="J305" s="2">
        <f>(IF(A305='Hybrid Calculator'!$B$6,0,1))^2+((B305-'Hybrid Calculator'!$B$7)/1500)^2+((C305-'Hybrid Calculator'!$B$8)/1300)^2+((D305-'Hybrid Calculator'!$B$9)/800)^2+((E305-'Hybrid Calculator'!$B$10)/350)^2+((F305-'Hybrid Calculator'!$B$11)/30)^2+(G305-'Hybrid Calculator'!$B$12)^2+((H305-'Hybrid Calculator'!$E$14)/IF(A305="Lightning",100,30000))^2+((I305-'Hybrid Calculator'!$E$17)/IF(A305="Lightning",100,30000))^2</f>
        <v>5.543806573830995E-2</v>
      </c>
      <c r="K305" s="2">
        <f t="shared" si="16"/>
        <v>69</v>
      </c>
      <c r="L305" s="2">
        <f t="shared" si="17"/>
        <v>0</v>
      </c>
      <c r="M305" s="2">
        <f t="shared" si="18"/>
        <v>0</v>
      </c>
      <c r="N305" s="2">
        <v>-2.2027127695172233E-3</v>
      </c>
      <c r="O305" s="2">
        <f t="shared" si="19"/>
        <v>0</v>
      </c>
      <c r="P305" s="2">
        <v>3.6860003361738336E-4</v>
      </c>
      <c r="Q305" s="2">
        <v>5.081370887842013</v>
      </c>
    </row>
    <row r="306" spans="1:17" ht="15">
      <c r="A306" s="2" t="s">
        <v>13</v>
      </c>
      <c r="B306" s="2">
        <v>1465.2222210774198</v>
      </c>
      <c r="C306" s="2">
        <v>612.77938197599724</v>
      </c>
      <c r="D306" s="2">
        <v>660.29401794075966</v>
      </c>
      <c r="E306" s="2">
        <v>232.90002006804571</v>
      </c>
      <c r="F306" s="2">
        <v>26.913026615045965</v>
      </c>
      <c r="G306" s="2">
        <v>0.79897242432227367</v>
      </c>
      <c r="H306" s="2">
        <v>45</v>
      </c>
      <c r="I306" s="2">
        <v>25</v>
      </c>
      <c r="J306" s="2">
        <f>(IF(A306='Hybrid Calculator'!$B$6,0,1))^2+((B306-'Hybrid Calculator'!$B$7)/1500)^2+((C306-'Hybrid Calculator'!$B$8)/1300)^2+((D306-'Hybrid Calculator'!$B$9)/800)^2+((E306-'Hybrid Calculator'!$B$10)/350)^2+((F306-'Hybrid Calculator'!$B$11)/30)^2+(G306-'Hybrid Calculator'!$B$12)^2+((H306-'Hybrid Calculator'!$E$14)/IF(A306="Lightning",100,30000))^2+((I306-'Hybrid Calculator'!$E$17)/IF(A306="Lightning",100,30000))^2</f>
        <v>0.21185102350288776</v>
      </c>
      <c r="K306" s="2">
        <f t="shared" si="16"/>
        <v>473</v>
      </c>
      <c r="L306" s="2">
        <f t="shared" si="17"/>
        <v>0</v>
      </c>
      <c r="M306" s="2">
        <f t="shared" si="18"/>
        <v>0</v>
      </c>
      <c r="N306" s="2">
        <v>1.0788760487963067E-3</v>
      </c>
      <c r="O306" s="2">
        <f t="shared" si="19"/>
        <v>0</v>
      </c>
      <c r="P306" s="2">
        <v>-1.0132334128415792</v>
      </c>
      <c r="Q306" s="2">
        <v>-2.1700557422063866</v>
      </c>
    </row>
    <row r="307" spans="1:17" ht="15">
      <c r="A307" s="2" t="s">
        <v>13</v>
      </c>
      <c r="B307" s="2">
        <v>1375.6487060221843</v>
      </c>
      <c r="C307" s="2">
        <v>1023.8076800480485</v>
      </c>
      <c r="D307" s="2">
        <v>431.27763709053397</v>
      </c>
      <c r="E307" s="2">
        <v>300.81581887323409</v>
      </c>
      <c r="F307" s="2">
        <v>8.8735727607272565</v>
      </c>
      <c r="G307" s="2">
        <v>0.85647787026129663</v>
      </c>
      <c r="H307" s="2">
        <v>45</v>
      </c>
      <c r="I307" s="2">
        <v>25</v>
      </c>
      <c r="J307" s="2">
        <f>(IF(A307='Hybrid Calculator'!$B$6,0,1))^2+((B307-'Hybrid Calculator'!$B$7)/1500)^2+((C307-'Hybrid Calculator'!$B$8)/1300)^2+((D307-'Hybrid Calculator'!$B$9)/800)^2+((E307-'Hybrid Calculator'!$B$10)/350)^2+((F307-'Hybrid Calculator'!$B$11)/30)^2+(G307-'Hybrid Calculator'!$B$12)^2+((H307-'Hybrid Calculator'!$E$14)/IF(A307="Lightning",100,30000))^2+((I307-'Hybrid Calculator'!$E$17)/IF(A307="Lightning",100,30000))^2</f>
        <v>0.31880901544117057</v>
      </c>
      <c r="K307" s="2">
        <f t="shared" si="16"/>
        <v>622</v>
      </c>
      <c r="L307" s="2">
        <f t="shared" si="17"/>
        <v>0</v>
      </c>
      <c r="M307" s="2">
        <f t="shared" si="18"/>
        <v>0</v>
      </c>
      <c r="N307" s="2">
        <v>1.6533392064308705E-2</v>
      </c>
      <c r="O307" s="2">
        <f t="shared" si="19"/>
        <v>0</v>
      </c>
      <c r="P307" s="2">
        <v>1.0067007234630765</v>
      </c>
      <c r="Q307" s="2">
        <v>-2.9775568275549631</v>
      </c>
    </row>
    <row r="308" spans="1:17" ht="15">
      <c r="A308" s="2" t="s">
        <v>13</v>
      </c>
      <c r="B308" s="2">
        <v>1429.4574801810086</v>
      </c>
      <c r="C308" s="2">
        <v>1022.9701199918054</v>
      </c>
      <c r="D308" s="2">
        <v>499.18371830135584</v>
      </c>
      <c r="E308" s="2">
        <v>156.9579709158279</v>
      </c>
      <c r="F308" s="2">
        <v>10.248898224905133</v>
      </c>
      <c r="G308" s="2">
        <v>0.8170814269711264</v>
      </c>
      <c r="H308" s="2">
        <v>45</v>
      </c>
      <c r="I308" s="2">
        <v>25</v>
      </c>
      <c r="J308" s="2">
        <f>(IF(A308='Hybrid Calculator'!$B$6,0,1))^2+((B308-'Hybrid Calculator'!$B$7)/1500)^2+((C308-'Hybrid Calculator'!$B$8)/1300)^2+((D308-'Hybrid Calculator'!$B$9)/800)^2+((E308-'Hybrid Calculator'!$B$10)/350)^2+((F308-'Hybrid Calculator'!$B$11)/30)^2+(G308-'Hybrid Calculator'!$B$12)^2+((H308-'Hybrid Calculator'!$E$14)/IF(A308="Lightning",100,30000))^2+((I308-'Hybrid Calculator'!$E$17)/IF(A308="Lightning",100,30000))^2</f>
        <v>9.6262152104585136E-2</v>
      </c>
      <c r="K308" s="2">
        <f t="shared" si="16"/>
        <v>192</v>
      </c>
      <c r="L308" s="2">
        <f t="shared" si="17"/>
        <v>0</v>
      </c>
      <c r="M308" s="2">
        <f t="shared" si="18"/>
        <v>0</v>
      </c>
      <c r="N308" s="2">
        <v>9.3098461402625343E-3</v>
      </c>
      <c r="O308" s="2">
        <f t="shared" si="19"/>
        <v>0</v>
      </c>
      <c r="P308" s="2">
        <v>0.98560840382330639</v>
      </c>
      <c r="Q308" s="2">
        <v>0.43516479346953929</v>
      </c>
    </row>
    <row r="309" spans="1:17" ht="15">
      <c r="A309" s="2" t="s">
        <v>13</v>
      </c>
      <c r="B309" s="2">
        <v>1491.2653259583749</v>
      </c>
      <c r="C309" s="2">
        <v>609.1045928420499</v>
      </c>
      <c r="D309" s="2">
        <v>488.98128950968385</v>
      </c>
      <c r="E309" s="2">
        <v>283.34268477745354</v>
      </c>
      <c r="F309" s="2">
        <v>11.642864197958261</v>
      </c>
      <c r="G309" s="2">
        <v>0.80184464233461772</v>
      </c>
      <c r="H309" s="2">
        <v>50</v>
      </c>
      <c r="I309" s="2">
        <v>25</v>
      </c>
      <c r="J309" s="2">
        <f>(IF(A309='Hybrid Calculator'!$B$6,0,1))^2+((B309-'Hybrid Calculator'!$B$7)/1500)^2+((C309-'Hybrid Calculator'!$B$8)/1300)^2+((D309-'Hybrid Calculator'!$B$9)/800)^2+((E309-'Hybrid Calculator'!$B$10)/350)^2+((F309-'Hybrid Calculator'!$B$11)/30)^2+(G309-'Hybrid Calculator'!$B$12)^2+((H309-'Hybrid Calculator'!$E$14)/IF(A309="Lightning",100,30000))^2+((I309-'Hybrid Calculator'!$E$17)/IF(A309="Lightning",100,30000))^2</f>
        <v>0.23419841638807262</v>
      </c>
      <c r="K309" s="2">
        <f t="shared" si="16"/>
        <v>513</v>
      </c>
      <c r="L309" s="2">
        <f t="shared" si="17"/>
        <v>0</v>
      </c>
      <c r="M309" s="2">
        <f t="shared" si="18"/>
        <v>0</v>
      </c>
      <c r="N309" s="2">
        <v>-8.8475238620493446E-3</v>
      </c>
      <c r="O309" s="2">
        <f t="shared" si="19"/>
        <v>0</v>
      </c>
      <c r="P309" s="2">
        <v>-1.5309829226244815</v>
      </c>
      <c r="Q309" s="2">
        <v>21.04542185506125</v>
      </c>
    </row>
    <row r="310" spans="1:17" ht="15">
      <c r="A310" s="2" t="s">
        <v>13</v>
      </c>
      <c r="B310" s="2">
        <v>1455.8787401765585</v>
      </c>
      <c r="C310" s="2">
        <v>1230.0778551376425</v>
      </c>
      <c r="D310" s="2">
        <v>531.70287180691957</v>
      </c>
      <c r="E310" s="2">
        <v>246.95100121432915</v>
      </c>
      <c r="F310" s="2">
        <v>23.339568151161075</v>
      </c>
      <c r="G310" s="2">
        <v>0.82140552160562952</v>
      </c>
      <c r="H310" s="2">
        <v>35</v>
      </c>
      <c r="I310" s="2">
        <v>25</v>
      </c>
      <c r="J310" s="2">
        <f>(IF(A310='Hybrid Calculator'!$B$6,0,1))^2+((B310-'Hybrid Calculator'!$B$7)/1500)^2+((C310-'Hybrid Calculator'!$B$8)/1300)^2+((D310-'Hybrid Calculator'!$B$9)/800)^2+((E310-'Hybrid Calculator'!$B$10)/350)^2+((F310-'Hybrid Calculator'!$B$11)/30)^2+(G310-'Hybrid Calculator'!$B$12)^2+((H310-'Hybrid Calculator'!$E$14)/IF(A310="Lightning",100,30000))^2+((I310-'Hybrid Calculator'!$E$17)/IF(A310="Lightning",100,30000))^2</f>
        <v>0.2127293638933194</v>
      </c>
      <c r="K310" s="2">
        <f t="shared" si="16"/>
        <v>475</v>
      </c>
      <c r="L310" s="2">
        <f t="shared" si="17"/>
        <v>0</v>
      </c>
      <c r="M310" s="2">
        <f t="shared" si="18"/>
        <v>0</v>
      </c>
      <c r="N310" s="2">
        <v>1.5153327038582853E-2</v>
      </c>
      <c r="O310" s="2">
        <f t="shared" si="19"/>
        <v>0</v>
      </c>
      <c r="P310" s="2">
        <v>1.1799530539549181</v>
      </c>
      <c r="Q310" s="2">
        <v>-14.464987014699318</v>
      </c>
    </row>
    <row r="311" spans="1:17" ht="15">
      <c r="A311" s="2" t="s">
        <v>13</v>
      </c>
      <c r="B311" s="2">
        <v>1451.8871339620091</v>
      </c>
      <c r="C311" s="2">
        <v>1107.2960062185302</v>
      </c>
      <c r="D311" s="2">
        <v>650.42774239555001</v>
      </c>
      <c r="E311" s="2">
        <v>318.96133876405656</v>
      </c>
      <c r="F311" s="2">
        <v>23.965244632679969</v>
      </c>
      <c r="G311" s="2">
        <v>0.80914088599849499</v>
      </c>
      <c r="H311" s="2">
        <v>35</v>
      </c>
      <c r="I311" s="2">
        <v>25</v>
      </c>
      <c r="J311" s="2">
        <f>(IF(A311='Hybrid Calculator'!$B$6,0,1))^2+((B311-'Hybrid Calculator'!$B$7)/1500)^2+((C311-'Hybrid Calculator'!$B$8)/1300)^2+((D311-'Hybrid Calculator'!$B$9)/800)^2+((E311-'Hybrid Calculator'!$B$10)/350)^2+((F311-'Hybrid Calculator'!$B$11)/30)^2+(G311-'Hybrid Calculator'!$B$12)^2+((H311-'Hybrid Calculator'!$E$14)/IF(A311="Lightning",100,30000))^2+((I311-'Hybrid Calculator'!$E$17)/IF(A311="Lightning",100,30000))^2</f>
        <v>0.36370061025325851</v>
      </c>
      <c r="K311" s="2">
        <f t="shared" si="16"/>
        <v>661</v>
      </c>
      <c r="L311" s="2">
        <f t="shared" si="17"/>
        <v>0</v>
      </c>
      <c r="M311" s="2">
        <f t="shared" si="18"/>
        <v>0</v>
      </c>
      <c r="N311" s="2">
        <v>1.8566274807866989E-2</v>
      </c>
      <c r="O311" s="2">
        <f t="shared" si="19"/>
        <v>0</v>
      </c>
      <c r="P311" s="2">
        <v>-0.5075699576739936</v>
      </c>
      <c r="Q311" s="2">
        <v>-19.717062059739192</v>
      </c>
    </row>
    <row r="312" spans="1:17" ht="15">
      <c r="A312" s="2" t="s">
        <v>13</v>
      </c>
      <c r="B312" s="2">
        <v>1364.4582119537517</v>
      </c>
      <c r="C312" s="2">
        <v>992.87089636782184</v>
      </c>
      <c r="D312" s="2">
        <v>369.82820369303226</v>
      </c>
      <c r="E312" s="2">
        <v>226.98708354262635</v>
      </c>
      <c r="F312" s="2">
        <v>28.61406893376261</v>
      </c>
      <c r="G312" s="2">
        <v>0.81636284830747174</v>
      </c>
      <c r="H312" s="2">
        <v>45</v>
      </c>
      <c r="I312" s="2">
        <v>25</v>
      </c>
      <c r="J312" s="2">
        <f>(IF(A312='Hybrid Calculator'!$B$6,0,1))^2+((B312-'Hybrid Calculator'!$B$7)/1500)^2+((C312-'Hybrid Calculator'!$B$8)/1300)^2+((D312-'Hybrid Calculator'!$B$9)/800)^2+((E312-'Hybrid Calculator'!$B$10)/350)^2+((F312-'Hybrid Calculator'!$B$11)/30)^2+(G312-'Hybrid Calculator'!$B$12)^2+((H312-'Hybrid Calculator'!$E$14)/IF(A312="Lightning",100,30000))^2+((I312-'Hybrid Calculator'!$E$17)/IF(A312="Lightning",100,30000))^2</f>
        <v>0.20474070191958427</v>
      </c>
      <c r="K312" s="2">
        <f t="shared" si="16"/>
        <v>456</v>
      </c>
      <c r="L312" s="2">
        <f t="shared" si="17"/>
        <v>0</v>
      </c>
      <c r="M312" s="2">
        <f t="shared" si="18"/>
        <v>0</v>
      </c>
      <c r="N312" s="2">
        <v>-5.6828087370912606E-3</v>
      </c>
      <c r="O312" s="2">
        <f t="shared" si="19"/>
        <v>0</v>
      </c>
      <c r="P312" s="2">
        <v>-0.28973092142948786</v>
      </c>
      <c r="Q312" s="2">
        <v>-8.0253696575930462</v>
      </c>
    </row>
    <row r="313" spans="1:17" ht="15">
      <c r="A313" s="2" t="s">
        <v>13</v>
      </c>
      <c r="B313" s="2">
        <v>1387.4067429802381</v>
      </c>
      <c r="C313" s="2">
        <v>1008.5006322246045</v>
      </c>
      <c r="D313" s="2">
        <v>668.95251823589206</v>
      </c>
      <c r="E313" s="2">
        <v>164.27736710291356</v>
      </c>
      <c r="F313" s="2">
        <v>16.227469395380467</v>
      </c>
      <c r="G313" s="2">
        <v>0.82082813069224358</v>
      </c>
      <c r="H313" s="2">
        <v>40</v>
      </c>
      <c r="I313" s="2">
        <v>25</v>
      </c>
      <c r="J313" s="2">
        <f>(IF(A313='Hybrid Calculator'!$B$6,0,1))^2+((B313-'Hybrid Calculator'!$B$7)/1500)^2+((C313-'Hybrid Calculator'!$B$8)/1300)^2+((D313-'Hybrid Calculator'!$B$9)/800)^2+((E313-'Hybrid Calculator'!$B$10)/350)^2+((F313-'Hybrid Calculator'!$B$11)/30)^2+(G313-'Hybrid Calculator'!$B$12)^2+((H313-'Hybrid Calculator'!$E$14)/IF(A313="Lightning",100,30000))^2+((I313-'Hybrid Calculator'!$E$17)/IF(A313="Lightning",100,30000))^2</f>
        <v>7.7497886494371476E-2</v>
      </c>
      <c r="K313" s="2">
        <f t="shared" si="16"/>
        <v>131</v>
      </c>
      <c r="L313" s="2">
        <f t="shared" si="17"/>
        <v>0</v>
      </c>
      <c r="M313" s="2">
        <f t="shared" si="18"/>
        <v>0</v>
      </c>
      <c r="N313" s="2">
        <v>-1.3576110083834969E-4</v>
      </c>
      <c r="O313" s="2">
        <f t="shared" si="19"/>
        <v>0</v>
      </c>
      <c r="P313" s="2">
        <v>0.73844428875882784</v>
      </c>
      <c r="Q313" s="2">
        <v>-1.5640547731147763</v>
      </c>
    </row>
    <row r="314" spans="1:17" ht="15">
      <c r="A314" s="2" t="s">
        <v>13</v>
      </c>
      <c r="B314" s="2">
        <v>1465.296260593459</v>
      </c>
      <c r="C314" s="2">
        <v>1005.4896009038202</v>
      </c>
      <c r="D314" s="2">
        <v>400.08530076593161</v>
      </c>
      <c r="E314" s="2">
        <v>286.05287590296939</v>
      </c>
      <c r="F314" s="2">
        <v>27.560585733503103</v>
      </c>
      <c r="G314" s="2">
        <v>0.83187767390394585</v>
      </c>
      <c r="H314" s="2">
        <v>40</v>
      </c>
      <c r="I314" s="2">
        <v>25</v>
      </c>
      <c r="J314" s="2">
        <f>(IF(A314='Hybrid Calculator'!$B$6,0,1))^2+((B314-'Hybrid Calculator'!$B$7)/1500)^2+((C314-'Hybrid Calculator'!$B$8)/1300)^2+((D314-'Hybrid Calculator'!$B$9)/800)^2+((E314-'Hybrid Calculator'!$B$10)/350)^2+((F314-'Hybrid Calculator'!$B$11)/30)^2+(G314-'Hybrid Calculator'!$B$12)^2+((H314-'Hybrid Calculator'!$E$14)/IF(A314="Lightning",100,30000))^2+((I314-'Hybrid Calculator'!$E$17)/IF(A314="Lightning",100,30000))^2</f>
        <v>0.28308802162915259</v>
      </c>
      <c r="K314" s="2">
        <f t="shared" si="16"/>
        <v>586</v>
      </c>
      <c r="L314" s="2">
        <f t="shared" si="17"/>
        <v>0</v>
      </c>
      <c r="M314" s="2">
        <f t="shared" si="18"/>
        <v>0</v>
      </c>
      <c r="N314" s="2">
        <v>-4.8006322836675608E-3</v>
      </c>
      <c r="O314" s="2">
        <f t="shared" si="19"/>
        <v>0</v>
      </c>
      <c r="P314" s="2">
        <v>-0.54663025473045934</v>
      </c>
      <c r="Q314" s="2">
        <v>-12.690203488702537</v>
      </c>
    </row>
    <row r="315" spans="1:17" ht="15">
      <c r="A315" s="2" t="s">
        <v>13</v>
      </c>
      <c r="B315" s="2">
        <v>1364.5439859596081</v>
      </c>
      <c r="C315" s="2">
        <v>875.77165465336293</v>
      </c>
      <c r="D315" s="2">
        <v>514.24989001825452</v>
      </c>
      <c r="E315" s="2">
        <v>169.1311401501298</v>
      </c>
      <c r="F315" s="2">
        <v>14.166634144727141</v>
      </c>
      <c r="G315" s="2">
        <v>0.80238760519307106</v>
      </c>
      <c r="H315" s="2">
        <v>50</v>
      </c>
      <c r="I315" s="2">
        <v>25</v>
      </c>
      <c r="J315" s="2">
        <f>(IF(A315='Hybrid Calculator'!$B$6,0,1))^2+((B315-'Hybrid Calculator'!$B$7)/1500)^2+((C315-'Hybrid Calculator'!$B$8)/1300)^2+((D315-'Hybrid Calculator'!$B$9)/800)^2+((E315-'Hybrid Calculator'!$B$10)/350)^2+((F315-'Hybrid Calculator'!$B$11)/30)^2+(G315-'Hybrid Calculator'!$B$12)^2+((H315-'Hybrid Calculator'!$E$14)/IF(A315="Lightning",100,30000))^2+((I315-'Hybrid Calculator'!$E$17)/IF(A315="Lightning",100,30000))^2</f>
        <v>2.6497164803666054E-2</v>
      </c>
      <c r="K315" s="2">
        <f t="shared" si="16"/>
        <v>18</v>
      </c>
      <c r="L315" s="2">
        <f t="shared" si="17"/>
        <v>0</v>
      </c>
      <c r="M315" s="2">
        <f t="shared" si="18"/>
        <v>0</v>
      </c>
      <c r="N315" s="2">
        <v>-3.9492891283821052E-3</v>
      </c>
      <c r="O315" s="2">
        <f t="shared" si="19"/>
        <v>0</v>
      </c>
      <c r="P315" s="2">
        <v>-0.5322739749332186</v>
      </c>
      <c r="Q315" s="2">
        <v>5.0667483871322929</v>
      </c>
    </row>
    <row r="316" spans="1:17" ht="15">
      <c r="A316" s="2" t="s">
        <v>13</v>
      </c>
      <c r="B316" s="2">
        <v>1487.4898158246651</v>
      </c>
      <c r="C316" s="2">
        <v>1124.7482354869135</v>
      </c>
      <c r="D316" s="2">
        <v>571.6110996901989</v>
      </c>
      <c r="E316" s="2">
        <v>148.8368859118782</v>
      </c>
      <c r="F316" s="2">
        <v>10.335472679696977</v>
      </c>
      <c r="G316" s="2">
        <v>0.8340862164064311</v>
      </c>
      <c r="H316" s="2">
        <v>40</v>
      </c>
      <c r="I316" s="2">
        <v>25</v>
      </c>
      <c r="J316" s="2">
        <f>(IF(A316='Hybrid Calculator'!$B$6,0,1))^2+((B316-'Hybrid Calculator'!$B$7)/1500)^2+((C316-'Hybrid Calculator'!$B$8)/1300)^2+((D316-'Hybrid Calculator'!$B$9)/800)^2+((E316-'Hybrid Calculator'!$B$10)/350)^2+((F316-'Hybrid Calculator'!$B$11)/30)^2+(G316-'Hybrid Calculator'!$B$12)^2+((H316-'Hybrid Calculator'!$E$14)/IF(A316="Lightning",100,30000))^2+((I316-'Hybrid Calculator'!$E$17)/IF(A316="Lightning",100,30000))^2</f>
        <v>0.13869048535832279</v>
      </c>
      <c r="K316" s="2">
        <f t="shared" si="16"/>
        <v>298</v>
      </c>
      <c r="L316" s="2">
        <f t="shared" si="17"/>
        <v>0</v>
      </c>
      <c r="M316" s="2">
        <f t="shared" si="18"/>
        <v>0</v>
      </c>
      <c r="N316" s="2">
        <v>5.164778973675288E-3</v>
      </c>
      <c r="O316" s="2">
        <f t="shared" si="19"/>
        <v>0</v>
      </c>
      <c r="P316" s="2">
        <v>1.3606820580123724</v>
      </c>
      <c r="Q316" s="2">
        <v>5.3225011470610752</v>
      </c>
    </row>
    <row r="317" spans="1:17" ht="15">
      <c r="A317" s="2" t="s">
        <v>13</v>
      </c>
      <c r="B317" s="2">
        <v>1407.6305264490657</v>
      </c>
      <c r="C317" s="2">
        <v>978.94058339297771</v>
      </c>
      <c r="D317" s="2">
        <v>428.77930989488959</v>
      </c>
      <c r="E317" s="2">
        <v>220.76873764861375</v>
      </c>
      <c r="F317" s="2">
        <v>20.500536577310413</v>
      </c>
      <c r="G317" s="2">
        <v>0.83721768232993787</v>
      </c>
      <c r="H317" s="2">
        <v>45</v>
      </c>
      <c r="I317" s="2">
        <v>25</v>
      </c>
      <c r="J317" s="2">
        <f>(IF(A317='Hybrid Calculator'!$B$6,0,1))^2+((B317-'Hybrid Calculator'!$B$7)/1500)^2+((C317-'Hybrid Calculator'!$B$8)/1300)^2+((D317-'Hybrid Calculator'!$B$9)/800)^2+((E317-'Hybrid Calculator'!$B$10)/350)^2+((F317-'Hybrid Calculator'!$B$11)/30)^2+(G317-'Hybrid Calculator'!$B$12)^2+((H317-'Hybrid Calculator'!$E$14)/IF(A317="Lightning",100,30000))^2+((I317-'Hybrid Calculator'!$E$17)/IF(A317="Lightning",100,30000))^2</f>
        <v>6.6024029032504136E-2</v>
      </c>
      <c r="K317" s="2">
        <f t="shared" si="16"/>
        <v>96</v>
      </c>
      <c r="L317" s="2">
        <f t="shared" si="17"/>
        <v>0</v>
      </c>
      <c r="M317" s="2">
        <f t="shared" si="18"/>
        <v>0</v>
      </c>
      <c r="N317" s="2">
        <v>-1.0110565571853858E-2</v>
      </c>
      <c r="O317" s="2">
        <f t="shared" si="19"/>
        <v>0</v>
      </c>
      <c r="P317" s="2">
        <v>-0.39184196049923514</v>
      </c>
      <c r="Q317" s="2">
        <v>-2.0820831821267802</v>
      </c>
    </row>
    <row r="318" spans="1:17" ht="15">
      <c r="A318" s="2" t="s">
        <v>13</v>
      </c>
      <c r="B318" s="2">
        <v>1411.983825545758</v>
      </c>
      <c r="C318" s="2">
        <v>871.3825780316256</v>
      </c>
      <c r="D318" s="2">
        <v>681.77986089140177</v>
      </c>
      <c r="E318" s="2">
        <v>309.61090604076162</v>
      </c>
      <c r="F318" s="2">
        <v>21.410715291276574</v>
      </c>
      <c r="G318" s="2">
        <v>0.79020270581590013</v>
      </c>
      <c r="H318" s="2">
        <v>40</v>
      </c>
      <c r="I318" s="2">
        <v>25</v>
      </c>
      <c r="J318" s="2">
        <f>(IF(A318='Hybrid Calculator'!$B$6,0,1))^2+((B318-'Hybrid Calculator'!$B$7)/1500)^2+((C318-'Hybrid Calculator'!$B$8)/1300)^2+((D318-'Hybrid Calculator'!$B$9)/800)^2+((E318-'Hybrid Calculator'!$B$10)/350)^2+((F318-'Hybrid Calculator'!$B$11)/30)^2+(G318-'Hybrid Calculator'!$B$12)^2+((H318-'Hybrid Calculator'!$E$14)/IF(A318="Lightning",100,30000))^2+((I318-'Hybrid Calculator'!$E$17)/IF(A318="Lightning",100,30000))^2</f>
        <v>0.28024288480048648</v>
      </c>
      <c r="K318" s="2">
        <f t="shared" si="16"/>
        <v>581</v>
      </c>
      <c r="L318" s="2">
        <f t="shared" si="17"/>
        <v>0</v>
      </c>
      <c r="M318" s="2">
        <f t="shared" si="18"/>
        <v>0</v>
      </c>
      <c r="N318" s="2">
        <v>5.5210338387068347E-4</v>
      </c>
      <c r="O318" s="2">
        <f t="shared" si="19"/>
        <v>0</v>
      </c>
      <c r="P318" s="2">
        <v>-0.7274172798459233</v>
      </c>
      <c r="Q318" s="2">
        <v>-6.9103685764207512</v>
      </c>
    </row>
    <row r="319" spans="1:17" ht="15">
      <c r="A319" s="2" t="s">
        <v>13</v>
      </c>
      <c r="B319" s="2">
        <v>1402.7248246246018</v>
      </c>
      <c r="C319" s="2">
        <v>1137.8466650145128</v>
      </c>
      <c r="D319" s="2">
        <v>395.24767035618424</v>
      </c>
      <c r="E319" s="2">
        <v>313.07926044799387</v>
      </c>
      <c r="F319" s="2">
        <v>13.721248738933355</v>
      </c>
      <c r="G319" s="2">
        <v>0.80511576323304324</v>
      </c>
      <c r="H319" s="2">
        <v>40</v>
      </c>
      <c r="I319" s="2">
        <v>25</v>
      </c>
      <c r="J319" s="2">
        <f>(IF(A319='Hybrid Calculator'!$B$6,0,1))^2+((B319-'Hybrid Calculator'!$B$7)/1500)^2+((C319-'Hybrid Calculator'!$B$8)/1300)^2+((D319-'Hybrid Calculator'!$B$9)/800)^2+((E319-'Hybrid Calculator'!$B$10)/350)^2+((F319-'Hybrid Calculator'!$B$11)/30)^2+(G319-'Hybrid Calculator'!$B$12)^2+((H319-'Hybrid Calculator'!$E$14)/IF(A319="Lightning",100,30000))^2+((I319-'Hybrid Calculator'!$E$17)/IF(A319="Lightning",100,30000))^2</f>
        <v>0.31908912642888348</v>
      </c>
      <c r="K319" s="2">
        <f t="shared" si="16"/>
        <v>623</v>
      </c>
      <c r="L319" s="2">
        <f t="shared" si="17"/>
        <v>0</v>
      </c>
      <c r="M319" s="2">
        <f t="shared" si="18"/>
        <v>0</v>
      </c>
      <c r="N319" s="2">
        <v>2.0365051073435447E-2</v>
      </c>
      <c r="O319" s="2">
        <f t="shared" si="19"/>
        <v>0</v>
      </c>
      <c r="P319" s="2">
        <v>1.1870690650650246</v>
      </c>
      <c r="Q319" s="2">
        <v>5.1593172158627567</v>
      </c>
    </row>
    <row r="320" spans="1:17" ht="15">
      <c r="A320" s="2" t="s">
        <v>13</v>
      </c>
      <c r="B320" s="2">
        <v>1442.0778285479173</v>
      </c>
      <c r="C320" s="2">
        <v>959.55364458495751</v>
      </c>
      <c r="D320" s="2">
        <v>739.96735922992229</v>
      </c>
      <c r="E320" s="2">
        <v>150.65585971577093</v>
      </c>
      <c r="F320" s="2">
        <v>8.3441140400245786</v>
      </c>
      <c r="G320" s="2">
        <v>0.85877807781798765</v>
      </c>
      <c r="H320" s="2">
        <v>40</v>
      </c>
      <c r="I320" s="2">
        <v>25</v>
      </c>
      <c r="J320" s="2">
        <f>(IF(A320='Hybrid Calculator'!$B$6,0,1))^2+((B320-'Hybrid Calculator'!$B$7)/1500)^2+((C320-'Hybrid Calculator'!$B$8)/1300)^2+((D320-'Hybrid Calculator'!$B$9)/800)^2+((E320-'Hybrid Calculator'!$B$10)/350)^2+((F320-'Hybrid Calculator'!$B$11)/30)^2+(G320-'Hybrid Calculator'!$B$12)^2+((H320-'Hybrid Calculator'!$E$14)/IF(A320="Lightning",100,30000))^2+((I320-'Hybrid Calculator'!$E$17)/IF(A320="Lightning",100,30000))^2</f>
        <v>0.2233164148634412</v>
      </c>
      <c r="K320" s="2">
        <f t="shared" si="16"/>
        <v>492</v>
      </c>
      <c r="L320" s="2">
        <f t="shared" si="17"/>
        <v>0</v>
      </c>
      <c r="M320" s="2">
        <f t="shared" si="18"/>
        <v>0</v>
      </c>
      <c r="N320" s="2">
        <v>5.4700164757202074E-3</v>
      </c>
      <c r="O320" s="2">
        <f t="shared" si="19"/>
        <v>0</v>
      </c>
      <c r="P320" s="2">
        <v>-0.1319711972924793</v>
      </c>
      <c r="Q320" s="2">
        <v>3.2602077236786045</v>
      </c>
    </row>
    <row r="321" spans="1:17" ht="15">
      <c r="A321" s="2" t="s">
        <v>13</v>
      </c>
      <c r="B321" s="2">
        <v>1439.1212887479924</v>
      </c>
      <c r="C321" s="2">
        <v>810.44160765595734</v>
      </c>
      <c r="D321" s="2">
        <v>639.49397830292583</v>
      </c>
      <c r="E321" s="2">
        <v>116.66366671677679</v>
      </c>
      <c r="F321" s="2">
        <v>21.099568776320666</v>
      </c>
      <c r="G321" s="2">
        <v>0.83108013814315207</v>
      </c>
      <c r="H321" s="2">
        <v>45</v>
      </c>
      <c r="I321" s="2">
        <v>25</v>
      </c>
      <c r="J321" s="2">
        <f>(IF(A321='Hybrid Calculator'!$B$6,0,1))^2+((B321-'Hybrid Calculator'!$B$7)/1500)^2+((C321-'Hybrid Calculator'!$B$8)/1300)^2+((D321-'Hybrid Calculator'!$B$9)/800)^2+((E321-'Hybrid Calculator'!$B$10)/350)^2+((F321-'Hybrid Calculator'!$B$11)/30)^2+(G321-'Hybrid Calculator'!$B$12)^2+((H321-'Hybrid Calculator'!$E$14)/IF(A321="Lightning",100,30000))^2+((I321-'Hybrid Calculator'!$E$17)/IF(A321="Lightning",100,30000))^2</f>
        <v>5.0621915819306265E-2</v>
      </c>
      <c r="K321" s="2">
        <f t="shared" si="16"/>
        <v>56</v>
      </c>
      <c r="L321" s="2">
        <f t="shared" si="17"/>
        <v>0</v>
      </c>
      <c r="M321" s="2">
        <f t="shared" si="18"/>
        <v>0</v>
      </c>
      <c r="N321" s="2">
        <v>7.111087792270876E-3</v>
      </c>
      <c r="O321" s="2">
        <f t="shared" si="19"/>
        <v>0</v>
      </c>
      <c r="P321" s="2">
        <v>-1.1191065680755443</v>
      </c>
      <c r="Q321" s="2">
        <v>-7.6811065815318216</v>
      </c>
    </row>
    <row r="322" spans="1:17" ht="15">
      <c r="A322" s="2" t="s">
        <v>13</v>
      </c>
      <c r="B322" s="2">
        <v>1493.127320939675</v>
      </c>
      <c r="C322" s="2">
        <v>770.28833645163104</v>
      </c>
      <c r="D322" s="2">
        <v>717.18543600291014</v>
      </c>
      <c r="E322" s="2">
        <v>225.18120820866898</v>
      </c>
      <c r="F322" s="2">
        <v>13.245726458728313</v>
      </c>
      <c r="G322" s="2">
        <v>0.79645021410891792</v>
      </c>
      <c r="H322" s="2">
        <v>40</v>
      </c>
      <c r="I322" s="2">
        <v>25</v>
      </c>
      <c r="J322" s="2">
        <f>(IF(A322='Hybrid Calculator'!$B$6,0,1))^2+((B322-'Hybrid Calculator'!$B$7)/1500)^2+((C322-'Hybrid Calculator'!$B$8)/1300)^2+((D322-'Hybrid Calculator'!$B$9)/800)^2+((E322-'Hybrid Calculator'!$B$10)/350)^2+((F322-'Hybrid Calculator'!$B$11)/30)^2+(G322-'Hybrid Calculator'!$B$12)^2+((H322-'Hybrid Calculator'!$E$14)/IF(A322="Lightning",100,30000))^2+((I322-'Hybrid Calculator'!$E$17)/IF(A322="Lightning",100,30000))^2</f>
        <v>0.16689490618581579</v>
      </c>
      <c r="K322" s="2">
        <f t="shared" ref="K322:K385" si="20">RANK(J322,$J$2:$J$1401,1)</f>
        <v>374</v>
      </c>
      <c r="L322" s="2">
        <f t="shared" ref="L322:L385" si="21">IF(K322&lt;=7,1,0)</f>
        <v>0</v>
      </c>
      <c r="M322" s="2">
        <f t="shared" ref="M322:M385" si="22">IF(L322=1,1/(J322+0.000001),0)</f>
        <v>0</v>
      </c>
      <c r="N322" s="2">
        <v>5.6118756090717259E-3</v>
      </c>
      <c r="O322" s="2">
        <f t="shared" ref="O322:O385" si="23">M322</f>
        <v>0</v>
      </c>
      <c r="P322" s="2">
        <v>-0.28933226241171894</v>
      </c>
      <c r="Q322" s="2">
        <v>7.5381520681287384</v>
      </c>
    </row>
    <row r="323" spans="1:17" ht="15">
      <c r="A323" s="2" t="s">
        <v>13</v>
      </c>
      <c r="B323" s="2">
        <v>1412.379049428273</v>
      </c>
      <c r="C323" s="2">
        <v>698.19243212696165</v>
      </c>
      <c r="D323" s="2">
        <v>418.63403888419271</v>
      </c>
      <c r="E323" s="2">
        <v>310.00056250020862</v>
      </c>
      <c r="F323" s="2">
        <v>29.587513460312039</v>
      </c>
      <c r="G323" s="2">
        <v>0.81875097685959197</v>
      </c>
      <c r="H323" s="2">
        <v>50</v>
      </c>
      <c r="I323" s="2">
        <v>25</v>
      </c>
      <c r="J323" s="2">
        <f>(IF(A323='Hybrid Calculator'!$B$6,0,1))^2+((B323-'Hybrid Calculator'!$B$7)/1500)^2+((C323-'Hybrid Calculator'!$B$8)/1300)^2+((D323-'Hybrid Calculator'!$B$9)/800)^2+((E323-'Hybrid Calculator'!$B$10)/350)^2+((F323-'Hybrid Calculator'!$B$11)/30)^2+(G323-'Hybrid Calculator'!$B$12)^2+((H323-'Hybrid Calculator'!$E$14)/IF(A323="Lightning",100,30000))^2+((I323-'Hybrid Calculator'!$E$17)/IF(A323="Lightning",100,30000))^2</f>
        <v>0.36962640654088891</v>
      </c>
      <c r="K323" s="2">
        <f t="shared" si="20"/>
        <v>666</v>
      </c>
      <c r="L323" s="2">
        <f t="shared" si="21"/>
        <v>0</v>
      </c>
      <c r="M323" s="2">
        <f t="shared" si="22"/>
        <v>0</v>
      </c>
      <c r="N323" s="2">
        <v>-6.1919392874889567E-3</v>
      </c>
      <c r="O323" s="2">
        <f t="shared" si="23"/>
        <v>0</v>
      </c>
      <c r="P323" s="2">
        <v>0.34854685302741473</v>
      </c>
      <c r="Q323" s="2">
        <v>-9.0175612766622635</v>
      </c>
    </row>
    <row r="324" spans="1:17" ht="15">
      <c r="A324" s="2" t="s">
        <v>13</v>
      </c>
      <c r="B324" s="2">
        <v>1448.5409283544868</v>
      </c>
      <c r="C324" s="2">
        <v>921.44427512539551</v>
      </c>
      <c r="D324" s="2">
        <v>433.38294234126806</v>
      </c>
      <c r="E324" s="2">
        <v>259.07986772479489</v>
      </c>
      <c r="F324" s="2">
        <v>27.874061454087496</v>
      </c>
      <c r="G324" s="2">
        <v>0.80697614670032636</v>
      </c>
      <c r="H324" s="2">
        <v>45</v>
      </c>
      <c r="I324" s="2">
        <v>25</v>
      </c>
      <c r="J324" s="2">
        <f>(IF(A324='Hybrid Calculator'!$B$6,0,1))^2+((B324-'Hybrid Calculator'!$B$7)/1500)^2+((C324-'Hybrid Calculator'!$B$8)/1300)^2+((D324-'Hybrid Calculator'!$B$9)/800)^2+((E324-'Hybrid Calculator'!$B$10)/350)^2+((F324-'Hybrid Calculator'!$B$11)/30)^2+(G324-'Hybrid Calculator'!$B$12)^2+((H324-'Hybrid Calculator'!$E$14)/IF(A324="Lightning",100,30000))^2+((I324-'Hybrid Calculator'!$E$17)/IF(A324="Lightning",100,30000))^2</f>
        <v>0.20763695769143389</v>
      </c>
      <c r="K324" s="2">
        <f t="shared" si="20"/>
        <v>458</v>
      </c>
      <c r="L324" s="2">
        <f t="shared" si="21"/>
        <v>0</v>
      </c>
      <c r="M324" s="2">
        <f t="shared" si="22"/>
        <v>0</v>
      </c>
      <c r="N324" s="2">
        <v>2.2677384200975315E-3</v>
      </c>
      <c r="O324" s="2">
        <f t="shared" si="23"/>
        <v>0</v>
      </c>
      <c r="P324" s="2">
        <v>-4.7398563567099927E-2</v>
      </c>
      <c r="Q324" s="2">
        <v>-15.71059536613393</v>
      </c>
    </row>
    <row r="325" spans="1:17" ht="15">
      <c r="A325" s="2" t="s">
        <v>13</v>
      </c>
      <c r="B325" s="2">
        <v>1454.6212511253543</v>
      </c>
      <c r="C325" s="2">
        <v>1134.9050474120304</v>
      </c>
      <c r="D325" s="2">
        <v>428.45396446064115</v>
      </c>
      <c r="E325" s="2">
        <v>254.763148650527</v>
      </c>
      <c r="F325" s="2">
        <v>24.634157026652247</v>
      </c>
      <c r="G325" s="2">
        <v>0.81360363006126135</v>
      </c>
      <c r="H325" s="2">
        <v>40</v>
      </c>
      <c r="I325" s="2">
        <v>25</v>
      </c>
      <c r="J325" s="2">
        <f>(IF(A325='Hybrid Calculator'!$B$6,0,1))^2+((B325-'Hybrid Calculator'!$B$7)/1500)^2+((C325-'Hybrid Calculator'!$B$8)/1300)^2+((D325-'Hybrid Calculator'!$B$9)/800)^2+((E325-'Hybrid Calculator'!$B$10)/350)^2+((F325-'Hybrid Calculator'!$B$11)/30)^2+(G325-'Hybrid Calculator'!$B$12)^2+((H325-'Hybrid Calculator'!$E$14)/IF(A325="Lightning",100,30000))^2+((I325-'Hybrid Calculator'!$E$17)/IF(A325="Lightning",100,30000))^2</f>
        <v>0.19786235273535502</v>
      </c>
      <c r="K325" s="2">
        <f t="shared" si="20"/>
        <v>443</v>
      </c>
      <c r="L325" s="2">
        <f t="shared" si="21"/>
        <v>0</v>
      </c>
      <c r="M325" s="2">
        <f t="shared" si="22"/>
        <v>0</v>
      </c>
      <c r="N325" s="2">
        <v>-5.2620829374867562E-3</v>
      </c>
      <c r="O325" s="2">
        <f t="shared" si="23"/>
        <v>0</v>
      </c>
      <c r="P325" s="2">
        <v>1.6942311250955981</v>
      </c>
      <c r="Q325" s="2">
        <v>-9.5957362389956415</v>
      </c>
    </row>
    <row r="326" spans="1:17" ht="15">
      <c r="A326" s="2" t="s">
        <v>13</v>
      </c>
      <c r="B326" s="2">
        <v>1436.3663425901905</v>
      </c>
      <c r="C326" s="2">
        <v>694.51057511614636</v>
      </c>
      <c r="D326" s="2">
        <v>607.53192976117134</v>
      </c>
      <c r="E326" s="2">
        <v>98.633064290042967</v>
      </c>
      <c r="F326" s="2">
        <v>8.9111851742491126</v>
      </c>
      <c r="G326" s="2">
        <v>0.83994074402144181</v>
      </c>
      <c r="H326" s="2">
        <v>55</v>
      </c>
      <c r="I326" s="2">
        <v>25</v>
      </c>
      <c r="J326" s="2">
        <f>(IF(A326='Hybrid Calculator'!$B$6,0,1))^2+((B326-'Hybrid Calculator'!$B$7)/1500)^2+((C326-'Hybrid Calculator'!$B$8)/1300)^2+((D326-'Hybrid Calculator'!$B$9)/800)^2+((E326-'Hybrid Calculator'!$B$10)/350)^2+((F326-'Hybrid Calculator'!$B$11)/30)^2+(G326-'Hybrid Calculator'!$B$12)^2+((H326-'Hybrid Calculator'!$E$14)/IF(A326="Lightning",100,30000))^2+((I326-'Hybrid Calculator'!$E$17)/IF(A326="Lightning",100,30000))^2</f>
        <v>0.15902911984579934</v>
      </c>
      <c r="K326" s="2">
        <f t="shared" si="20"/>
        <v>350</v>
      </c>
      <c r="L326" s="2">
        <f t="shared" si="21"/>
        <v>0</v>
      </c>
      <c r="M326" s="2">
        <f t="shared" si="22"/>
        <v>0</v>
      </c>
      <c r="N326" s="2">
        <v>4.010670744583722E-3</v>
      </c>
      <c r="O326" s="2">
        <f t="shared" si="23"/>
        <v>0</v>
      </c>
      <c r="P326" s="2">
        <v>-1.4748934105482547</v>
      </c>
      <c r="Q326" s="2">
        <v>7.317112368002654</v>
      </c>
    </row>
    <row r="327" spans="1:17" ht="15">
      <c r="A327" s="2" t="s">
        <v>13</v>
      </c>
      <c r="B327" s="2">
        <v>1391.6911065462045</v>
      </c>
      <c r="C327" s="2">
        <v>922.98074048012495</v>
      </c>
      <c r="D327" s="2">
        <v>670.30268451198936</v>
      </c>
      <c r="E327" s="2">
        <v>280.22781763691455</v>
      </c>
      <c r="F327" s="2">
        <v>9.5108788996003568</v>
      </c>
      <c r="G327" s="2">
        <v>0.8373895312752575</v>
      </c>
      <c r="H327" s="2">
        <v>40</v>
      </c>
      <c r="I327" s="2">
        <v>25</v>
      </c>
      <c r="J327" s="2">
        <f>(IF(A327='Hybrid Calculator'!$B$6,0,1))^2+((B327-'Hybrid Calculator'!$B$7)/1500)^2+((C327-'Hybrid Calculator'!$B$8)/1300)^2+((D327-'Hybrid Calculator'!$B$9)/800)^2+((E327-'Hybrid Calculator'!$B$10)/350)^2+((F327-'Hybrid Calculator'!$B$11)/30)^2+(G327-'Hybrid Calculator'!$B$12)^2+((H327-'Hybrid Calculator'!$E$14)/IF(A327="Lightning",100,30000))^2+((I327-'Hybrid Calculator'!$E$17)/IF(A327="Lightning",100,30000))^2</f>
        <v>0.28748997637010848</v>
      </c>
      <c r="K327" s="2">
        <f t="shared" si="20"/>
        <v>591</v>
      </c>
      <c r="L327" s="2">
        <f t="shared" si="21"/>
        <v>0</v>
      </c>
      <c r="M327" s="2">
        <f t="shared" si="22"/>
        <v>0</v>
      </c>
      <c r="N327" s="2">
        <v>1.3077591531395427E-2</v>
      </c>
      <c r="O327" s="2">
        <f t="shared" si="23"/>
        <v>0</v>
      </c>
      <c r="P327" s="2">
        <v>1.1168439513805666</v>
      </c>
      <c r="Q327" s="2">
        <v>-3.7888312520356067</v>
      </c>
    </row>
    <row r="328" spans="1:17" ht="15">
      <c r="A328" s="2" t="s">
        <v>13</v>
      </c>
      <c r="B328" s="2">
        <v>1490.5033917166293</v>
      </c>
      <c r="C328" s="2">
        <v>1221.8650457798503</v>
      </c>
      <c r="D328" s="2">
        <v>361.55131552368402</v>
      </c>
      <c r="E328" s="2">
        <v>297.43703080574051</v>
      </c>
      <c r="F328" s="2">
        <v>24.079264821484685</v>
      </c>
      <c r="G328" s="2">
        <v>0.79467879108386119</v>
      </c>
      <c r="H328" s="2">
        <v>35</v>
      </c>
      <c r="I328" s="2">
        <v>25</v>
      </c>
      <c r="J328" s="2">
        <f>(IF(A328='Hybrid Calculator'!$B$6,0,1))^2+((B328-'Hybrid Calculator'!$B$7)/1500)^2+((C328-'Hybrid Calculator'!$B$8)/1300)^2+((D328-'Hybrid Calculator'!$B$9)/800)^2+((E328-'Hybrid Calculator'!$B$10)/350)^2+((F328-'Hybrid Calculator'!$B$11)/30)^2+(G328-'Hybrid Calculator'!$B$12)^2+((H328-'Hybrid Calculator'!$E$14)/IF(A328="Lightning",100,30000))^2+((I328-'Hybrid Calculator'!$E$17)/IF(A328="Lightning",100,30000))^2</f>
        <v>0.34886013873435012</v>
      </c>
      <c r="K328" s="2">
        <f t="shared" si="20"/>
        <v>650</v>
      </c>
      <c r="L328" s="2">
        <f t="shared" si="21"/>
        <v>0</v>
      </c>
      <c r="M328" s="2">
        <f t="shared" si="22"/>
        <v>0</v>
      </c>
      <c r="N328" s="2">
        <v>1.1641914494314509E-2</v>
      </c>
      <c r="O328" s="2">
        <f t="shared" si="23"/>
        <v>0</v>
      </c>
      <c r="P328" s="2">
        <v>1.3222849684300471</v>
      </c>
      <c r="Q328" s="2">
        <v>-6.8617078404224685</v>
      </c>
    </row>
    <row r="329" spans="1:17" ht="15">
      <c r="A329" s="2" t="s">
        <v>13</v>
      </c>
      <c r="B329" s="2">
        <v>1408.734301070217</v>
      </c>
      <c r="C329" s="2">
        <v>1240.8960954518989</v>
      </c>
      <c r="D329" s="2">
        <v>704.90846419706941</v>
      </c>
      <c r="E329" s="2">
        <v>146.12176005728543</v>
      </c>
      <c r="F329" s="2">
        <v>19.587518468964845</v>
      </c>
      <c r="G329" s="2">
        <v>0.82618697444442668</v>
      </c>
      <c r="H329" s="2">
        <v>35</v>
      </c>
      <c r="I329" s="2">
        <v>25</v>
      </c>
      <c r="J329" s="2">
        <f>(IF(A329='Hybrid Calculator'!$B$6,0,1))^2+((B329-'Hybrid Calculator'!$B$7)/1500)^2+((C329-'Hybrid Calculator'!$B$8)/1300)^2+((D329-'Hybrid Calculator'!$B$9)/800)^2+((E329-'Hybrid Calculator'!$B$10)/350)^2+((F329-'Hybrid Calculator'!$B$11)/30)^2+(G329-'Hybrid Calculator'!$B$12)^2+((H329-'Hybrid Calculator'!$E$14)/IF(A329="Lightning",100,30000))^2+((I329-'Hybrid Calculator'!$E$17)/IF(A329="Lightning",100,30000))^2</f>
        <v>0.18011224848638485</v>
      </c>
      <c r="K329" s="2">
        <f t="shared" si="20"/>
        <v>400</v>
      </c>
      <c r="L329" s="2">
        <f t="shared" si="21"/>
        <v>0</v>
      </c>
      <c r="M329" s="2">
        <f t="shared" si="22"/>
        <v>0</v>
      </c>
      <c r="N329" s="2">
        <v>1.5588858083407153E-2</v>
      </c>
      <c r="O329" s="2">
        <f t="shared" si="23"/>
        <v>0</v>
      </c>
      <c r="P329" s="2">
        <v>1.2589920302239079</v>
      </c>
      <c r="Q329" s="2">
        <v>-16.344022758140454</v>
      </c>
    </row>
    <row r="330" spans="1:17" ht="15">
      <c r="A330" s="2" t="s">
        <v>13</v>
      </c>
      <c r="B330" s="2">
        <v>1484.932137443684</v>
      </c>
      <c r="C330" s="2">
        <v>1039.7841244586743</v>
      </c>
      <c r="D330" s="2">
        <v>671.97461985051632</v>
      </c>
      <c r="E330" s="2">
        <v>141.5836686338298</v>
      </c>
      <c r="F330" s="2">
        <v>18.124375251121819</v>
      </c>
      <c r="G330" s="2">
        <v>0.84379935574484999</v>
      </c>
      <c r="H330" s="2">
        <v>40</v>
      </c>
      <c r="I330" s="2">
        <v>25</v>
      </c>
      <c r="J330" s="2">
        <f>(IF(A330='Hybrid Calculator'!$B$6,0,1))^2+((B330-'Hybrid Calculator'!$B$7)/1500)^2+((C330-'Hybrid Calculator'!$B$8)/1300)^2+((D330-'Hybrid Calculator'!$B$9)/800)^2+((E330-'Hybrid Calculator'!$B$10)/350)^2+((F330-'Hybrid Calculator'!$B$11)/30)^2+(G330-'Hybrid Calculator'!$B$12)^2+((H330-'Hybrid Calculator'!$E$14)/IF(A330="Lightning",100,30000))^2+((I330-'Hybrid Calculator'!$E$17)/IF(A330="Lightning",100,30000))^2</f>
        <v>8.042159844401095E-2</v>
      </c>
      <c r="K330" s="2">
        <f t="shared" si="20"/>
        <v>142</v>
      </c>
      <c r="L330" s="2">
        <f t="shared" si="21"/>
        <v>0</v>
      </c>
      <c r="M330" s="2">
        <f t="shared" si="22"/>
        <v>0</v>
      </c>
      <c r="N330" s="2">
        <v>1.3054951387685421E-3</v>
      </c>
      <c r="O330" s="2">
        <f t="shared" si="23"/>
        <v>0</v>
      </c>
      <c r="P330" s="2">
        <v>0.41956480662228302</v>
      </c>
      <c r="Q330" s="2">
        <v>2.1801792539818052</v>
      </c>
    </row>
    <row r="331" spans="1:17" ht="15">
      <c r="A331" s="2" t="s">
        <v>13</v>
      </c>
      <c r="B331" s="2">
        <v>1453.3665282069705</v>
      </c>
      <c r="C331" s="2">
        <v>841.68691546656191</v>
      </c>
      <c r="D331" s="2">
        <v>729.32994542643428</v>
      </c>
      <c r="E331" s="2">
        <v>249.89882790949196</v>
      </c>
      <c r="F331" s="2">
        <v>21.687787547241896</v>
      </c>
      <c r="G331" s="2">
        <v>0.81469271706417201</v>
      </c>
      <c r="H331" s="2">
        <v>40</v>
      </c>
      <c r="I331" s="2">
        <v>25</v>
      </c>
      <c r="J331" s="2">
        <f>(IF(A331='Hybrid Calculator'!$B$6,0,1))^2+((B331-'Hybrid Calculator'!$B$7)/1500)^2+((C331-'Hybrid Calculator'!$B$8)/1300)^2+((D331-'Hybrid Calculator'!$B$9)/800)^2+((E331-'Hybrid Calculator'!$B$10)/350)^2+((F331-'Hybrid Calculator'!$B$11)/30)^2+(G331-'Hybrid Calculator'!$B$12)^2+((H331-'Hybrid Calculator'!$E$14)/IF(A331="Lightning",100,30000))^2+((I331-'Hybrid Calculator'!$E$17)/IF(A331="Lightning",100,30000))^2</f>
        <v>0.18536069269797353</v>
      </c>
      <c r="K331" s="2">
        <f t="shared" si="20"/>
        <v>415</v>
      </c>
      <c r="L331" s="2">
        <f t="shared" si="21"/>
        <v>0</v>
      </c>
      <c r="M331" s="2">
        <f t="shared" si="22"/>
        <v>0</v>
      </c>
      <c r="N331" s="2">
        <v>5.0500392948420458E-3</v>
      </c>
      <c r="O331" s="2">
        <f t="shared" si="23"/>
        <v>0</v>
      </c>
      <c r="P331" s="2">
        <v>0.36664283337369596</v>
      </c>
      <c r="Q331" s="2">
        <v>-1.681125693118247</v>
      </c>
    </row>
    <row r="332" spans="1:17" ht="15">
      <c r="A332" s="2" t="s">
        <v>13</v>
      </c>
      <c r="B332" s="2">
        <v>1385.5523378122598</v>
      </c>
      <c r="C332" s="2">
        <v>992.19763985602185</v>
      </c>
      <c r="D332" s="2">
        <v>737.64647822827101</v>
      </c>
      <c r="E332" s="2">
        <v>172.87506371038035</v>
      </c>
      <c r="F332" s="2">
        <v>23.350677236914635</v>
      </c>
      <c r="G332" s="2">
        <v>0.85752222506562248</v>
      </c>
      <c r="H332" s="2">
        <v>35</v>
      </c>
      <c r="I332" s="2">
        <v>25</v>
      </c>
      <c r="J332" s="2">
        <f>(IF(A332='Hybrid Calculator'!$B$6,0,1))^2+((B332-'Hybrid Calculator'!$B$7)/1500)^2+((C332-'Hybrid Calculator'!$B$8)/1300)^2+((D332-'Hybrid Calculator'!$B$9)/800)^2+((E332-'Hybrid Calculator'!$B$10)/350)^2+((F332-'Hybrid Calculator'!$B$11)/30)^2+(G332-'Hybrid Calculator'!$B$12)^2+((H332-'Hybrid Calculator'!$E$14)/IF(A332="Lightning",100,30000))^2+((I332-'Hybrid Calculator'!$E$17)/IF(A332="Lightning",100,30000))^2</f>
        <v>0.15522262641452586</v>
      </c>
      <c r="K332" s="2">
        <f t="shared" si="20"/>
        <v>341</v>
      </c>
      <c r="L332" s="2">
        <f t="shared" si="21"/>
        <v>0</v>
      </c>
      <c r="M332" s="2">
        <f t="shared" si="22"/>
        <v>0</v>
      </c>
      <c r="N332" s="2">
        <v>8.142220217426388E-4</v>
      </c>
      <c r="O332" s="2">
        <f t="shared" si="23"/>
        <v>0</v>
      </c>
      <c r="P332" s="2">
        <v>-0.23948688672391683</v>
      </c>
      <c r="Q332" s="2">
        <v>-5.4694335914400654</v>
      </c>
    </row>
    <row r="333" spans="1:17" ht="15">
      <c r="A333" s="2" t="s">
        <v>13</v>
      </c>
      <c r="B333" s="2">
        <v>1405.4653656785376</v>
      </c>
      <c r="C333" s="2">
        <v>700.60380974318832</v>
      </c>
      <c r="D333" s="2">
        <v>448.37351562455297</v>
      </c>
      <c r="E333" s="2">
        <v>124.07634260132909</v>
      </c>
      <c r="F333" s="2">
        <v>28.520321405027062</v>
      </c>
      <c r="G333" s="2">
        <v>0.8192097211396322</v>
      </c>
      <c r="H333" s="2">
        <v>55</v>
      </c>
      <c r="I333" s="2">
        <v>25</v>
      </c>
      <c r="J333" s="2">
        <f>(IF(A333='Hybrid Calculator'!$B$6,0,1))^2+((B333-'Hybrid Calculator'!$B$7)/1500)^2+((C333-'Hybrid Calculator'!$B$8)/1300)^2+((D333-'Hybrid Calculator'!$B$9)/800)^2+((E333-'Hybrid Calculator'!$B$10)/350)^2+((F333-'Hybrid Calculator'!$B$11)/30)^2+(G333-'Hybrid Calculator'!$B$12)^2+((H333-'Hybrid Calculator'!$E$14)/IF(A333="Lightning",100,30000))^2+((I333-'Hybrid Calculator'!$E$17)/IF(A333="Lightning",100,30000))^2</f>
        <v>0.13709055214312799</v>
      </c>
      <c r="K333" s="2">
        <f t="shared" si="20"/>
        <v>296</v>
      </c>
      <c r="L333" s="2">
        <f t="shared" si="21"/>
        <v>0</v>
      </c>
      <c r="M333" s="2">
        <f t="shared" si="22"/>
        <v>0</v>
      </c>
      <c r="N333" s="2">
        <v>-2.3623856882388772E-2</v>
      </c>
      <c r="O333" s="2">
        <f t="shared" si="23"/>
        <v>0</v>
      </c>
      <c r="P333" s="2">
        <v>0.47518429110166238</v>
      </c>
      <c r="Q333" s="2">
        <v>-0.43459363804277018</v>
      </c>
    </row>
    <row r="334" spans="1:17" ht="15">
      <c r="A334" s="2" t="s">
        <v>13</v>
      </c>
      <c r="B334" s="2">
        <v>1368.0029471637681</v>
      </c>
      <c r="C334" s="2">
        <v>1211.1645238590427</v>
      </c>
      <c r="D334" s="2">
        <v>370.01271098852158</v>
      </c>
      <c r="E334" s="2">
        <v>175.11584875872359</v>
      </c>
      <c r="F334" s="2">
        <v>9.5111454678699374</v>
      </c>
      <c r="G334" s="2">
        <v>0.84919264148687945</v>
      </c>
      <c r="H334" s="2">
        <v>45</v>
      </c>
      <c r="I334" s="2">
        <v>25</v>
      </c>
      <c r="J334" s="2">
        <f>(IF(A334='Hybrid Calculator'!$B$6,0,1))^2+((B334-'Hybrid Calculator'!$B$7)/1500)^2+((C334-'Hybrid Calculator'!$B$8)/1300)^2+((D334-'Hybrid Calculator'!$B$9)/800)^2+((E334-'Hybrid Calculator'!$B$10)/350)^2+((F334-'Hybrid Calculator'!$B$11)/30)^2+(G334-'Hybrid Calculator'!$B$12)^2+((H334-'Hybrid Calculator'!$E$14)/IF(A334="Lightning",100,30000))^2+((I334-'Hybrid Calculator'!$E$17)/IF(A334="Lightning",100,30000))^2</f>
        <v>0.20330713313623708</v>
      </c>
      <c r="K334" s="2">
        <f t="shared" si="20"/>
        <v>452</v>
      </c>
      <c r="L334" s="2">
        <f t="shared" si="21"/>
        <v>0</v>
      </c>
      <c r="M334" s="2">
        <f t="shared" si="22"/>
        <v>0</v>
      </c>
      <c r="N334" s="2">
        <v>1.8201330657169335E-2</v>
      </c>
      <c r="O334" s="2">
        <f t="shared" si="23"/>
        <v>0</v>
      </c>
      <c r="P334" s="2">
        <v>1.6134315751615205</v>
      </c>
      <c r="Q334" s="2">
        <v>5.4271046348226264</v>
      </c>
    </row>
    <row r="335" spans="1:17" ht="15">
      <c r="A335" s="2" t="s">
        <v>13</v>
      </c>
      <c r="B335" s="2">
        <v>1426.0814654524438</v>
      </c>
      <c r="C335" s="2">
        <v>975.6671748124063</v>
      </c>
      <c r="D335" s="2">
        <v>600.8300325833261</v>
      </c>
      <c r="E335" s="2">
        <v>176.50809376034886</v>
      </c>
      <c r="F335" s="2">
        <v>25.052942534442991</v>
      </c>
      <c r="G335" s="2">
        <v>0.84207248811610047</v>
      </c>
      <c r="H335" s="2">
        <v>40</v>
      </c>
      <c r="I335" s="2">
        <v>25</v>
      </c>
      <c r="J335" s="2">
        <f>(IF(A335='Hybrid Calculator'!$B$6,0,1))^2+((B335-'Hybrid Calculator'!$B$7)/1500)^2+((C335-'Hybrid Calculator'!$B$8)/1300)^2+((D335-'Hybrid Calculator'!$B$9)/800)^2+((E335-'Hybrid Calculator'!$B$10)/350)^2+((F335-'Hybrid Calculator'!$B$11)/30)^2+(G335-'Hybrid Calculator'!$B$12)^2+((H335-'Hybrid Calculator'!$E$14)/IF(A335="Lightning",100,30000))^2+((I335-'Hybrid Calculator'!$E$17)/IF(A335="Lightning",100,30000))^2</f>
        <v>8.9166135902219834E-2</v>
      </c>
      <c r="K335" s="2">
        <f t="shared" si="20"/>
        <v>170</v>
      </c>
      <c r="L335" s="2">
        <f t="shared" si="21"/>
        <v>0</v>
      </c>
      <c r="M335" s="2">
        <f t="shared" si="22"/>
        <v>0</v>
      </c>
      <c r="N335" s="2">
        <v>-8.4949237499312158E-3</v>
      </c>
      <c r="O335" s="2">
        <f t="shared" si="23"/>
        <v>0</v>
      </c>
      <c r="P335" s="2">
        <v>-0.77957956654576321</v>
      </c>
      <c r="Q335" s="2">
        <v>-7.3408284087051925</v>
      </c>
    </row>
    <row r="336" spans="1:17" ht="15">
      <c r="A336" s="2" t="s">
        <v>13</v>
      </c>
      <c r="B336" s="2">
        <v>1489.8692809045315</v>
      </c>
      <c r="C336" s="2">
        <v>817.56718180840835</v>
      </c>
      <c r="D336" s="2">
        <v>729.53466046601534</v>
      </c>
      <c r="E336" s="2">
        <v>220.71211457485333</v>
      </c>
      <c r="F336" s="2">
        <v>20.454613683745265</v>
      </c>
      <c r="G336" s="2">
        <v>0.79965819110395386</v>
      </c>
      <c r="H336" s="2">
        <v>35</v>
      </c>
      <c r="I336" s="2">
        <v>25</v>
      </c>
      <c r="J336" s="2">
        <f>(IF(A336='Hybrid Calculator'!$B$6,0,1))^2+((B336-'Hybrid Calculator'!$B$7)/1500)^2+((C336-'Hybrid Calculator'!$B$8)/1300)^2+((D336-'Hybrid Calculator'!$B$9)/800)^2+((E336-'Hybrid Calculator'!$B$10)/350)^2+((F336-'Hybrid Calculator'!$B$11)/30)^2+(G336-'Hybrid Calculator'!$B$12)^2+((H336-'Hybrid Calculator'!$E$14)/IF(A336="Lightning",100,30000))^2+((I336-'Hybrid Calculator'!$E$17)/IF(A336="Lightning",100,30000))^2</f>
        <v>0.15279156737205757</v>
      </c>
      <c r="K336" s="2">
        <f t="shared" si="20"/>
        <v>332</v>
      </c>
      <c r="L336" s="2">
        <f t="shared" si="21"/>
        <v>0</v>
      </c>
      <c r="M336" s="2">
        <f t="shared" si="22"/>
        <v>0</v>
      </c>
      <c r="N336" s="2">
        <v>6.9598742426972837E-3</v>
      </c>
      <c r="O336" s="2">
        <f t="shared" si="23"/>
        <v>0</v>
      </c>
      <c r="P336" s="2">
        <v>-0.11243808657930288</v>
      </c>
      <c r="Q336" s="2">
        <v>-7.3507833198370918</v>
      </c>
    </row>
    <row r="337" spans="1:17" ht="15">
      <c r="A337" s="2" t="s">
        <v>13</v>
      </c>
      <c r="B337" s="2">
        <v>1421.8610657961108</v>
      </c>
      <c r="C337" s="2">
        <v>929.13602462504059</v>
      </c>
      <c r="D337" s="2">
        <v>469.89734033122659</v>
      </c>
      <c r="E337" s="2">
        <v>214.27626504562795</v>
      </c>
      <c r="F337" s="2">
        <v>8.8001019028015435</v>
      </c>
      <c r="G337" s="2">
        <v>0.79895126954186713</v>
      </c>
      <c r="H337" s="2">
        <v>50</v>
      </c>
      <c r="I337" s="2">
        <v>25</v>
      </c>
      <c r="J337" s="2">
        <f>(IF(A337='Hybrid Calculator'!$B$6,0,1))^2+((B337-'Hybrid Calculator'!$B$7)/1500)^2+((C337-'Hybrid Calculator'!$B$8)/1300)^2+((D337-'Hybrid Calculator'!$B$9)/800)^2+((E337-'Hybrid Calculator'!$B$10)/350)^2+((F337-'Hybrid Calculator'!$B$11)/30)^2+(G337-'Hybrid Calculator'!$B$12)^2+((H337-'Hybrid Calculator'!$E$14)/IF(A337="Lightning",100,30000))^2+((I337-'Hybrid Calculator'!$E$17)/IF(A337="Lightning",100,30000))^2</f>
        <v>0.14383722078751843</v>
      </c>
      <c r="K337" s="2">
        <f t="shared" si="20"/>
        <v>311</v>
      </c>
      <c r="L337" s="2">
        <f t="shared" si="21"/>
        <v>0</v>
      </c>
      <c r="M337" s="2">
        <f t="shared" si="22"/>
        <v>0</v>
      </c>
      <c r="N337" s="2">
        <v>1.4687908261541427E-2</v>
      </c>
      <c r="O337" s="2">
        <f t="shared" si="23"/>
        <v>0</v>
      </c>
      <c r="P337" s="2">
        <v>-0.88335824022057352</v>
      </c>
      <c r="Q337" s="2">
        <v>5.2152541011835183</v>
      </c>
    </row>
    <row r="338" spans="1:17" ht="15">
      <c r="A338" s="2" t="s">
        <v>13</v>
      </c>
      <c r="B338" s="2">
        <v>1386.6889997385442</v>
      </c>
      <c r="C338" s="2">
        <v>1218.3666504337452</v>
      </c>
      <c r="D338" s="2">
        <v>474.46609977632761</v>
      </c>
      <c r="E338" s="2">
        <v>223.22336303303018</v>
      </c>
      <c r="F338" s="2">
        <v>23.608520204201341</v>
      </c>
      <c r="G338" s="2">
        <v>0.81954761612461879</v>
      </c>
      <c r="H338" s="2">
        <v>35</v>
      </c>
      <c r="I338" s="2">
        <v>25</v>
      </c>
      <c r="J338" s="2">
        <f>(IF(A338='Hybrid Calculator'!$B$6,0,1))^2+((B338-'Hybrid Calculator'!$B$7)/1500)^2+((C338-'Hybrid Calculator'!$B$8)/1300)^2+((D338-'Hybrid Calculator'!$B$9)/800)^2+((E338-'Hybrid Calculator'!$B$10)/350)^2+((F338-'Hybrid Calculator'!$B$11)/30)^2+(G338-'Hybrid Calculator'!$B$12)^2+((H338-'Hybrid Calculator'!$E$14)/IF(A338="Lightning",100,30000))^2+((I338-'Hybrid Calculator'!$E$17)/IF(A338="Lightning",100,30000))^2</f>
        <v>0.17722885376407674</v>
      </c>
      <c r="K338" s="2">
        <f t="shared" si="20"/>
        <v>396</v>
      </c>
      <c r="L338" s="2">
        <f t="shared" si="21"/>
        <v>0</v>
      </c>
      <c r="M338" s="2">
        <f t="shared" si="22"/>
        <v>0</v>
      </c>
      <c r="N338" s="2">
        <v>1.3074826741538592E-2</v>
      </c>
      <c r="O338" s="2">
        <f t="shared" si="23"/>
        <v>0</v>
      </c>
      <c r="P338" s="2">
        <v>1.1529607923235048</v>
      </c>
      <c r="Q338" s="2">
        <v>-8.3175923106255141</v>
      </c>
    </row>
    <row r="339" spans="1:17" ht="15">
      <c r="A339" s="2" t="s">
        <v>13</v>
      </c>
      <c r="B339" s="2">
        <v>1440.1371085667051</v>
      </c>
      <c r="C339" s="2">
        <v>1059.5378267811611</v>
      </c>
      <c r="D339" s="2">
        <v>445.11821204796433</v>
      </c>
      <c r="E339" s="2">
        <v>290.21020435728133</v>
      </c>
      <c r="F339" s="2">
        <v>25.549382128287107</v>
      </c>
      <c r="G339" s="2">
        <v>0.8233473079511896</v>
      </c>
      <c r="H339" s="2">
        <v>40</v>
      </c>
      <c r="I339" s="2">
        <v>25</v>
      </c>
      <c r="J339" s="2">
        <f>(IF(A339='Hybrid Calculator'!$B$6,0,1))^2+((B339-'Hybrid Calculator'!$B$7)/1500)^2+((C339-'Hybrid Calculator'!$B$8)/1300)^2+((D339-'Hybrid Calculator'!$B$9)/800)^2+((E339-'Hybrid Calculator'!$B$10)/350)^2+((F339-'Hybrid Calculator'!$B$11)/30)^2+(G339-'Hybrid Calculator'!$B$12)^2+((H339-'Hybrid Calculator'!$E$14)/IF(A339="Lightning",100,30000))^2+((I339-'Hybrid Calculator'!$E$17)/IF(A339="Lightning",100,30000))^2</f>
        <v>0.25649539714852898</v>
      </c>
      <c r="K339" s="2">
        <f t="shared" si="20"/>
        <v>553</v>
      </c>
      <c r="L339" s="2">
        <f t="shared" si="21"/>
        <v>0</v>
      </c>
      <c r="M339" s="2">
        <f t="shared" si="22"/>
        <v>0</v>
      </c>
      <c r="N339" s="2">
        <v>-7.5926714410101681E-4</v>
      </c>
      <c r="O339" s="2">
        <f t="shared" si="23"/>
        <v>0</v>
      </c>
      <c r="P339" s="2">
        <v>-2.0785394730935991E-2</v>
      </c>
      <c r="Q339" s="2">
        <v>-7.307452665302435</v>
      </c>
    </row>
    <row r="340" spans="1:17" ht="15">
      <c r="A340" s="2" t="s">
        <v>13</v>
      </c>
      <c r="B340" s="2">
        <v>1361.1311800545081</v>
      </c>
      <c r="C340" s="2">
        <v>655.85851311916485</v>
      </c>
      <c r="D340" s="2">
        <v>408.4577601402998</v>
      </c>
      <c r="E340" s="2">
        <v>141.01545103592798</v>
      </c>
      <c r="F340" s="2">
        <v>12.633426268585026</v>
      </c>
      <c r="G340" s="2">
        <v>0.81244203784270219</v>
      </c>
      <c r="H340" s="2">
        <v>65</v>
      </c>
      <c r="I340" s="2">
        <v>25</v>
      </c>
      <c r="J340" s="2">
        <f>(IF(A340='Hybrid Calculator'!$B$6,0,1))^2+((B340-'Hybrid Calculator'!$B$7)/1500)^2+((C340-'Hybrid Calculator'!$B$8)/1300)^2+((D340-'Hybrid Calculator'!$B$9)/800)^2+((E340-'Hybrid Calculator'!$B$10)/350)^2+((F340-'Hybrid Calculator'!$B$11)/30)^2+(G340-'Hybrid Calculator'!$B$12)^2+((H340-'Hybrid Calculator'!$E$14)/IF(A340="Lightning",100,30000))^2+((I340-'Hybrid Calculator'!$E$17)/IF(A340="Lightning",100,30000))^2</f>
        <v>9.8665871078990414E-2</v>
      </c>
      <c r="K340" s="2">
        <f t="shared" si="20"/>
        <v>199</v>
      </c>
      <c r="L340" s="2">
        <f t="shared" si="21"/>
        <v>0</v>
      </c>
      <c r="M340" s="2">
        <f t="shared" si="22"/>
        <v>0</v>
      </c>
      <c r="N340" s="2">
        <v>4.7410698353069769E-3</v>
      </c>
      <c r="O340" s="2">
        <f t="shared" si="23"/>
        <v>0</v>
      </c>
      <c r="P340" s="2">
        <v>-1.0589083774459169</v>
      </c>
      <c r="Q340" s="2">
        <v>15.432252746957147</v>
      </c>
    </row>
    <row r="341" spans="1:17" ht="15">
      <c r="A341" s="2" t="s">
        <v>13</v>
      </c>
      <c r="B341" s="2">
        <v>1497.7283615036868</v>
      </c>
      <c r="C341" s="2">
        <v>757.48252053745091</v>
      </c>
      <c r="D341" s="2">
        <v>624.42571250721812</v>
      </c>
      <c r="E341" s="2">
        <v>175.96141648944467</v>
      </c>
      <c r="F341" s="2">
        <v>28.750319577287883</v>
      </c>
      <c r="G341" s="2">
        <v>0.79918871073052289</v>
      </c>
      <c r="H341" s="2">
        <v>40</v>
      </c>
      <c r="I341" s="2">
        <v>25</v>
      </c>
      <c r="J341" s="2">
        <f>(IF(A341='Hybrid Calculator'!$B$6,0,1))^2+((B341-'Hybrid Calculator'!$B$7)/1500)^2+((C341-'Hybrid Calculator'!$B$8)/1300)^2+((D341-'Hybrid Calculator'!$B$9)/800)^2+((E341-'Hybrid Calculator'!$B$10)/350)^2+((F341-'Hybrid Calculator'!$B$11)/30)^2+(G341-'Hybrid Calculator'!$B$12)^2+((H341-'Hybrid Calculator'!$E$14)/IF(A341="Lightning",100,30000))^2+((I341-'Hybrid Calculator'!$E$17)/IF(A341="Lightning",100,30000))^2</f>
        <v>0.16428438256349612</v>
      </c>
      <c r="K341" s="2">
        <f t="shared" si="20"/>
        <v>363</v>
      </c>
      <c r="L341" s="2">
        <f t="shared" si="21"/>
        <v>0</v>
      </c>
      <c r="M341" s="2">
        <f t="shared" si="22"/>
        <v>0</v>
      </c>
      <c r="N341" s="2">
        <v>3.7416395274014747E-3</v>
      </c>
      <c r="O341" s="2">
        <f t="shared" si="23"/>
        <v>0</v>
      </c>
      <c r="P341" s="2">
        <v>-1.2333879413737421</v>
      </c>
      <c r="Q341" s="2">
        <v>-8.4146453866360389</v>
      </c>
    </row>
    <row r="342" spans="1:17" ht="15">
      <c r="A342" s="2" t="s">
        <v>13</v>
      </c>
      <c r="B342" s="2">
        <v>1366.7522145900875</v>
      </c>
      <c r="C342" s="2">
        <v>1100.0699659693055</v>
      </c>
      <c r="D342" s="2">
        <v>450.64568649977446</v>
      </c>
      <c r="E342" s="2">
        <v>177.34264138387516</v>
      </c>
      <c r="F342" s="2">
        <v>14.08665094524622</v>
      </c>
      <c r="G342" s="2">
        <v>0.83409405434736983</v>
      </c>
      <c r="H342" s="2">
        <v>45</v>
      </c>
      <c r="I342" s="2">
        <v>25</v>
      </c>
      <c r="J342" s="2">
        <f>(IF(A342='Hybrid Calculator'!$B$6,0,1))^2+((B342-'Hybrid Calculator'!$B$7)/1500)^2+((C342-'Hybrid Calculator'!$B$8)/1300)^2+((D342-'Hybrid Calculator'!$B$9)/800)^2+((E342-'Hybrid Calculator'!$B$10)/350)^2+((F342-'Hybrid Calculator'!$B$11)/30)^2+(G342-'Hybrid Calculator'!$B$12)^2+((H342-'Hybrid Calculator'!$E$14)/IF(A342="Lightning",100,30000))^2+((I342-'Hybrid Calculator'!$E$17)/IF(A342="Lightning",100,30000))^2</f>
        <v>7.2760373713620305E-2</v>
      </c>
      <c r="K342" s="2">
        <f t="shared" si="20"/>
        <v>116</v>
      </c>
      <c r="L342" s="2">
        <f t="shared" si="21"/>
        <v>0</v>
      </c>
      <c r="M342" s="2">
        <f t="shared" si="22"/>
        <v>0</v>
      </c>
      <c r="N342" s="2">
        <v>1.0155357063131865E-2</v>
      </c>
      <c r="O342" s="2">
        <f t="shared" si="23"/>
        <v>0</v>
      </c>
      <c r="P342" s="2">
        <v>-0.13235060834374224</v>
      </c>
      <c r="Q342" s="2">
        <v>7.9694254444757462</v>
      </c>
    </row>
    <row r="343" spans="1:17" ht="15">
      <c r="A343" s="2" t="s">
        <v>13</v>
      </c>
      <c r="B343" s="2">
        <v>1488.7099894811399</v>
      </c>
      <c r="C343" s="2">
        <v>1166.1555915838107</v>
      </c>
      <c r="D343" s="2">
        <v>682.01552303507924</v>
      </c>
      <c r="E343" s="2">
        <v>225.56697150692344</v>
      </c>
      <c r="F343" s="2">
        <v>23.1592808351852</v>
      </c>
      <c r="G343" s="2">
        <v>0.85085444287862633</v>
      </c>
      <c r="H343" s="2">
        <v>35</v>
      </c>
      <c r="I343" s="2">
        <v>25</v>
      </c>
      <c r="J343" s="2">
        <f>(IF(A343='Hybrid Calculator'!$B$6,0,1))^2+((B343-'Hybrid Calculator'!$B$7)/1500)^2+((C343-'Hybrid Calculator'!$B$8)/1300)^2+((D343-'Hybrid Calculator'!$B$9)/800)^2+((E343-'Hybrid Calculator'!$B$10)/350)^2+((F343-'Hybrid Calculator'!$B$11)/30)^2+(G343-'Hybrid Calculator'!$B$12)^2+((H343-'Hybrid Calculator'!$E$14)/IF(A343="Lightning",100,30000))^2+((I343-'Hybrid Calculator'!$E$17)/IF(A343="Lightning",100,30000))^2</f>
        <v>0.20690188975833634</v>
      </c>
      <c r="K343" s="2">
        <f t="shared" si="20"/>
        <v>457</v>
      </c>
      <c r="L343" s="2">
        <f t="shared" si="21"/>
        <v>0</v>
      </c>
      <c r="M343" s="2">
        <f t="shared" si="22"/>
        <v>0</v>
      </c>
      <c r="N343" s="2">
        <v>1.1324209787143102E-2</v>
      </c>
      <c r="O343" s="2">
        <f t="shared" si="23"/>
        <v>0</v>
      </c>
      <c r="P343" s="2">
        <v>0.51434766716200642</v>
      </c>
      <c r="Q343" s="2">
        <v>-18.546928106619816</v>
      </c>
    </row>
    <row r="344" spans="1:17" ht="15">
      <c r="A344" s="2" t="s">
        <v>13</v>
      </c>
      <c r="B344" s="2">
        <v>1462.6630234764889</v>
      </c>
      <c r="C344" s="2">
        <v>619.77039390476421</v>
      </c>
      <c r="D344" s="2">
        <v>515.1436984539032</v>
      </c>
      <c r="E344" s="2">
        <v>273.18510772427544</v>
      </c>
      <c r="F344" s="2">
        <v>8.0397533653303981</v>
      </c>
      <c r="G344" s="2">
        <v>0.85893066085642211</v>
      </c>
      <c r="H344" s="2">
        <v>55</v>
      </c>
      <c r="I344" s="2">
        <v>25</v>
      </c>
      <c r="J344" s="2">
        <f>(IF(A344='Hybrid Calculator'!$B$6,0,1))^2+((B344-'Hybrid Calculator'!$B$7)/1500)^2+((C344-'Hybrid Calculator'!$B$8)/1300)^2+((D344-'Hybrid Calculator'!$B$9)/800)^2+((E344-'Hybrid Calculator'!$B$10)/350)^2+((F344-'Hybrid Calculator'!$B$11)/30)^2+(G344-'Hybrid Calculator'!$B$12)^2+((H344-'Hybrid Calculator'!$E$14)/IF(A344="Lightning",100,30000))^2+((I344-'Hybrid Calculator'!$E$17)/IF(A344="Lightning",100,30000))^2</f>
        <v>0.2818169000475832</v>
      </c>
      <c r="K344" s="2">
        <f t="shared" si="20"/>
        <v>584</v>
      </c>
      <c r="L344" s="2">
        <f t="shared" si="21"/>
        <v>0</v>
      </c>
      <c r="M344" s="2">
        <f t="shared" si="22"/>
        <v>0</v>
      </c>
      <c r="N344" s="2">
        <v>9.5012692487905781E-4</v>
      </c>
      <c r="O344" s="2">
        <f t="shared" si="23"/>
        <v>0</v>
      </c>
      <c r="P344" s="2">
        <v>0.22464528059330746</v>
      </c>
      <c r="Q344" s="2">
        <v>10.451011257256823</v>
      </c>
    </row>
    <row r="345" spans="1:17" ht="15">
      <c r="A345" s="2" t="s">
        <v>13</v>
      </c>
      <c r="B345" s="2">
        <v>1405.1391714136116</v>
      </c>
      <c r="C345" s="2">
        <v>880.3988971747458</v>
      </c>
      <c r="D345" s="2">
        <v>705.54706221446395</v>
      </c>
      <c r="E345" s="2">
        <v>247.59982483927161</v>
      </c>
      <c r="F345" s="2">
        <v>21.856267196591944</v>
      </c>
      <c r="G345" s="2">
        <v>0.82929196284152573</v>
      </c>
      <c r="H345" s="2">
        <v>40</v>
      </c>
      <c r="I345" s="2">
        <v>25</v>
      </c>
      <c r="J345" s="2">
        <f>(IF(A345='Hybrid Calculator'!$B$6,0,1))^2+((B345-'Hybrid Calculator'!$B$7)/1500)^2+((C345-'Hybrid Calculator'!$B$8)/1300)^2+((D345-'Hybrid Calculator'!$B$9)/800)^2+((E345-'Hybrid Calculator'!$B$10)/350)^2+((F345-'Hybrid Calculator'!$B$11)/30)^2+(G345-'Hybrid Calculator'!$B$12)^2+((H345-'Hybrid Calculator'!$E$14)/IF(A345="Lightning",100,30000))^2+((I345-'Hybrid Calculator'!$E$17)/IF(A345="Lightning",100,30000))^2</f>
        <v>0.16710061610710605</v>
      </c>
      <c r="K345" s="2">
        <f t="shared" si="20"/>
        <v>376</v>
      </c>
      <c r="L345" s="2">
        <f t="shared" si="21"/>
        <v>0</v>
      </c>
      <c r="M345" s="2">
        <f t="shared" si="22"/>
        <v>0</v>
      </c>
      <c r="N345" s="2">
        <v>-9.2426180872295927E-3</v>
      </c>
      <c r="O345" s="2">
        <f t="shared" si="23"/>
        <v>0</v>
      </c>
      <c r="P345" s="2">
        <v>-0.76062120935004174</v>
      </c>
      <c r="Q345" s="2">
        <v>-11.264388852019465</v>
      </c>
    </row>
    <row r="346" spans="1:17" ht="15">
      <c r="A346" s="2" t="s">
        <v>13</v>
      </c>
      <c r="B346" s="2">
        <v>1370.9931230172515</v>
      </c>
      <c r="C346" s="2">
        <v>875.16877468442544</v>
      </c>
      <c r="D346" s="2">
        <v>570.38509268313646</v>
      </c>
      <c r="E346" s="2">
        <v>199.26599178696051</v>
      </c>
      <c r="F346" s="2">
        <v>10.991664161905646</v>
      </c>
      <c r="G346" s="2">
        <v>0.80585369990440092</v>
      </c>
      <c r="H346" s="2">
        <v>45</v>
      </c>
      <c r="I346" s="2">
        <v>25</v>
      </c>
      <c r="J346" s="2">
        <f>(IF(A346='Hybrid Calculator'!$B$6,0,1))^2+((B346-'Hybrid Calculator'!$B$7)/1500)^2+((C346-'Hybrid Calculator'!$B$8)/1300)^2+((D346-'Hybrid Calculator'!$B$9)/800)^2+((E346-'Hybrid Calculator'!$B$10)/350)^2+((F346-'Hybrid Calculator'!$B$11)/30)^2+(G346-'Hybrid Calculator'!$B$12)^2+((H346-'Hybrid Calculator'!$E$14)/IF(A346="Lightning",100,30000))^2+((I346-'Hybrid Calculator'!$E$17)/IF(A346="Lightning",100,30000))^2</f>
        <v>9.4564380169831971E-2</v>
      </c>
      <c r="K346" s="2">
        <f t="shared" si="20"/>
        <v>186</v>
      </c>
      <c r="L346" s="2">
        <f t="shared" si="21"/>
        <v>0</v>
      </c>
      <c r="M346" s="2">
        <f t="shared" si="22"/>
        <v>0</v>
      </c>
      <c r="N346" s="2">
        <v>2.8969364661235453E-4</v>
      </c>
      <c r="O346" s="2">
        <f t="shared" si="23"/>
        <v>0</v>
      </c>
      <c r="P346" s="2">
        <v>-1.0306926616023802</v>
      </c>
      <c r="Q346" s="2">
        <v>10.388287473015225</v>
      </c>
    </row>
    <row r="347" spans="1:17" ht="15">
      <c r="A347" s="2" t="s">
        <v>13</v>
      </c>
      <c r="B347" s="2">
        <v>1385.3606585995294</v>
      </c>
      <c r="C347" s="2">
        <v>971.21750304941088</v>
      </c>
      <c r="D347" s="2">
        <v>699.35846338048577</v>
      </c>
      <c r="E347" s="2">
        <v>324.17849513702095</v>
      </c>
      <c r="F347" s="2">
        <v>9.6398749840445817</v>
      </c>
      <c r="G347" s="2">
        <v>0.82850417521316566</v>
      </c>
      <c r="H347" s="2">
        <v>40</v>
      </c>
      <c r="I347" s="2">
        <v>25</v>
      </c>
      <c r="J347" s="2">
        <f>(IF(A347='Hybrid Calculator'!$B$6,0,1))^2+((B347-'Hybrid Calculator'!$B$7)/1500)^2+((C347-'Hybrid Calculator'!$B$8)/1300)^2+((D347-'Hybrid Calculator'!$B$9)/800)^2+((E347-'Hybrid Calculator'!$B$10)/350)^2+((F347-'Hybrid Calculator'!$B$11)/30)^2+(G347-'Hybrid Calculator'!$B$12)^2+((H347-'Hybrid Calculator'!$E$14)/IF(A347="Lightning",100,30000))^2+((I347-'Hybrid Calculator'!$E$17)/IF(A347="Lightning",100,30000))^2</f>
        <v>0.41644742781400917</v>
      </c>
      <c r="K347" s="2">
        <f t="shared" si="20"/>
        <v>692</v>
      </c>
      <c r="L347" s="2">
        <f t="shared" si="21"/>
        <v>0</v>
      </c>
      <c r="M347" s="2">
        <f t="shared" si="22"/>
        <v>0</v>
      </c>
      <c r="N347" s="2">
        <v>9.3962759487835612E-3</v>
      </c>
      <c r="O347" s="2">
        <f t="shared" si="23"/>
        <v>0</v>
      </c>
      <c r="P347" s="2">
        <v>-0.31858573278628199</v>
      </c>
      <c r="Q347" s="2">
        <v>2.4387360464738776</v>
      </c>
    </row>
    <row r="348" spans="1:17" ht="15">
      <c r="A348" s="2" t="s">
        <v>13</v>
      </c>
      <c r="B348" s="2">
        <v>1495.0259825913236</v>
      </c>
      <c r="C348" s="2">
        <v>856.026414653752</v>
      </c>
      <c r="D348" s="2">
        <v>609.25890393555164</v>
      </c>
      <c r="E348" s="2">
        <v>218.43782077310607</v>
      </c>
      <c r="F348" s="2">
        <v>9.9922625878825784</v>
      </c>
      <c r="G348" s="2">
        <v>0.80933778843609616</v>
      </c>
      <c r="H348" s="2">
        <v>40</v>
      </c>
      <c r="I348" s="2">
        <v>25</v>
      </c>
      <c r="J348" s="2">
        <f>(IF(A348='Hybrid Calculator'!$B$6,0,1))^2+((B348-'Hybrid Calculator'!$B$7)/1500)^2+((C348-'Hybrid Calculator'!$B$8)/1300)^2+((D348-'Hybrid Calculator'!$B$9)/800)^2+((E348-'Hybrid Calculator'!$B$10)/350)^2+((F348-'Hybrid Calculator'!$B$11)/30)^2+(G348-'Hybrid Calculator'!$B$12)^2+((H348-'Hybrid Calculator'!$E$14)/IF(A348="Lightning",100,30000))^2+((I348-'Hybrid Calculator'!$E$17)/IF(A348="Lightning",100,30000))^2</f>
        <v>0.14962549305683631</v>
      </c>
      <c r="K348" s="2">
        <f t="shared" si="20"/>
        <v>326</v>
      </c>
      <c r="L348" s="2">
        <f t="shared" si="21"/>
        <v>0</v>
      </c>
      <c r="M348" s="2">
        <f t="shared" si="22"/>
        <v>0</v>
      </c>
      <c r="N348" s="2">
        <v>-1.2336607345946327E-3</v>
      </c>
      <c r="O348" s="2">
        <f t="shared" si="23"/>
        <v>0</v>
      </c>
      <c r="P348" s="2">
        <v>-9.4458590499151285E-2</v>
      </c>
      <c r="Q348" s="2">
        <v>-0.48403033564864018</v>
      </c>
    </row>
    <row r="349" spans="1:17" ht="15">
      <c r="A349" s="2" t="s">
        <v>13</v>
      </c>
      <c r="B349" s="2">
        <v>1371.0768392658792</v>
      </c>
      <c r="C349" s="2">
        <v>865.58667882345617</v>
      </c>
      <c r="D349" s="2">
        <v>608.46941275522113</v>
      </c>
      <c r="E349" s="2">
        <v>138.55848349165171</v>
      </c>
      <c r="F349" s="2">
        <v>18.450082260649651</v>
      </c>
      <c r="G349" s="2">
        <v>0.84844491947442302</v>
      </c>
      <c r="H349" s="2">
        <v>45</v>
      </c>
      <c r="I349" s="2">
        <v>25</v>
      </c>
      <c r="J349" s="2">
        <f>(IF(A349='Hybrid Calculator'!$B$6,0,1))^2+((B349-'Hybrid Calculator'!$B$7)/1500)^2+((C349-'Hybrid Calculator'!$B$8)/1300)^2+((D349-'Hybrid Calculator'!$B$9)/800)^2+((E349-'Hybrid Calculator'!$B$10)/350)^2+((F349-'Hybrid Calculator'!$B$11)/30)^2+(G349-'Hybrid Calculator'!$B$12)^2+((H349-'Hybrid Calculator'!$E$14)/IF(A349="Lightning",100,30000))^2+((I349-'Hybrid Calculator'!$E$17)/IF(A349="Lightning",100,30000))^2</f>
        <v>2.4200360887000706E-2</v>
      </c>
      <c r="K349" s="2">
        <f t="shared" si="20"/>
        <v>14</v>
      </c>
      <c r="L349" s="2">
        <f t="shared" si="21"/>
        <v>0</v>
      </c>
      <c r="M349" s="2">
        <f t="shared" si="22"/>
        <v>0</v>
      </c>
      <c r="N349" s="2">
        <v>8.2638475371319409E-3</v>
      </c>
      <c r="O349" s="2">
        <f t="shared" si="23"/>
        <v>0</v>
      </c>
      <c r="P349" s="2">
        <v>-0.31936777404661143</v>
      </c>
      <c r="Q349" s="2">
        <v>3.5664802729609164</v>
      </c>
    </row>
    <row r="350" spans="1:17" ht="15">
      <c r="A350" s="2" t="s">
        <v>13</v>
      </c>
      <c r="B350" s="2">
        <v>1411.0946049448103</v>
      </c>
      <c r="C350" s="2">
        <v>1175.0591437215917</v>
      </c>
      <c r="D350" s="2">
        <v>395.93683984130621</v>
      </c>
      <c r="E350" s="2">
        <v>275.47752459766343</v>
      </c>
      <c r="F350" s="2">
        <v>11.137016866356134</v>
      </c>
      <c r="G350" s="2">
        <v>0.83515943996841091</v>
      </c>
      <c r="H350" s="2">
        <v>40</v>
      </c>
      <c r="I350" s="2">
        <v>25</v>
      </c>
      <c r="J350" s="2">
        <f>(IF(A350='Hybrid Calculator'!$B$6,0,1))^2+((B350-'Hybrid Calculator'!$B$7)/1500)^2+((C350-'Hybrid Calculator'!$B$8)/1300)^2+((D350-'Hybrid Calculator'!$B$9)/800)^2+((E350-'Hybrid Calculator'!$B$10)/350)^2+((F350-'Hybrid Calculator'!$B$11)/30)^2+(G350-'Hybrid Calculator'!$B$12)^2+((H350-'Hybrid Calculator'!$E$14)/IF(A350="Lightning",100,30000))^2+((I350-'Hybrid Calculator'!$E$17)/IF(A350="Lightning",100,30000))^2</f>
        <v>0.27852369635388607</v>
      </c>
      <c r="K350" s="2">
        <f t="shared" si="20"/>
        <v>580</v>
      </c>
      <c r="L350" s="2">
        <f t="shared" si="21"/>
        <v>0</v>
      </c>
      <c r="M350" s="2">
        <f t="shared" si="22"/>
        <v>0</v>
      </c>
      <c r="N350" s="2">
        <v>7.6807422833606864E-3</v>
      </c>
      <c r="O350" s="2">
        <f t="shared" si="23"/>
        <v>0</v>
      </c>
      <c r="P350" s="2">
        <v>-0.21187356420651327</v>
      </c>
      <c r="Q350" s="2">
        <v>-4.2524426791262613</v>
      </c>
    </row>
    <row r="351" spans="1:17" ht="15">
      <c r="A351" s="2" t="s">
        <v>13</v>
      </c>
      <c r="B351" s="2">
        <v>1497.0067618531175</v>
      </c>
      <c r="C351" s="2">
        <v>1101.296277414076</v>
      </c>
      <c r="D351" s="2">
        <v>589.75805984809995</v>
      </c>
      <c r="E351" s="2">
        <v>191.87240481376648</v>
      </c>
      <c r="F351" s="2">
        <v>27.680287251714617</v>
      </c>
      <c r="G351" s="2">
        <v>0.80696276805829259</v>
      </c>
      <c r="H351" s="2">
        <v>35</v>
      </c>
      <c r="I351" s="2">
        <v>25</v>
      </c>
      <c r="J351" s="2">
        <f>(IF(A351='Hybrid Calculator'!$B$6,0,1))^2+((B351-'Hybrid Calculator'!$B$7)/1500)^2+((C351-'Hybrid Calculator'!$B$8)/1300)^2+((D351-'Hybrid Calculator'!$B$9)/800)^2+((E351-'Hybrid Calculator'!$B$10)/350)^2+((F351-'Hybrid Calculator'!$B$11)/30)^2+(G351-'Hybrid Calculator'!$B$12)^2+((H351-'Hybrid Calculator'!$E$14)/IF(A351="Lightning",100,30000))^2+((I351-'Hybrid Calculator'!$E$17)/IF(A351="Lightning",100,30000))^2</f>
        <v>0.18288395390555348</v>
      </c>
      <c r="K351" s="2">
        <f t="shared" si="20"/>
        <v>407</v>
      </c>
      <c r="L351" s="2">
        <f t="shared" si="21"/>
        <v>0</v>
      </c>
      <c r="M351" s="2">
        <f t="shared" si="22"/>
        <v>0</v>
      </c>
      <c r="N351" s="2">
        <v>5.5852525521384866E-3</v>
      </c>
      <c r="O351" s="2">
        <f t="shared" si="23"/>
        <v>0</v>
      </c>
      <c r="P351" s="2">
        <v>0.62781269686402652</v>
      </c>
      <c r="Q351" s="2">
        <v>-20.510174451112789</v>
      </c>
    </row>
    <row r="352" spans="1:17" ht="15">
      <c r="A352" s="2" t="s">
        <v>13</v>
      </c>
      <c r="B352" s="2">
        <v>1360.5848309118301</v>
      </c>
      <c r="C352" s="2">
        <v>821.36274276999757</v>
      </c>
      <c r="D352" s="2">
        <v>610.21748464554548</v>
      </c>
      <c r="E352" s="2">
        <v>206.91050983266905</v>
      </c>
      <c r="F352" s="2">
        <v>10.234867066144943</v>
      </c>
      <c r="G352" s="2">
        <v>0.84503517827251928</v>
      </c>
      <c r="H352" s="2">
        <v>45</v>
      </c>
      <c r="I352" s="2">
        <v>25</v>
      </c>
      <c r="J352" s="2">
        <f>(IF(A352='Hybrid Calculator'!$B$6,0,1))^2+((B352-'Hybrid Calculator'!$B$7)/1500)^2+((C352-'Hybrid Calculator'!$B$8)/1300)^2+((D352-'Hybrid Calculator'!$B$9)/800)^2+((E352-'Hybrid Calculator'!$B$10)/350)^2+((F352-'Hybrid Calculator'!$B$11)/30)^2+(G352-'Hybrid Calculator'!$B$12)^2+((H352-'Hybrid Calculator'!$E$14)/IF(A352="Lightning",100,30000))^2+((I352-'Hybrid Calculator'!$E$17)/IF(A352="Lightning",100,30000))^2</f>
        <v>0.12677917107927048</v>
      </c>
      <c r="K352" s="2">
        <f t="shared" si="20"/>
        <v>268</v>
      </c>
      <c r="L352" s="2">
        <f t="shared" si="21"/>
        <v>0</v>
      </c>
      <c r="M352" s="2">
        <f t="shared" si="22"/>
        <v>0</v>
      </c>
      <c r="N352" s="2">
        <v>1.4662312634610819E-2</v>
      </c>
      <c r="O352" s="2">
        <f t="shared" si="23"/>
        <v>0</v>
      </c>
      <c r="P352" s="2">
        <v>0.37081801347638788</v>
      </c>
      <c r="Q352" s="2">
        <v>3.9222598061578537</v>
      </c>
    </row>
    <row r="353" spans="1:17" ht="15">
      <c r="A353" s="2" t="s">
        <v>13</v>
      </c>
      <c r="B353" s="2">
        <v>1386.5964108263142</v>
      </c>
      <c r="C353" s="2">
        <v>929.94375543203205</v>
      </c>
      <c r="D353" s="2">
        <v>647.20288338139653</v>
      </c>
      <c r="E353" s="2">
        <v>157.42975512519479</v>
      </c>
      <c r="F353" s="2">
        <v>14.350674709770828</v>
      </c>
      <c r="G353" s="2">
        <v>0.8409561076527462</v>
      </c>
      <c r="H353" s="2">
        <v>45</v>
      </c>
      <c r="I353" s="2">
        <v>25</v>
      </c>
      <c r="J353" s="2">
        <f>(IF(A353='Hybrid Calculator'!$B$6,0,1))^2+((B353-'Hybrid Calculator'!$B$7)/1500)^2+((C353-'Hybrid Calculator'!$B$8)/1300)^2+((D353-'Hybrid Calculator'!$B$9)/800)^2+((E353-'Hybrid Calculator'!$B$10)/350)^2+((F353-'Hybrid Calculator'!$B$11)/30)^2+(G353-'Hybrid Calculator'!$B$12)^2+((H353-'Hybrid Calculator'!$E$14)/IF(A353="Lightning",100,30000))^2+((I353-'Hybrid Calculator'!$E$17)/IF(A353="Lightning",100,30000))^2</f>
        <v>6.081413835750539E-2</v>
      </c>
      <c r="K353" s="2">
        <f t="shared" si="20"/>
        <v>84</v>
      </c>
      <c r="L353" s="2">
        <f t="shared" si="21"/>
        <v>0</v>
      </c>
      <c r="M353" s="2">
        <f t="shared" si="22"/>
        <v>0</v>
      </c>
      <c r="N353" s="2">
        <v>1.701305221035776E-2</v>
      </c>
      <c r="O353" s="2">
        <f t="shared" si="23"/>
        <v>0</v>
      </c>
      <c r="P353" s="2">
        <v>0.10662997292615017</v>
      </c>
      <c r="Q353" s="2">
        <v>2.845105622498977</v>
      </c>
    </row>
    <row r="354" spans="1:17" ht="15">
      <c r="A354" s="2" t="s">
        <v>13</v>
      </c>
      <c r="B354" s="2">
        <v>1399.8419896932319</v>
      </c>
      <c r="C354" s="2">
        <v>917.65206513227895</v>
      </c>
      <c r="D354" s="2">
        <v>385.17445474863052</v>
      </c>
      <c r="E354" s="2">
        <v>113.57353335013613</v>
      </c>
      <c r="F354" s="2">
        <v>11.926263312809169</v>
      </c>
      <c r="G354" s="2">
        <v>0.80474533799802883</v>
      </c>
      <c r="H354" s="2">
        <v>55</v>
      </c>
      <c r="I354" s="2">
        <v>25</v>
      </c>
      <c r="J354" s="2">
        <f>(IF(A354='Hybrid Calculator'!$B$6,0,1))^2+((B354-'Hybrid Calculator'!$B$7)/1500)^2+((C354-'Hybrid Calculator'!$B$8)/1300)^2+((D354-'Hybrid Calculator'!$B$9)/800)^2+((E354-'Hybrid Calculator'!$B$10)/350)^2+((F354-'Hybrid Calculator'!$B$11)/30)^2+(G354-'Hybrid Calculator'!$B$12)^2+((H354-'Hybrid Calculator'!$E$14)/IF(A354="Lightning",100,30000))^2+((I354-'Hybrid Calculator'!$E$17)/IF(A354="Lightning",100,30000))^2</f>
        <v>8.5170892737822967E-2</v>
      </c>
      <c r="K354" s="2">
        <f t="shared" si="20"/>
        <v>152</v>
      </c>
      <c r="L354" s="2">
        <f t="shared" si="21"/>
        <v>0</v>
      </c>
      <c r="M354" s="2">
        <f t="shared" si="22"/>
        <v>0</v>
      </c>
      <c r="N354" s="2">
        <v>2.747395704581157E-3</v>
      </c>
      <c r="O354" s="2">
        <f t="shared" si="23"/>
        <v>0</v>
      </c>
      <c r="P354" s="2">
        <v>-0.94005821939457235</v>
      </c>
      <c r="Q354" s="2">
        <v>12.382705075019203</v>
      </c>
    </row>
    <row r="355" spans="1:17" ht="15">
      <c r="A355" s="2" t="s">
        <v>13</v>
      </c>
      <c r="B355" s="2">
        <v>1408.7178825284354</v>
      </c>
      <c r="C355" s="2">
        <v>1114.9119730107486</v>
      </c>
      <c r="D355" s="2">
        <v>660.96609150990844</v>
      </c>
      <c r="E355" s="2">
        <v>159.93607467506081</v>
      </c>
      <c r="F355" s="2">
        <v>21.526963894721121</v>
      </c>
      <c r="G355" s="2">
        <v>0.81790567842312156</v>
      </c>
      <c r="H355" s="2">
        <v>35</v>
      </c>
      <c r="I355" s="2">
        <v>25</v>
      </c>
      <c r="J355" s="2">
        <f>(IF(A355='Hybrid Calculator'!$B$6,0,1))^2+((B355-'Hybrid Calculator'!$B$7)/1500)^2+((C355-'Hybrid Calculator'!$B$8)/1300)^2+((D355-'Hybrid Calculator'!$B$9)/800)^2+((E355-'Hybrid Calculator'!$B$10)/350)^2+((F355-'Hybrid Calculator'!$B$11)/30)^2+(G355-'Hybrid Calculator'!$B$12)^2+((H355-'Hybrid Calculator'!$E$14)/IF(A355="Lightning",100,30000))^2+((I355-'Hybrid Calculator'!$E$17)/IF(A355="Lightning",100,30000))^2</f>
        <v>0.1156188589195343</v>
      </c>
      <c r="K355" s="2">
        <f t="shared" si="20"/>
        <v>242</v>
      </c>
      <c r="L355" s="2">
        <f t="shared" si="21"/>
        <v>0</v>
      </c>
      <c r="M355" s="2">
        <f t="shared" si="22"/>
        <v>0</v>
      </c>
      <c r="N355" s="2">
        <v>2.1898410443166316E-3</v>
      </c>
      <c r="O355" s="2">
        <f t="shared" si="23"/>
        <v>0</v>
      </c>
      <c r="P355" s="2">
        <v>-0.19898412738467641</v>
      </c>
      <c r="Q355" s="2">
        <v>-4.7640765408793868</v>
      </c>
    </row>
    <row r="356" spans="1:17" ht="15">
      <c r="A356" s="2" t="s">
        <v>13</v>
      </c>
      <c r="B356" s="2">
        <v>1468.997560814023</v>
      </c>
      <c r="C356" s="2">
        <v>818.07134955888614</v>
      </c>
      <c r="D356" s="2">
        <v>360.19611526280642</v>
      </c>
      <c r="E356" s="2">
        <v>194.49063249165192</v>
      </c>
      <c r="F356" s="2">
        <v>14.957734091207385</v>
      </c>
      <c r="G356" s="2">
        <v>0.85850983483018362</v>
      </c>
      <c r="H356" s="2">
        <v>55</v>
      </c>
      <c r="I356" s="2">
        <v>25</v>
      </c>
      <c r="J356" s="2">
        <f>(IF(A356='Hybrid Calculator'!$B$6,0,1))^2+((B356-'Hybrid Calculator'!$B$7)/1500)^2+((C356-'Hybrid Calculator'!$B$8)/1300)^2+((D356-'Hybrid Calculator'!$B$9)/800)^2+((E356-'Hybrid Calculator'!$B$10)/350)^2+((F356-'Hybrid Calculator'!$B$11)/30)^2+(G356-'Hybrid Calculator'!$B$12)^2+((H356-'Hybrid Calculator'!$E$14)/IF(A356="Lightning",100,30000))^2+((I356-'Hybrid Calculator'!$E$17)/IF(A356="Lightning",100,30000))^2</f>
        <v>6.6086166182717718E-2</v>
      </c>
      <c r="K356" s="2">
        <f t="shared" si="20"/>
        <v>97</v>
      </c>
      <c r="L356" s="2">
        <f t="shared" si="21"/>
        <v>0</v>
      </c>
      <c r="M356" s="2">
        <f t="shared" si="22"/>
        <v>0</v>
      </c>
      <c r="N356" s="2">
        <v>3.1015928417077454E-3</v>
      </c>
      <c r="O356" s="2">
        <f t="shared" si="23"/>
        <v>0</v>
      </c>
      <c r="P356" s="2">
        <v>5.2125598880820689E-2</v>
      </c>
      <c r="Q356" s="2">
        <v>22.123280058477121</v>
      </c>
    </row>
    <row r="357" spans="1:17" ht="15">
      <c r="A357" s="2" t="s">
        <v>13</v>
      </c>
      <c r="B357" s="2">
        <v>1471.4768643141724</v>
      </c>
      <c r="C357" s="2">
        <v>1089.5918896654621</v>
      </c>
      <c r="D357" s="2">
        <v>715.28589883819222</v>
      </c>
      <c r="E357" s="2">
        <v>83.244269406422973</v>
      </c>
      <c r="F357" s="2">
        <v>27.936463308054954</v>
      </c>
      <c r="G357" s="2">
        <v>0.83066788591910157</v>
      </c>
      <c r="H357" s="2">
        <v>35</v>
      </c>
      <c r="I357" s="2">
        <v>25</v>
      </c>
      <c r="J357" s="2">
        <f>(IF(A357='Hybrid Calculator'!$B$6,0,1))^2+((B357-'Hybrid Calculator'!$B$7)/1500)^2+((C357-'Hybrid Calculator'!$B$8)/1300)^2+((D357-'Hybrid Calculator'!$B$9)/800)^2+((E357-'Hybrid Calculator'!$B$10)/350)^2+((F357-'Hybrid Calculator'!$B$11)/30)^2+(G357-'Hybrid Calculator'!$B$12)^2+((H357-'Hybrid Calculator'!$E$14)/IF(A357="Lightning",100,30000))^2+((I357-'Hybrid Calculator'!$E$17)/IF(A357="Lightning",100,30000))^2</f>
        <v>0.26527876933806371</v>
      </c>
      <c r="K357" s="2">
        <f t="shared" si="20"/>
        <v>564</v>
      </c>
      <c r="L357" s="2">
        <f t="shared" si="21"/>
        <v>0</v>
      </c>
      <c r="M357" s="2">
        <f t="shared" si="22"/>
        <v>0</v>
      </c>
      <c r="N357" s="2">
        <v>1.3288734553012382E-2</v>
      </c>
      <c r="O357" s="2">
        <f t="shared" si="23"/>
        <v>0</v>
      </c>
      <c r="P357" s="2">
        <v>0.34895479004686081</v>
      </c>
      <c r="Q357" s="2">
        <v>-23.083290537290168</v>
      </c>
    </row>
    <row r="358" spans="1:17" ht="15">
      <c r="A358" s="2" t="s">
        <v>13</v>
      </c>
      <c r="B358" s="2">
        <v>1383.8826020015404</v>
      </c>
      <c r="C358" s="2">
        <v>1135.1961762295105</v>
      </c>
      <c r="D358" s="2">
        <v>638.42006660997868</v>
      </c>
      <c r="E358" s="2">
        <v>146.12572743324563</v>
      </c>
      <c r="F358" s="2">
        <v>28.721607842482626</v>
      </c>
      <c r="G358" s="2">
        <v>0.84564205753384158</v>
      </c>
      <c r="H358" s="2">
        <v>35</v>
      </c>
      <c r="I358" s="2">
        <v>25</v>
      </c>
      <c r="J358" s="2">
        <f>(IF(A358='Hybrid Calculator'!$B$6,0,1))^2+((B358-'Hybrid Calculator'!$B$7)/1500)^2+((C358-'Hybrid Calculator'!$B$8)/1300)^2+((D358-'Hybrid Calculator'!$B$9)/800)^2+((E358-'Hybrid Calculator'!$B$10)/350)^2+((F358-'Hybrid Calculator'!$B$11)/30)^2+(G358-'Hybrid Calculator'!$B$12)^2+((H358-'Hybrid Calculator'!$E$14)/IF(A358="Lightning",100,30000))^2+((I358-'Hybrid Calculator'!$E$17)/IF(A358="Lightning",100,30000))^2</f>
        <v>0.2181877362440551</v>
      </c>
      <c r="K358" s="2">
        <f t="shared" si="20"/>
        <v>486</v>
      </c>
      <c r="L358" s="2">
        <f t="shared" si="21"/>
        <v>0</v>
      </c>
      <c r="M358" s="2">
        <f t="shared" si="22"/>
        <v>0</v>
      </c>
      <c r="N358" s="2">
        <v>7.9041029893780479E-3</v>
      </c>
      <c r="O358" s="2">
        <f t="shared" si="23"/>
        <v>0</v>
      </c>
      <c r="P358" s="2">
        <v>1.0398231560372722</v>
      </c>
      <c r="Q358" s="2">
        <v>-13.993141307258384</v>
      </c>
    </row>
    <row r="359" spans="1:17" ht="15">
      <c r="A359" s="2" t="s">
        <v>13</v>
      </c>
      <c r="B359" s="2">
        <v>1368.6805989942513</v>
      </c>
      <c r="C359" s="2">
        <v>1074.2881092708558</v>
      </c>
      <c r="D359" s="2">
        <v>699.86354066058993</v>
      </c>
      <c r="E359" s="2">
        <v>270.27828599791974</v>
      </c>
      <c r="F359" s="2">
        <v>10.025555889587849</v>
      </c>
      <c r="G359" s="2">
        <v>0.80785194605588917</v>
      </c>
      <c r="H359" s="2">
        <v>35</v>
      </c>
      <c r="I359" s="2">
        <v>25</v>
      </c>
      <c r="J359" s="2">
        <f>(IF(A359='Hybrid Calculator'!$B$6,0,1))^2+((B359-'Hybrid Calculator'!$B$7)/1500)^2+((C359-'Hybrid Calculator'!$B$8)/1300)^2+((D359-'Hybrid Calculator'!$B$9)/800)^2+((E359-'Hybrid Calculator'!$B$10)/350)^2+((F359-'Hybrid Calculator'!$B$11)/30)^2+(G359-'Hybrid Calculator'!$B$12)^2+((H359-'Hybrid Calculator'!$E$14)/IF(A359="Lightning",100,30000))^2+((I359-'Hybrid Calculator'!$E$17)/IF(A359="Lightning",100,30000))^2</f>
        <v>0.31413105095737842</v>
      </c>
      <c r="K359" s="2">
        <f t="shared" si="20"/>
        <v>615</v>
      </c>
      <c r="L359" s="2">
        <f t="shared" si="21"/>
        <v>0</v>
      </c>
      <c r="M359" s="2">
        <f t="shared" si="22"/>
        <v>0</v>
      </c>
      <c r="N359" s="2">
        <v>1.3230251395966119E-2</v>
      </c>
      <c r="O359" s="2">
        <f t="shared" si="23"/>
        <v>0</v>
      </c>
      <c r="P359" s="2">
        <v>0.25444738557038704</v>
      </c>
      <c r="Q359" s="2">
        <v>1.722849682606693</v>
      </c>
    </row>
    <row r="360" spans="1:17" ht="15">
      <c r="A360" s="2" t="s">
        <v>13</v>
      </c>
      <c r="B360" s="2">
        <v>1381.0881230514497</v>
      </c>
      <c r="C360" s="2">
        <v>1221.5404440532438</v>
      </c>
      <c r="D360" s="2">
        <v>664.5119434222579</v>
      </c>
      <c r="E360" s="2">
        <v>259.40757685573772</v>
      </c>
      <c r="F360" s="2">
        <v>26.11768552288413</v>
      </c>
      <c r="G360" s="2">
        <v>0.82082696307683367</v>
      </c>
      <c r="H360" s="2">
        <v>30</v>
      </c>
      <c r="I360" s="2">
        <v>25</v>
      </c>
      <c r="J360" s="2">
        <f>(IF(A360='Hybrid Calculator'!$B$6,0,1))^2+((B360-'Hybrid Calculator'!$B$7)/1500)^2+((C360-'Hybrid Calculator'!$B$8)/1300)^2+((D360-'Hybrid Calculator'!$B$9)/800)^2+((E360-'Hybrid Calculator'!$B$10)/350)^2+((F360-'Hybrid Calculator'!$B$11)/30)^2+(G360-'Hybrid Calculator'!$B$12)^2+((H360-'Hybrid Calculator'!$E$14)/IF(A360="Lightning",100,30000))^2+((I360-'Hybrid Calculator'!$E$17)/IF(A360="Lightning",100,30000))^2</f>
        <v>0.32701854669308972</v>
      </c>
      <c r="K360" s="2">
        <f t="shared" si="20"/>
        <v>634</v>
      </c>
      <c r="L360" s="2">
        <f t="shared" si="21"/>
        <v>0</v>
      </c>
      <c r="M360" s="2">
        <f t="shared" si="22"/>
        <v>0</v>
      </c>
      <c r="N360" s="2">
        <v>3.3528370111157724E-3</v>
      </c>
      <c r="O360" s="2">
        <f t="shared" si="23"/>
        <v>0</v>
      </c>
      <c r="P360" s="2">
        <v>0.99454598229101521</v>
      </c>
      <c r="Q360" s="2">
        <v>-25.459739960428578</v>
      </c>
    </row>
    <row r="361" spans="1:17" ht="15">
      <c r="A361" s="2" t="s">
        <v>13</v>
      </c>
      <c r="B361" s="2">
        <v>1481.8757373956032</v>
      </c>
      <c r="C361" s="2">
        <v>804.52732022386044</v>
      </c>
      <c r="D361" s="2">
        <v>498.39372532442212</v>
      </c>
      <c r="E361" s="2">
        <v>305.045514293015</v>
      </c>
      <c r="F361" s="2">
        <v>25.045210512820631</v>
      </c>
      <c r="G361" s="2">
        <v>0.84161656233947724</v>
      </c>
      <c r="H361" s="2">
        <v>45</v>
      </c>
      <c r="I361" s="2">
        <v>25</v>
      </c>
      <c r="J361" s="2">
        <f>(IF(A361='Hybrid Calculator'!$B$6,0,1))^2+((B361-'Hybrid Calculator'!$B$7)/1500)^2+((C361-'Hybrid Calculator'!$B$8)/1300)^2+((D361-'Hybrid Calculator'!$B$9)/800)^2+((E361-'Hybrid Calculator'!$B$10)/350)^2+((F361-'Hybrid Calculator'!$B$11)/30)^2+(G361-'Hybrid Calculator'!$B$12)^2+((H361-'Hybrid Calculator'!$E$14)/IF(A361="Lightning",100,30000))^2+((I361-'Hybrid Calculator'!$E$17)/IF(A361="Lightning",100,30000))^2</f>
        <v>0.24946994864888755</v>
      </c>
      <c r="K361" s="2">
        <f t="shared" si="20"/>
        <v>538</v>
      </c>
      <c r="L361" s="2">
        <f t="shared" si="21"/>
        <v>0</v>
      </c>
      <c r="M361" s="2">
        <f t="shared" si="22"/>
        <v>0</v>
      </c>
      <c r="N361" s="2">
        <v>2.1790371601835279E-3</v>
      </c>
      <c r="O361" s="2">
        <f t="shared" si="23"/>
        <v>0</v>
      </c>
      <c r="P361" s="2">
        <v>0.3080025861922806</v>
      </c>
      <c r="Q361" s="2">
        <v>-8.0245987591069934E-2</v>
      </c>
    </row>
    <row r="362" spans="1:17" ht="15">
      <c r="A362" s="2" t="s">
        <v>13</v>
      </c>
      <c r="B362" s="2">
        <v>1467.1536043519154</v>
      </c>
      <c r="C362" s="2">
        <v>767.67429440515116</v>
      </c>
      <c r="D362" s="2">
        <v>693.59317943453789</v>
      </c>
      <c r="E362" s="2">
        <v>287.14091457193717</v>
      </c>
      <c r="F362" s="2">
        <v>11.506346530281007</v>
      </c>
      <c r="G362" s="2">
        <v>0.80480121807893745</v>
      </c>
      <c r="H362" s="2">
        <v>40</v>
      </c>
      <c r="I362" s="2">
        <v>25</v>
      </c>
      <c r="J362" s="2">
        <f>(IF(A362='Hybrid Calculator'!$B$6,0,1))^2+((B362-'Hybrid Calculator'!$B$7)/1500)^2+((C362-'Hybrid Calculator'!$B$8)/1300)^2+((D362-'Hybrid Calculator'!$B$9)/800)^2+((E362-'Hybrid Calculator'!$B$10)/350)^2+((F362-'Hybrid Calculator'!$B$11)/30)^2+(G362-'Hybrid Calculator'!$B$12)^2+((H362-'Hybrid Calculator'!$E$14)/IF(A362="Lightning",100,30000))^2+((I362-'Hybrid Calculator'!$E$17)/IF(A362="Lightning",100,30000))^2</f>
        <v>0.28146843211500477</v>
      </c>
      <c r="K362" s="2">
        <f t="shared" si="20"/>
        <v>583</v>
      </c>
      <c r="L362" s="2">
        <f t="shared" si="21"/>
        <v>0</v>
      </c>
      <c r="M362" s="2">
        <f t="shared" si="22"/>
        <v>0</v>
      </c>
      <c r="N362" s="2">
        <v>5.4910057395909373E-3</v>
      </c>
      <c r="O362" s="2">
        <f t="shared" si="23"/>
        <v>0</v>
      </c>
      <c r="P362" s="2">
        <v>-0.51446353018744873</v>
      </c>
      <c r="Q362" s="2">
        <v>-2.2605674376004572</v>
      </c>
    </row>
    <row r="363" spans="1:17" ht="15">
      <c r="A363" s="2" t="s">
        <v>13</v>
      </c>
      <c r="B363" s="2">
        <v>1394.3809883552603</v>
      </c>
      <c r="C363" s="2">
        <v>1033.559687808156</v>
      </c>
      <c r="D363" s="2">
        <v>437.87264814600348</v>
      </c>
      <c r="E363" s="2">
        <v>276.30150974262506</v>
      </c>
      <c r="F363" s="2">
        <v>14.997877584304661</v>
      </c>
      <c r="G363" s="2">
        <v>0.80711662310175603</v>
      </c>
      <c r="H363" s="2">
        <v>45</v>
      </c>
      <c r="I363" s="2">
        <v>25</v>
      </c>
      <c r="J363" s="2">
        <f>(IF(A363='Hybrid Calculator'!$B$6,0,1))^2+((B363-'Hybrid Calculator'!$B$7)/1500)^2+((C363-'Hybrid Calculator'!$B$8)/1300)^2+((D363-'Hybrid Calculator'!$B$9)/800)^2+((E363-'Hybrid Calculator'!$B$10)/350)^2+((F363-'Hybrid Calculator'!$B$11)/30)^2+(G363-'Hybrid Calculator'!$B$12)^2+((H363-'Hybrid Calculator'!$E$14)/IF(A363="Lightning",100,30000))^2+((I363-'Hybrid Calculator'!$E$17)/IF(A363="Lightning",100,30000))^2</f>
        <v>0.1728995951376219</v>
      </c>
      <c r="K363" s="2">
        <f t="shared" si="20"/>
        <v>391</v>
      </c>
      <c r="L363" s="2">
        <f t="shared" si="21"/>
        <v>0</v>
      </c>
      <c r="M363" s="2">
        <f t="shared" si="22"/>
        <v>0</v>
      </c>
      <c r="N363" s="2">
        <v>-3.0929461518569568E-4</v>
      </c>
      <c r="O363" s="2">
        <f t="shared" si="23"/>
        <v>0</v>
      </c>
      <c r="P363" s="2">
        <v>-0.36234813032269386</v>
      </c>
      <c r="Q363" s="2">
        <v>8.2246401452682676</v>
      </c>
    </row>
    <row r="364" spans="1:17" ht="15">
      <c r="A364" s="2" t="s">
        <v>13</v>
      </c>
      <c r="B364" s="2">
        <v>1479.4429848901927</v>
      </c>
      <c r="C364" s="2">
        <v>902.61635737260804</v>
      </c>
      <c r="D364" s="2">
        <v>562.73835245519876</v>
      </c>
      <c r="E364" s="2">
        <v>80.342299288604409</v>
      </c>
      <c r="F364" s="2">
        <v>14.577151456847787</v>
      </c>
      <c r="G364" s="2">
        <v>0.79070701579796154</v>
      </c>
      <c r="H364" s="2">
        <v>45</v>
      </c>
      <c r="I364" s="2">
        <v>25</v>
      </c>
      <c r="J364" s="2">
        <f>(IF(A364='Hybrid Calculator'!$B$6,0,1))^2+((B364-'Hybrid Calculator'!$B$7)/1500)^2+((C364-'Hybrid Calculator'!$B$8)/1300)^2+((D364-'Hybrid Calculator'!$B$9)/800)^2+((E364-'Hybrid Calculator'!$B$10)/350)^2+((F364-'Hybrid Calculator'!$B$11)/30)^2+(G364-'Hybrid Calculator'!$B$12)^2+((H364-'Hybrid Calculator'!$E$14)/IF(A364="Lightning",100,30000))^2+((I364-'Hybrid Calculator'!$E$17)/IF(A364="Lightning",100,30000))^2</f>
        <v>6.9172099559255559E-2</v>
      </c>
      <c r="K364" s="2">
        <f t="shared" si="20"/>
        <v>109</v>
      </c>
      <c r="L364" s="2">
        <f t="shared" si="21"/>
        <v>0</v>
      </c>
      <c r="M364" s="2">
        <f t="shared" si="22"/>
        <v>0</v>
      </c>
      <c r="N364" s="2">
        <v>-2.1175026411426323E-3</v>
      </c>
      <c r="O364" s="2">
        <f t="shared" si="23"/>
        <v>0</v>
      </c>
      <c r="P364" s="2">
        <v>-0.61050070533357825</v>
      </c>
      <c r="Q364" s="2">
        <v>14.979979781050133</v>
      </c>
    </row>
    <row r="365" spans="1:17" ht="15">
      <c r="A365" s="2" t="s">
        <v>13</v>
      </c>
      <c r="B365" s="2">
        <v>1464.9473016732372</v>
      </c>
      <c r="C365" s="2">
        <v>785.1539782481268</v>
      </c>
      <c r="D365" s="2">
        <v>737.13085884228349</v>
      </c>
      <c r="E365" s="2">
        <v>259.52602566219866</v>
      </c>
      <c r="F365" s="2">
        <v>18.285648070741445</v>
      </c>
      <c r="G365" s="2">
        <v>0.83947232915554204</v>
      </c>
      <c r="H365" s="2">
        <v>40</v>
      </c>
      <c r="I365" s="2">
        <v>25</v>
      </c>
      <c r="J365" s="2">
        <f>(IF(A365='Hybrid Calculator'!$B$6,0,1))^2+((B365-'Hybrid Calculator'!$B$7)/1500)^2+((C365-'Hybrid Calculator'!$B$8)/1300)^2+((D365-'Hybrid Calculator'!$B$9)/800)^2+((E365-'Hybrid Calculator'!$B$10)/350)^2+((F365-'Hybrid Calculator'!$B$11)/30)^2+(G365-'Hybrid Calculator'!$B$12)^2+((H365-'Hybrid Calculator'!$E$14)/IF(A365="Lightning",100,30000))^2+((I365-'Hybrid Calculator'!$E$17)/IF(A365="Lightning",100,30000))^2</f>
        <v>0.19941476318511581</v>
      </c>
      <c r="K365" s="2">
        <f t="shared" si="20"/>
        <v>445</v>
      </c>
      <c r="L365" s="2">
        <f t="shared" si="21"/>
        <v>0</v>
      </c>
      <c r="M365" s="2">
        <f t="shared" si="22"/>
        <v>0</v>
      </c>
      <c r="N365" s="2">
        <v>-1.9311565029080935E-3</v>
      </c>
      <c r="O365" s="2">
        <f t="shared" si="23"/>
        <v>0</v>
      </c>
      <c r="P365" s="2">
        <v>-0.33843715354846182</v>
      </c>
      <c r="Q365" s="2">
        <v>3.1555669114372904</v>
      </c>
    </row>
    <row r="366" spans="1:17" ht="15">
      <c r="A366" s="2" t="s">
        <v>13</v>
      </c>
      <c r="B366" s="2">
        <v>1453.4802200272679</v>
      </c>
      <c r="C366" s="2">
        <v>1244.1546976915561</v>
      </c>
      <c r="D366" s="2">
        <v>566.3810582831502</v>
      </c>
      <c r="E366" s="2">
        <v>189.66621857369319</v>
      </c>
      <c r="F366" s="2">
        <v>27.490976547822356</v>
      </c>
      <c r="G366" s="2">
        <v>0.85660105266841136</v>
      </c>
      <c r="H366" s="2">
        <v>35</v>
      </c>
      <c r="I366" s="2">
        <v>25</v>
      </c>
      <c r="J366" s="2">
        <f>(IF(A366='Hybrid Calculator'!$B$6,0,1))^2+((B366-'Hybrid Calculator'!$B$7)/1500)^2+((C366-'Hybrid Calculator'!$B$8)/1300)^2+((D366-'Hybrid Calculator'!$B$9)/800)^2+((E366-'Hybrid Calculator'!$B$10)/350)^2+((F366-'Hybrid Calculator'!$B$11)/30)^2+(G366-'Hybrid Calculator'!$B$12)^2+((H366-'Hybrid Calculator'!$E$14)/IF(A366="Lightning",100,30000))^2+((I366-'Hybrid Calculator'!$E$17)/IF(A366="Lightning",100,30000))^2</f>
        <v>0.2256767486643641</v>
      </c>
      <c r="K366" s="2">
        <f t="shared" si="20"/>
        <v>498</v>
      </c>
      <c r="L366" s="2">
        <f t="shared" si="21"/>
        <v>0</v>
      </c>
      <c r="M366" s="2">
        <f t="shared" si="22"/>
        <v>0</v>
      </c>
      <c r="N366" s="2">
        <v>1.3606512555993433E-2</v>
      </c>
      <c r="O366" s="2">
        <f t="shared" si="23"/>
        <v>0</v>
      </c>
      <c r="P366" s="2">
        <v>0.99977686412150035</v>
      </c>
      <c r="Q366" s="2">
        <v>-24.371152871976392</v>
      </c>
    </row>
    <row r="367" spans="1:17" ht="15">
      <c r="A367" s="2" t="s">
        <v>13</v>
      </c>
      <c r="B367" s="2">
        <v>1433.2942471490242</v>
      </c>
      <c r="C367" s="2">
        <v>999.29900991264731</v>
      </c>
      <c r="D367" s="2">
        <v>434.87325021997094</v>
      </c>
      <c r="E367" s="2">
        <v>168.28099141828716</v>
      </c>
      <c r="F367" s="2">
        <v>27.910661552567035</v>
      </c>
      <c r="G367" s="2">
        <v>0.81899998832959686</v>
      </c>
      <c r="H367" s="2">
        <v>45</v>
      </c>
      <c r="I367" s="2">
        <v>25</v>
      </c>
      <c r="J367" s="2">
        <f>(IF(A367='Hybrid Calculator'!$B$6,0,1))^2+((B367-'Hybrid Calculator'!$B$7)/1500)^2+((C367-'Hybrid Calculator'!$B$8)/1300)^2+((D367-'Hybrid Calculator'!$B$9)/800)^2+((E367-'Hybrid Calculator'!$B$10)/350)^2+((F367-'Hybrid Calculator'!$B$11)/30)^2+(G367-'Hybrid Calculator'!$B$12)^2+((H367-'Hybrid Calculator'!$E$14)/IF(A367="Lightning",100,30000))^2+((I367-'Hybrid Calculator'!$E$17)/IF(A367="Lightning",100,30000))^2</f>
        <v>0.12347710477543011</v>
      </c>
      <c r="K367" s="2">
        <f t="shared" si="20"/>
        <v>263</v>
      </c>
      <c r="L367" s="2">
        <f t="shared" si="21"/>
        <v>0</v>
      </c>
      <c r="M367" s="2">
        <f t="shared" si="22"/>
        <v>0</v>
      </c>
      <c r="N367" s="2">
        <v>3.7523443863081152E-3</v>
      </c>
      <c r="O367" s="2">
        <f t="shared" si="23"/>
        <v>0</v>
      </c>
      <c r="P367" s="2">
        <v>0.99931217364841984</v>
      </c>
      <c r="Q367" s="2">
        <v>-8.1696085841736021</v>
      </c>
    </row>
    <row r="368" spans="1:17" ht="15">
      <c r="A368" s="2" t="s">
        <v>13</v>
      </c>
      <c r="B368" s="2">
        <v>1457.8764813719317</v>
      </c>
      <c r="C368" s="2">
        <v>970.78517923364416</v>
      </c>
      <c r="D368" s="2">
        <v>660.09727008640766</v>
      </c>
      <c r="E368" s="2">
        <v>300.57360428152606</v>
      </c>
      <c r="F368" s="2">
        <v>15.716165632940829</v>
      </c>
      <c r="G368" s="2">
        <v>0.795707119840663</v>
      </c>
      <c r="H368" s="2">
        <v>35</v>
      </c>
      <c r="I368" s="2">
        <v>25</v>
      </c>
      <c r="J368" s="2">
        <f>(IF(A368='Hybrid Calculator'!$B$6,0,1))^2+((B368-'Hybrid Calculator'!$B$7)/1500)^2+((C368-'Hybrid Calculator'!$B$8)/1300)^2+((D368-'Hybrid Calculator'!$B$9)/800)^2+((E368-'Hybrid Calculator'!$B$10)/350)^2+((F368-'Hybrid Calculator'!$B$11)/30)^2+(G368-'Hybrid Calculator'!$B$12)^2+((H368-'Hybrid Calculator'!$E$14)/IF(A368="Lightning",100,30000))^2+((I368-'Hybrid Calculator'!$E$17)/IF(A368="Lightning",100,30000))^2</f>
        <v>0.26594347279455566</v>
      </c>
      <c r="K368" s="2">
        <f t="shared" si="20"/>
        <v>567</v>
      </c>
      <c r="L368" s="2">
        <f t="shared" si="21"/>
        <v>0</v>
      </c>
      <c r="M368" s="2">
        <f t="shared" si="22"/>
        <v>0</v>
      </c>
      <c r="N368" s="2">
        <v>9.2091234492379659E-3</v>
      </c>
      <c r="O368" s="2">
        <f t="shared" si="23"/>
        <v>0</v>
      </c>
      <c r="P368" s="2">
        <v>0.7382856522475052</v>
      </c>
      <c r="Q368" s="2">
        <v>0.71129428682183971</v>
      </c>
    </row>
    <row r="369" spans="1:17" ht="15">
      <c r="A369" s="2" t="s">
        <v>13</v>
      </c>
      <c r="B369" s="2">
        <v>1478.0900242156349</v>
      </c>
      <c r="C369" s="2">
        <v>1176.1934777256101</v>
      </c>
      <c r="D369" s="2">
        <v>720.43409449979663</v>
      </c>
      <c r="E369" s="2">
        <v>145.98403945099562</v>
      </c>
      <c r="F369" s="2">
        <v>20.521006229799241</v>
      </c>
      <c r="G369" s="2">
        <v>0.81891684722155333</v>
      </c>
      <c r="H369" s="2">
        <v>30</v>
      </c>
      <c r="I369" s="2">
        <v>25</v>
      </c>
      <c r="J369" s="2">
        <f>(IF(A369='Hybrid Calculator'!$B$6,0,1))^2+((B369-'Hybrid Calculator'!$B$7)/1500)^2+((C369-'Hybrid Calculator'!$B$8)/1300)^2+((D369-'Hybrid Calculator'!$B$9)/800)^2+((E369-'Hybrid Calculator'!$B$10)/350)^2+((F369-'Hybrid Calculator'!$B$11)/30)^2+(G369-'Hybrid Calculator'!$B$12)^2+((H369-'Hybrid Calculator'!$E$14)/IF(A369="Lightning",100,30000))^2+((I369-'Hybrid Calculator'!$E$17)/IF(A369="Lightning",100,30000))^2</f>
        <v>0.18480742194093999</v>
      </c>
      <c r="K369" s="2">
        <f t="shared" si="20"/>
        <v>413</v>
      </c>
      <c r="L369" s="2">
        <f t="shared" si="21"/>
        <v>0</v>
      </c>
      <c r="M369" s="2">
        <f t="shared" si="22"/>
        <v>0</v>
      </c>
      <c r="N369" s="2">
        <v>1.7940028438694577E-2</v>
      </c>
      <c r="O369" s="2">
        <f t="shared" si="23"/>
        <v>0</v>
      </c>
      <c r="P369" s="2">
        <v>-4.6961261078870109E-2</v>
      </c>
      <c r="Q369" s="2">
        <v>-14.586480800384152</v>
      </c>
    </row>
    <row r="370" spans="1:17" ht="15">
      <c r="A370" s="2" t="s">
        <v>13</v>
      </c>
      <c r="B370" s="2">
        <v>1430.7573036756366</v>
      </c>
      <c r="C370" s="2">
        <v>974.01383508695289</v>
      </c>
      <c r="D370" s="2">
        <v>646.79525699466467</v>
      </c>
      <c r="E370" s="2">
        <v>92.235145841259509</v>
      </c>
      <c r="F370" s="2">
        <v>9.3330605812370777</v>
      </c>
      <c r="G370" s="2">
        <v>0.85318288788432262</v>
      </c>
      <c r="H370" s="2">
        <v>45</v>
      </c>
      <c r="I370" s="2">
        <v>25</v>
      </c>
      <c r="J370" s="2">
        <f>(IF(A370='Hybrid Calculator'!$B$6,0,1))^2+((B370-'Hybrid Calculator'!$B$7)/1500)^2+((C370-'Hybrid Calculator'!$B$8)/1300)^2+((D370-'Hybrid Calculator'!$B$9)/800)^2+((E370-'Hybrid Calculator'!$B$10)/350)^2+((F370-'Hybrid Calculator'!$B$11)/30)^2+(G370-'Hybrid Calculator'!$B$12)^2+((H370-'Hybrid Calculator'!$E$14)/IF(A370="Lightning",100,30000))^2+((I370-'Hybrid Calculator'!$E$17)/IF(A370="Lightning",100,30000))^2</f>
        <v>0.16699492605639532</v>
      </c>
      <c r="K370" s="2">
        <f t="shared" si="20"/>
        <v>375</v>
      </c>
      <c r="L370" s="2">
        <f t="shared" si="21"/>
        <v>0</v>
      </c>
      <c r="M370" s="2">
        <f t="shared" si="22"/>
        <v>0</v>
      </c>
      <c r="N370" s="2">
        <v>1.1731288324398514E-2</v>
      </c>
      <c r="O370" s="2">
        <f t="shared" si="23"/>
        <v>0</v>
      </c>
      <c r="P370" s="2">
        <v>-0.15118680922654448</v>
      </c>
      <c r="Q370" s="2">
        <v>3.7360491271535921</v>
      </c>
    </row>
    <row r="371" spans="1:17" ht="15">
      <c r="A371" s="2" t="s">
        <v>13</v>
      </c>
      <c r="B371" s="2">
        <v>1461.3551536691375</v>
      </c>
      <c r="C371" s="2">
        <v>1131.1423738254234</v>
      </c>
      <c r="D371" s="2">
        <v>635.06827400997281</v>
      </c>
      <c r="E371" s="2">
        <v>182.01477445662022</v>
      </c>
      <c r="F371" s="2">
        <v>25.729307109955698</v>
      </c>
      <c r="G371" s="2">
        <v>0.83489766403567045</v>
      </c>
      <c r="H371" s="2">
        <v>35</v>
      </c>
      <c r="I371" s="2">
        <v>25</v>
      </c>
      <c r="J371" s="2">
        <f>(IF(A371='Hybrid Calculator'!$B$6,0,1))^2+((B371-'Hybrid Calculator'!$B$7)/1500)^2+((C371-'Hybrid Calculator'!$B$8)/1300)^2+((D371-'Hybrid Calculator'!$B$9)/800)^2+((E371-'Hybrid Calculator'!$B$10)/350)^2+((F371-'Hybrid Calculator'!$B$11)/30)^2+(G371-'Hybrid Calculator'!$B$12)^2+((H371-'Hybrid Calculator'!$E$14)/IF(A371="Lightning",100,30000))^2+((I371-'Hybrid Calculator'!$E$17)/IF(A371="Lightning",100,30000))^2</f>
        <v>0.16502134952396119</v>
      </c>
      <c r="K371" s="2">
        <f t="shared" si="20"/>
        <v>366</v>
      </c>
      <c r="L371" s="2">
        <f t="shared" si="21"/>
        <v>0</v>
      </c>
      <c r="M371" s="2">
        <f t="shared" si="22"/>
        <v>0</v>
      </c>
      <c r="N371" s="2">
        <v>4.8688030032144614E-3</v>
      </c>
      <c r="O371" s="2">
        <f t="shared" si="23"/>
        <v>0</v>
      </c>
      <c r="P371" s="2">
        <v>0.22962023988718983</v>
      </c>
      <c r="Q371" s="2">
        <v>-16.658924760564787</v>
      </c>
    </row>
    <row r="372" spans="1:17" ht="15">
      <c r="A372" s="2" t="s">
        <v>13</v>
      </c>
      <c r="B372" s="2">
        <v>1376.8039329210296</v>
      </c>
      <c r="C372" s="2">
        <v>608.04081532405689</v>
      </c>
      <c r="D372" s="2">
        <v>437.12089732289314</v>
      </c>
      <c r="E372" s="2">
        <v>208.77723615383729</v>
      </c>
      <c r="F372" s="2">
        <v>28.946284412406385</v>
      </c>
      <c r="G372" s="2">
        <v>0.85126608771970502</v>
      </c>
      <c r="H372" s="2">
        <v>60</v>
      </c>
      <c r="I372" s="2">
        <v>25</v>
      </c>
      <c r="J372" s="2">
        <f>(IF(A372='Hybrid Calculator'!$B$6,0,1))^2+((B372-'Hybrid Calculator'!$B$7)/1500)^2+((C372-'Hybrid Calculator'!$B$8)/1300)^2+((D372-'Hybrid Calculator'!$B$9)/800)^2+((E372-'Hybrid Calculator'!$B$10)/350)^2+((F372-'Hybrid Calculator'!$B$11)/30)^2+(G372-'Hybrid Calculator'!$B$12)^2+((H372-'Hybrid Calculator'!$E$14)/IF(A372="Lightning",100,30000))^2+((I372-'Hybrid Calculator'!$E$17)/IF(A372="Lightning",100,30000))^2</f>
        <v>0.20228129402168643</v>
      </c>
      <c r="K372" s="2">
        <f t="shared" si="20"/>
        <v>451</v>
      </c>
      <c r="L372" s="2">
        <f t="shared" si="21"/>
        <v>0</v>
      </c>
      <c r="M372" s="2">
        <f t="shared" si="22"/>
        <v>0</v>
      </c>
      <c r="N372" s="2">
        <v>-2.2705514862712439E-2</v>
      </c>
      <c r="O372" s="2">
        <f t="shared" si="23"/>
        <v>0</v>
      </c>
      <c r="P372" s="2">
        <v>1.7609220317936547E-2</v>
      </c>
      <c r="Q372" s="2">
        <v>-6.8225371675805491</v>
      </c>
    </row>
    <row r="373" spans="1:17" ht="15">
      <c r="A373" s="2" t="s">
        <v>13</v>
      </c>
      <c r="B373" s="2">
        <v>1498.5714875045232</v>
      </c>
      <c r="C373" s="2">
        <v>776.14420410245657</v>
      </c>
      <c r="D373" s="2">
        <v>617.55558392032981</v>
      </c>
      <c r="E373" s="2">
        <v>237.97011007089168</v>
      </c>
      <c r="F373" s="2">
        <v>8.5704814880155027</v>
      </c>
      <c r="G373" s="2">
        <v>0.85965742765925834</v>
      </c>
      <c r="H373" s="2">
        <v>45</v>
      </c>
      <c r="I373" s="2">
        <v>25</v>
      </c>
      <c r="J373" s="2">
        <f>(IF(A373='Hybrid Calculator'!$B$6,0,1))^2+((B373-'Hybrid Calculator'!$B$7)/1500)^2+((C373-'Hybrid Calculator'!$B$8)/1300)^2+((D373-'Hybrid Calculator'!$B$9)/800)^2+((E373-'Hybrid Calculator'!$B$10)/350)^2+((F373-'Hybrid Calculator'!$B$11)/30)^2+(G373-'Hybrid Calculator'!$B$12)^2+((H373-'Hybrid Calculator'!$E$14)/IF(A373="Lightning",100,30000))^2+((I373-'Hybrid Calculator'!$E$17)/IF(A373="Lightning",100,30000))^2</f>
        <v>0.20402245034373973</v>
      </c>
      <c r="K373" s="2">
        <f t="shared" si="20"/>
        <v>455</v>
      </c>
      <c r="L373" s="2">
        <f t="shared" si="21"/>
        <v>0</v>
      </c>
      <c r="M373" s="2">
        <f t="shared" si="22"/>
        <v>0</v>
      </c>
      <c r="N373" s="2">
        <v>7.4270947007404331E-5</v>
      </c>
      <c r="O373" s="2">
        <f t="shared" si="23"/>
        <v>0</v>
      </c>
      <c r="P373" s="2">
        <v>0.25022243740696837</v>
      </c>
      <c r="Q373" s="2">
        <v>0.98508251297198512</v>
      </c>
    </row>
    <row r="374" spans="1:17" ht="15">
      <c r="A374" s="2" t="s">
        <v>13</v>
      </c>
      <c r="B374" s="2">
        <v>1495.6753634847701</v>
      </c>
      <c r="C374" s="2">
        <v>902.53029217710719</v>
      </c>
      <c r="D374" s="2">
        <v>404.17248103767633</v>
      </c>
      <c r="E374" s="2">
        <v>294.64151708642021</v>
      </c>
      <c r="F374" s="2">
        <v>28.261583479121327</v>
      </c>
      <c r="G374" s="2">
        <v>0.80729025400476528</v>
      </c>
      <c r="H374" s="2">
        <v>40</v>
      </c>
      <c r="I374" s="2">
        <v>25</v>
      </c>
      <c r="J374" s="2">
        <f>(IF(A374='Hybrid Calculator'!$B$6,0,1))^2+((B374-'Hybrid Calculator'!$B$7)/1500)^2+((C374-'Hybrid Calculator'!$B$8)/1300)^2+((D374-'Hybrid Calculator'!$B$9)/800)^2+((E374-'Hybrid Calculator'!$B$10)/350)^2+((F374-'Hybrid Calculator'!$B$11)/30)^2+(G374-'Hybrid Calculator'!$B$12)^2+((H374-'Hybrid Calculator'!$E$14)/IF(A374="Lightning",100,30000))^2+((I374-'Hybrid Calculator'!$E$17)/IF(A374="Lightning",100,30000))^2</f>
        <v>0.30502381585059163</v>
      </c>
      <c r="K374" s="2">
        <f t="shared" si="20"/>
        <v>602</v>
      </c>
      <c r="L374" s="2">
        <f t="shared" si="21"/>
        <v>0</v>
      </c>
      <c r="M374" s="2">
        <f t="shared" si="22"/>
        <v>0</v>
      </c>
      <c r="N374" s="2">
        <v>5.3103095641660047E-3</v>
      </c>
      <c r="O374" s="2">
        <f t="shared" si="23"/>
        <v>0</v>
      </c>
      <c r="P374" s="2">
        <v>-1.0454213007202284</v>
      </c>
      <c r="Q374" s="2">
        <v>-17.036389224977484</v>
      </c>
    </row>
    <row r="375" spans="1:17" ht="15">
      <c r="A375" s="2" t="s">
        <v>13</v>
      </c>
      <c r="B375" s="2">
        <v>1435.61756570125</v>
      </c>
      <c r="C375" s="2">
        <v>660.48929926473647</v>
      </c>
      <c r="D375" s="2">
        <v>629.57096481695771</v>
      </c>
      <c r="E375" s="2">
        <v>176.64945979602635</v>
      </c>
      <c r="F375" s="2">
        <v>8.0953897093422711</v>
      </c>
      <c r="G375" s="2">
        <v>0.82102094019297511</v>
      </c>
      <c r="H375" s="2">
        <v>55</v>
      </c>
      <c r="I375" s="2">
        <v>25</v>
      </c>
      <c r="J375" s="2">
        <f>(IF(A375='Hybrid Calculator'!$B$6,0,1))^2+((B375-'Hybrid Calculator'!$B$7)/1500)^2+((C375-'Hybrid Calculator'!$B$8)/1300)^2+((D375-'Hybrid Calculator'!$B$9)/800)^2+((E375-'Hybrid Calculator'!$B$10)/350)^2+((F375-'Hybrid Calculator'!$B$11)/30)^2+(G375-'Hybrid Calculator'!$B$12)^2+((H375-'Hybrid Calculator'!$E$14)/IF(A375="Lightning",100,30000))^2+((I375-'Hybrid Calculator'!$E$17)/IF(A375="Lightning",100,30000))^2</f>
        <v>0.17611630625360289</v>
      </c>
      <c r="K375" s="2">
        <f t="shared" si="20"/>
        <v>395</v>
      </c>
      <c r="L375" s="2">
        <f t="shared" si="21"/>
        <v>0</v>
      </c>
      <c r="M375" s="2">
        <f t="shared" si="22"/>
        <v>0</v>
      </c>
      <c r="N375" s="2">
        <v>1.3895078588076482E-2</v>
      </c>
      <c r="O375" s="2">
        <f t="shared" si="23"/>
        <v>0</v>
      </c>
      <c r="P375" s="2">
        <v>0.14005954714679802</v>
      </c>
      <c r="Q375" s="2">
        <v>4.5166453334218204</v>
      </c>
    </row>
    <row r="376" spans="1:17" ht="15">
      <c r="A376" s="2" t="s">
        <v>13</v>
      </c>
      <c r="B376" s="2">
        <v>1489.4716979702935</v>
      </c>
      <c r="C376" s="2">
        <v>875.05486082518473</v>
      </c>
      <c r="D376" s="2">
        <v>685.79029105603695</v>
      </c>
      <c r="E376" s="2">
        <v>222.90452440036461</v>
      </c>
      <c r="F376" s="2">
        <v>26.699516889639199</v>
      </c>
      <c r="G376" s="2">
        <v>0.85536797937704256</v>
      </c>
      <c r="H376" s="2">
        <v>40</v>
      </c>
      <c r="I376" s="2">
        <v>25</v>
      </c>
      <c r="J376" s="2">
        <f>(IF(A376='Hybrid Calculator'!$B$6,0,1))^2+((B376-'Hybrid Calculator'!$B$7)/1500)^2+((C376-'Hybrid Calculator'!$B$8)/1300)^2+((D376-'Hybrid Calculator'!$B$9)/800)^2+((E376-'Hybrid Calculator'!$B$10)/350)^2+((F376-'Hybrid Calculator'!$B$11)/30)^2+(G376-'Hybrid Calculator'!$B$12)^2+((H376-'Hybrid Calculator'!$E$14)/IF(A376="Lightning",100,30000))^2+((I376-'Hybrid Calculator'!$E$17)/IF(A376="Lightning",100,30000))^2</f>
        <v>0.1854947763591317</v>
      </c>
      <c r="K376" s="2">
        <f t="shared" si="20"/>
        <v>416</v>
      </c>
      <c r="L376" s="2">
        <f t="shared" si="21"/>
        <v>0</v>
      </c>
      <c r="M376" s="2">
        <f t="shared" si="22"/>
        <v>0</v>
      </c>
      <c r="N376" s="2">
        <v>5.0381940317345553E-3</v>
      </c>
      <c r="O376" s="2">
        <f t="shared" si="23"/>
        <v>0</v>
      </c>
      <c r="P376" s="2">
        <v>0.14581825807321991</v>
      </c>
      <c r="Q376" s="2">
        <v>-20.180126321391299</v>
      </c>
    </row>
    <row r="377" spans="1:17" ht="15">
      <c r="A377" s="2" t="s">
        <v>13</v>
      </c>
      <c r="B377" s="2">
        <v>1360.3644376038574</v>
      </c>
      <c r="C377" s="2">
        <v>1037.2886119876057</v>
      </c>
      <c r="D377" s="2">
        <v>460.961754899472</v>
      </c>
      <c r="E377" s="2">
        <v>273.43827047850937</v>
      </c>
      <c r="F377" s="2">
        <v>20.864300593268126</v>
      </c>
      <c r="G377" s="2">
        <v>0.79998615236952908</v>
      </c>
      <c r="H377" s="2">
        <v>40</v>
      </c>
      <c r="I377" s="2">
        <v>25</v>
      </c>
      <c r="J377" s="2">
        <f>(IF(A377='Hybrid Calculator'!$B$6,0,1))^2+((B377-'Hybrid Calculator'!$B$7)/1500)^2+((C377-'Hybrid Calculator'!$B$8)/1300)^2+((D377-'Hybrid Calculator'!$B$9)/800)^2+((E377-'Hybrid Calculator'!$B$10)/350)^2+((F377-'Hybrid Calculator'!$B$11)/30)^2+(G377-'Hybrid Calculator'!$B$12)^2+((H377-'Hybrid Calculator'!$E$14)/IF(A377="Lightning",100,30000))^2+((I377-'Hybrid Calculator'!$E$17)/IF(A377="Lightning",100,30000))^2</f>
        <v>0.16598894274216977</v>
      </c>
      <c r="K377" s="2">
        <f t="shared" si="20"/>
        <v>372</v>
      </c>
      <c r="L377" s="2">
        <f t="shared" si="21"/>
        <v>0</v>
      </c>
      <c r="M377" s="2">
        <f t="shared" si="22"/>
        <v>0</v>
      </c>
      <c r="N377" s="2">
        <v>-4.1495331370655641E-3</v>
      </c>
      <c r="O377" s="2">
        <f t="shared" si="23"/>
        <v>0</v>
      </c>
      <c r="P377" s="2">
        <v>-2.7816392471670781E-2</v>
      </c>
      <c r="Q377" s="2">
        <v>-14.263714855723038</v>
      </c>
    </row>
    <row r="378" spans="1:17" ht="15">
      <c r="A378" s="2" t="s">
        <v>13</v>
      </c>
      <c r="B378" s="2">
        <v>1422.741910116747</v>
      </c>
      <c r="C378" s="2">
        <v>657.83818847266957</v>
      </c>
      <c r="D378" s="2">
        <v>635.60717087239027</v>
      </c>
      <c r="E378" s="2">
        <v>311.57722159521654</v>
      </c>
      <c r="F378" s="2">
        <v>19.773763850331306</v>
      </c>
      <c r="G378" s="2">
        <v>0.85193876220146203</v>
      </c>
      <c r="H378" s="2">
        <v>45</v>
      </c>
      <c r="I378" s="2">
        <v>25</v>
      </c>
      <c r="J378" s="2">
        <f>(IF(A378='Hybrid Calculator'!$B$6,0,1))^2+((B378-'Hybrid Calculator'!$B$7)/1500)^2+((C378-'Hybrid Calculator'!$B$8)/1300)^2+((D378-'Hybrid Calculator'!$B$9)/800)^2+((E378-'Hybrid Calculator'!$B$10)/350)^2+((F378-'Hybrid Calculator'!$B$11)/30)^2+(G378-'Hybrid Calculator'!$B$12)^2+((H378-'Hybrid Calculator'!$E$14)/IF(A378="Lightning",100,30000))^2+((I378-'Hybrid Calculator'!$E$17)/IF(A378="Lightning",100,30000))^2</f>
        <v>0.26902817670719792</v>
      </c>
      <c r="K378" s="2">
        <f t="shared" si="20"/>
        <v>572</v>
      </c>
      <c r="L378" s="2">
        <f t="shared" si="21"/>
        <v>0</v>
      </c>
      <c r="M378" s="2">
        <f t="shared" si="22"/>
        <v>0</v>
      </c>
      <c r="N378" s="2">
        <v>2.6650732389990051E-3</v>
      </c>
      <c r="O378" s="2">
        <f t="shared" si="23"/>
        <v>0</v>
      </c>
      <c r="P378" s="2">
        <v>-0.20880228490443642</v>
      </c>
      <c r="Q378" s="2">
        <v>2.8016564384492995</v>
      </c>
    </row>
    <row r="379" spans="1:17" ht="15">
      <c r="A379" s="2" t="s">
        <v>13</v>
      </c>
      <c r="B379" s="2">
        <v>1357.7735279803164</v>
      </c>
      <c r="C379" s="2">
        <v>1107.3104059090838</v>
      </c>
      <c r="D379" s="2">
        <v>600.36307694390416</v>
      </c>
      <c r="E379" s="2">
        <v>139.423275757581</v>
      </c>
      <c r="F379" s="2">
        <v>15.664569503162056</v>
      </c>
      <c r="G379" s="2">
        <v>0.81146373798605054</v>
      </c>
      <c r="H379" s="2">
        <v>40</v>
      </c>
      <c r="I379" s="2">
        <v>25</v>
      </c>
      <c r="J379" s="2">
        <f>(IF(A379='Hybrid Calculator'!$B$6,0,1))^2+((B379-'Hybrid Calculator'!$B$7)/1500)^2+((C379-'Hybrid Calculator'!$B$8)/1300)^2+((D379-'Hybrid Calculator'!$B$9)/800)^2+((E379-'Hybrid Calculator'!$B$10)/350)^2+((F379-'Hybrid Calculator'!$B$11)/30)^2+(G379-'Hybrid Calculator'!$B$12)^2+((H379-'Hybrid Calculator'!$E$14)/IF(A379="Lightning",100,30000))^2+((I379-'Hybrid Calculator'!$E$17)/IF(A379="Lightning",100,30000))^2</f>
        <v>7.6843032992448684E-2</v>
      </c>
      <c r="K379" s="2">
        <f t="shared" si="20"/>
        <v>127</v>
      </c>
      <c r="L379" s="2">
        <f t="shared" si="21"/>
        <v>0</v>
      </c>
      <c r="M379" s="2">
        <f t="shared" si="22"/>
        <v>0</v>
      </c>
      <c r="N379" s="2">
        <v>1.9852882076706768E-2</v>
      </c>
      <c r="O379" s="2">
        <f t="shared" si="23"/>
        <v>0</v>
      </c>
      <c r="P379" s="2">
        <v>-8.165645980636782E-2</v>
      </c>
      <c r="Q379" s="2">
        <v>3.2994312012324372</v>
      </c>
    </row>
    <row r="380" spans="1:17" ht="15">
      <c r="A380" s="2" t="s">
        <v>13</v>
      </c>
      <c r="B380" s="2">
        <v>1353.3692061435431</v>
      </c>
      <c r="C380" s="2">
        <v>1090.8205338637345</v>
      </c>
      <c r="D380" s="2">
        <v>443.89151688665152</v>
      </c>
      <c r="E380" s="2">
        <v>124.73308922024444</v>
      </c>
      <c r="F380" s="2">
        <v>21.582916211336851</v>
      </c>
      <c r="G380" s="2">
        <v>0.84345508914673706</v>
      </c>
      <c r="H380" s="2">
        <v>45</v>
      </c>
      <c r="I380" s="2">
        <v>25</v>
      </c>
      <c r="J380" s="2">
        <f>(IF(A380='Hybrid Calculator'!$B$6,0,1))^2+((B380-'Hybrid Calculator'!$B$7)/1500)^2+((C380-'Hybrid Calculator'!$B$8)/1300)^2+((D380-'Hybrid Calculator'!$B$9)/800)^2+((E380-'Hybrid Calculator'!$B$10)/350)^2+((F380-'Hybrid Calculator'!$B$11)/30)^2+(G380-'Hybrid Calculator'!$B$12)^2+((H380-'Hybrid Calculator'!$E$14)/IF(A380="Lightning",100,30000))^2+((I380-'Hybrid Calculator'!$E$17)/IF(A380="Lightning",100,30000))^2</f>
        <v>6.0337844487579145E-2</v>
      </c>
      <c r="K380" s="2">
        <f t="shared" si="20"/>
        <v>82</v>
      </c>
      <c r="L380" s="2">
        <f t="shared" si="21"/>
        <v>0</v>
      </c>
      <c r="M380" s="2">
        <f t="shared" si="22"/>
        <v>0</v>
      </c>
      <c r="N380" s="2">
        <v>1.095182290013974E-2</v>
      </c>
      <c r="O380" s="2">
        <f t="shared" si="23"/>
        <v>0</v>
      </c>
      <c r="P380" s="2">
        <v>1.5828414876228081</v>
      </c>
      <c r="Q380" s="2">
        <v>-10.91361666425837</v>
      </c>
    </row>
    <row r="381" spans="1:17" ht="15">
      <c r="A381" s="2" t="s">
        <v>13</v>
      </c>
      <c r="B381" s="2">
        <v>1498.9665866014548</v>
      </c>
      <c r="C381" s="2">
        <v>1002.8829238144681</v>
      </c>
      <c r="D381" s="2">
        <v>720.58859067037702</v>
      </c>
      <c r="E381" s="2">
        <v>122.69549902528524</v>
      </c>
      <c r="F381" s="2">
        <v>11.038820939604193</v>
      </c>
      <c r="G381" s="2">
        <v>0.79832996841054416</v>
      </c>
      <c r="H381" s="2">
        <v>35</v>
      </c>
      <c r="I381" s="2">
        <v>25</v>
      </c>
      <c r="J381" s="2">
        <f>(IF(A381='Hybrid Calculator'!$B$6,0,1))^2+((B381-'Hybrid Calculator'!$B$7)/1500)^2+((C381-'Hybrid Calculator'!$B$8)/1300)^2+((D381-'Hybrid Calculator'!$B$9)/800)^2+((E381-'Hybrid Calculator'!$B$10)/350)^2+((F381-'Hybrid Calculator'!$B$11)/30)^2+(G381-'Hybrid Calculator'!$B$12)^2+((H381-'Hybrid Calculator'!$E$14)/IF(A381="Lightning",100,30000))^2+((I381-'Hybrid Calculator'!$E$17)/IF(A381="Lightning",100,30000))^2</f>
        <v>0.18320232224241362</v>
      </c>
      <c r="K381" s="2">
        <f t="shared" si="20"/>
        <v>409</v>
      </c>
      <c r="L381" s="2">
        <f t="shared" si="21"/>
        <v>0</v>
      </c>
      <c r="M381" s="2">
        <f t="shared" si="22"/>
        <v>0</v>
      </c>
      <c r="N381" s="2">
        <v>2.3363183697515888E-2</v>
      </c>
      <c r="O381" s="2">
        <f t="shared" si="23"/>
        <v>0</v>
      </c>
      <c r="P381" s="2">
        <v>-3.3505040763301963E-3</v>
      </c>
      <c r="Q381" s="2">
        <v>1.075791374849814</v>
      </c>
    </row>
    <row r="382" spans="1:17" ht="15">
      <c r="A382" s="2" t="s">
        <v>13</v>
      </c>
      <c r="B382" s="2">
        <v>1434.1287147486582</v>
      </c>
      <c r="C382" s="2">
        <v>965.4178938944824</v>
      </c>
      <c r="D382" s="2">
        <v>425.8639357984066</v>
      </c>
      <c r="E382" s="2">
        <v>275.10126992827281</v>
      </c>
      <c r="F382" s="2">
        <v>8.0303029334172606</v>
      </c>
      <c r="G382" s="2">
        <v>0.85740281471749769</v>
      </c>
      <c r="H382" s="2">
        <v>45</v>
      </c>
      <c r="I382" s="2">
        <v>25</v>
      </c>
      <c r="J382" s="2">
        <f>(IF(A382='Hybrid Calculator'!$B$6,0,1))^2+((B382-'Hybrid Calculator'!$B$7)/1500)^2+((C382-'Hybrid Calculator'!$B$8)/1300)^2+((D382-'Hybrid Calculator'!$B$9)/800)^2+((E382-'Hybrid Calculator'!$B$10)/350)^2+((F382-'Hybrid Calculator'!$B$11)/30)^2+(G382-'Hybrid Calculator'!$B$12)^2+((H382-'Hybrid Calculator'!$E$14)/IF(A382="Lightning",100,30000))^2+((I382-'Hybrid Calculator'!$E$17)/IF(A382="Lightning",100,30000))^2</f>
        <v>0.26995790096053368</v>
      </c>
      <c r="K382" s="2">
        <f t="shared" si="20"/>
        <v>574</v>
      </c>
      <c r="L382" s="2">
        <f t="shared" si="21"/>
        <v>0</v>
      </c>
      <c r="M382" s="2">
        <f t="shared" si="22"/>
        <v>0</v>
      </c>
      <c r="N382" s="2">
        <v>1.8859291168799919E-2</v>
      </c>
      <c r="O382" s="2">
        <f t="shared" si="23"/>
        <v>0</v>
      </c>
      <c r="P382" s="2">
        <v>-0.75554215878621989</v>
      </c>
      <c r="Q382" s="2">
        <v>1.8134828317718075</v>
      </c>
    </row>
    <row r="383" spans="1:17" ht="15">
      <c r="A383" s="2" t="s">
        <v>13</v>
      </c>
      <c r="B383" s="2">
        <v>1417.3399833845906</v>
      </c>
      <c r="C383" s="2">
        <v>1125.4315368831158</v>
      </c>
      <c r="D383" s="2">
        <v>492.99972346052527</v>
      </c>
      <c r="E383" s="2">
        <v>273.20019998122007</v>
      </c>
      <c r="F383" s="2">
        <v>18.726384551730007</v>
      </c>
      <c r="G383" s="2">
        <v>0.85503465752117336</v>
      </c>
      <c r="H383" s="2">
        <v>40</v>
      </c>
      <c r="I383" s="2">
        <v>25</v>
      </c>
      <c r="J383" s="2">
        <f>(IF(A383='Hybrid Calculator'!$B$6,0,1))^2+((B383-'Hybrid Calculator'!$B$7)/1500)^2+((C383-'Hybrid Calculator'!$B$8)/1300)^2+((D383-'Hybrid Calculator'!$B$9)/800)^2+((E383-'Hybrid Calculator'!$B$10)/350)^2+((F383-'Hybrid Calculator'!$B$11)/30)^2+(G383-'Hybrid Calculator'!$B$12)^2+((H383-'Hybrid Calculator'!$E$14)/IF(A383="Lightning",100,30000))^2+((I383-'Hybrid Calculator'!$E$17)/IF(A383="Lightning",100,30000))^2</f>
        <v>0.18018049248802345</v>
      </c>
      <c r="K383" s="2">
        <f t="shared" si="20"/>
        <v>401</v>
      </c>
      <c r="L383" s="2">
        <f t="shared" si="21"/>
        <v>0</v>
      </c>
      <c r="M383" s="2">
        <f t="shared" si="22"/>
        <v>0</v>
      </c>
      <c r="N383" s="2">
        <v>1.2514814092132287E-2</v>
      </c>
      <c r="O383" s="2">
        <f t="shared" si="23"/>
        <v>0</v>
      </c>
      <c r="P383" s="2">
        <v>0.89962695538102366</v>
      </c>
      <c r="Q383" s="2">
        <v>-3.3084294145246531</v>
      </c>
    </row>
    <row r="384" spans="1:17" ht="15">
      <c r="A384" s="2" t="s">
        <v>13</v>
      </c>
      <c r="B384" s="2">
        <v>1362.6517868600786</v>
      </c>
      <c r="C384" s="2">
        <v>604.045028926339</v>
      </c>
      <c r="D384" s="2">
        <v>660.90325955301523</v>
      </c>
      <c r="E384" s="2">
        <v>294.0841698856093</v>
      </c>
      <c r="F384" s="2">
        <v>9.0468336585909128</v>
      </c>
      <c r="G384" s="2">
        <v>0.85360155913280322</v>
      </c>
      <c r="H384" s="2">
        <v>55</v>
      </c>
      <c r="I384" s="2">
        <v>25</v>
      </c>
      <c r="J384" s="2">
        <f>(IF(A384='Hybrid Calculator'!$B$6,0,1))^2+((B384-'Hybrid Calculator'!$B$7)/1500)^2+((C384-'Hybrid Calculator'!$B$8)/1300)^2+((D384-'Hybrid Calculator'!$B$9)/800)^2+((E384-'Hybrid Calculator'!$B$10)/350)^2+((F384-'Hybrid Calculator'!$B$11)/30)^2+(G384-'Hybrid Calculator'!$B$12)^2+((H384-'Hybrid Calculator'!$E$14)/IF(A384="Lightning",100,30000))^2+((I384-'Hybrid Calculator'!$E$17)/IF(A384="Lightning",100,30000))^2</f>
        <v>0.35036775096883099</v>
      </c>
      <c r="K384" s="2">
        <f t="shared" si="20"/>
        <v>652</v>
      </c>
      <c r="L384" s="2">
        <f t="shared" si="21"/>
        <v>0</v>
      </c>
      <c r="M384" s="2">
        <f t="shared" si="22"/>
        <v>0</v>
      </c>
      <c r="N384" s="2">
        <v>-3.3711897330079843E-3</v>
      </c>
      <c r="O384" s="2">
        <f t="shared" si="23"/>
        <v>0</v>
      </c>
      <c r="P384" s="2">
        <v>-0.32244690801476139</v>
      </c>
      <c r="Q384" s="2">
        <v>9.3170582886102693</v>
      </c>
    </row>
    <row r="385" spans="1:17" ht="15">
      <c r="A385" s="2" t="s">
        <v>13</v>
      </c>
      <c r="B385" s="2">
        <v>1404.956917616073</v>
      </c>
      <c r="C385" s="2">
        <v>1244.3887229310349</v>
      </c>
      <c r="D385" s="2">
        <v>683.8344388641417</v>
      </c>
      <c r="E385" s="2">
        <v>244.86095287837088</v>
      </c>
      <c r="F385" s="2">
        <v>28.821403988171369</v>
      </c>
      <c r="G385" s="2">
        <v>0.81757652020547544</v>
      </c>
      <c r="H385" s="2">
        <v>30</v>
      </c>
      <c r="I385" s="2">
        <v>25</v>
      </c>
      <c r="J385" s="2">
        <f>(IF(A385='Hybrid Calculator'!$B$6,0,1))^2+((B385-'Hybrid Calculator'!$B$7)/1500)^2+((C385-'Hybrid Calculator'!$B$8)/1300)^2+((D385-'Hybrid Calculator'!$B$9)/800)^2+((E385-'Hybrid Calculator'!$B$10)/350)^2+((F385-'Hybrid Calculator'!$B$11)/30)^2+(G385-'Hybrid Calculator'!$B$12)^2+((H385-'Hybrid Calculator'!$E$14)/IF(A385="Lightning",100,30000))^2+((I385-'Hybrid Calculator'!$E$17)/IF(A385="Lightning",100,30000))^2</f>
        <v>0.37685238696001822</v>
      </c>
      <c r="K385" s="2">
        <f t="shared" si="20"/>
        <v>674</v>
      </c>
      <c r="L385" s="2">
        <f t="shared" si="21"/>
        <v>0</v>
      </c>
      <c r="M385" s="2">
        <f t="shared" si="22"/>
        <v>0</v>
      </c>
      <c r="N385" s="2">
        <v>2.1704143085667926E-3</v>
      </c>
      <c r="O385" s="2">
        <f t="shared" si="23"/>
        <v>0</v>
      </c>
      <c r="P385" s="2">
        <v>-0.23647990048646506</v>
      </c>
      <c r="Q385" s="2">
        <v>-23.694421149772779</v>
      </c>
    </row>
    <row r="386" spans="1:17" ht="15">
      <c r="A386" s="2" t="s">
        <v>13</v>
      </c>
      <c r="B386" s="2">
        <v>1390.2773976093158</v>
      </c>
      <c r="C386" s="2">
        <v>1122.8853167616762</v>
      </c>
      <c r="D386" s="2">
        <v>740.97040705382824</v>
      </c>
      <c r="E386" s="2">
        <v>149.51778911752626</v>
      </c>
      <c r="F386" s="2">
        <v>21.811410238035023</v>
      </c>
      <c r="G386" s="2">
        <v>0.83715442024869846</v>
      </c>
      <c r="H386" s="2">
        <v>35</v>
      </c>
      <c r="I386" s="2">
        <v>25</v>
      </c>
      <c r="J386" s="2">
        <f>(IF(A386='Hybrid Calculator'!$B$6,0,1))^2+((B386-'Hybrid Calculator'!$B$7)/1500)^2+((C386-'Hybrid Calculator'!$B$8)/1300)^2+((D386-'Hybrid Calculator'!$B$9)/800)^2+((E386-'Hybrid Calculator'!$B$10)/350)^2+((F386-'Hybrid Calculator'!$B$11)/30)^2+(G386-'Hybrid Calculator'!$B$12)^2+((H386-'Hybrid Calculator'!$E$14)/IF(A386="Lightning",100,30000))^2+((I386-'Hybrid Calculator'!$E$17)/IF(A386="Lightning",100,30000))^2</f>
        <v>0.17030807350653721</v>
      </c>
      <c r="K386" s="2">
        <f t="shared" ref="K386:K449" si="24">RANK(J386,$J$2:$J$1401,1)</f>
        <v>381</v>
      </c>
      <c r="L386" s="2">
        <f t="shared" ref="L386:L449" si="25">IF(K386&lt;=7,1,0)</f>
        <v>0</v>
      </c>
      <c r="M386" s="2">
        <f t="shared" ref="M386:M449" si="26">IF(L386=1,1/(J386+0.000001),0)</f>
        <v>0</v>
      </c>
      <c r="N386" s="2">
        <v>1.4876729844788938E-2</v>
      </c>
      <c r="O386" s="2">
        <f t="shared" ref="O386:O449" si="27">M386</f>
        <v>0</v>
      </c>
      <c r="P386" s="2">
        <v>1.535905031487566</v>
      </c>
      <c r="Q386" s="2">
        <v>-15.623642260163024</v>
      </c>
    </row>
    <row r="387" spans="1:17" ht="15">
      <c r="A387" s="2" t="s">
        <v>13</v>
      </c>
      <c r="B387" s="2">
        <v>1425.1667063101195</v>
      </c>
      <c r="C387" s="2">
        <v>1021.3345394004136</v>
      </c>
      <c r="D387" s="2">
        <v>736.2397882156074</v>
      </c>
      <c r="E387" s="2">
        <v>253.69173315819353</v>
      </c>
      <c r="F387" s="2">
        <v>11.621387905906886</v>
      </c>
      <c r="G387" s="2">
        <v>0.80876501156017189</v>
      </c>
      <c r="H387" s="2">
        <v>35</v>
      </c>
      <c r="I387" s="2">
        <v>25</v>
      </c>
      <c r="J387" s="2">
        <f>(IF(A387='Hybrid Calculator'!$B$6,0,1))^2+((B387-'Hybrid Calculator'!$B$7)/1500)^2+((C387-'Hybrid Calculator'!$B$8)/1300)^2+((D387-'Hybrid Calculator'!$B$9)/800)^2+((E387-'Hybrid Calculator'!$B$10)/350)^2+((F387-'Hybrid Calculator'!$B$11)/30)^2+(G387-'Hybrid Calculator'!$B$12)^2+((H387-'Hybrid Calculator'!$E$14)/IF(A387="Lightning",100,30000))^2+((I387-'Hybrid Calculator'!$E$17)/IF(A387="Lightning",100,30000))^2</f>
        <v>0.26754209290036518</v>
      </c>
      <c r="K387" s="2">
        <f t="shared" si="24"/>
        <v>569</v>
      </c>
      <c r="L387" s="2">
        <f t="shared" si="25"/>
        <v>0</v>
      </c>
      <c r="M387" s="2">
        <f t="shared" si="26"/>
        <v>0</v>
      </c>
      <c r="N387" s="2">
        <v>5.2483744172884261E-3</v>
      </c>
      <c r="O387" s="2">
        <f t="shared" si="27"/>
        <v>0</v>
      </c>
      <c r="P387" s="2">
        <v>1.3489115847063644</v>
      </c>
      <c r="Q387" s="2">
        <v>-6.3392262604538701</v>
      </c>
    </row>
    <row r="388" spans="1:17" ht="15">
      <c r="A388" s="2" t="s">
        <v>13</v>
      </c>
      <c r="B388" s="2">
        <v>1445.5692416522652</v>
      </c>
      <c r="C388" s="2">
        <v>718.60954145668074</v>
      </c>
      <c r="D388" s="2">
        <v>534.88453160971403</v>
      </c>
      <c r="E388" s="2">
        <v>217.1280302410014</v>
      </c>
      <c r="F388" s="2">
        <v>16.232742853462696</v>
      </c>
      <c r="G388" s="2">
        <v>0.820200721716974</v>
      </c>
      <c r="H388" s="2">
        <v>50</v>
      </c>
      <c r="I388" s="2">
        <v>25</v>
      </c>
      <c r="J388" s="2">
        <f>(IF(A388='Hybrid Calculator'!$B$6,0,1))^2+((B388-'Hybrid Calculator'!$B$7)/1500)^2+((C388-'Hybrid Calculator'!$B$8)/1300)^2+((D388-'Hybrid Calculator'!$B$9)/800)^2+((E388-'Hybrid Calculator'!$B$10)/350)^2+((F388-'Hybrid Calculator'!$B$11)/30)^2+(G388-'Hybrid Calculator'!$B$12)^2+((H388-'Hybrid Calculator'!$E$14)/IF(A388="Lightning",100,30000))^2+((I388-'Hybrid Calculator'!$E$17)/IF(A388="Lightning",100,30000))^2</f>
        <v>5.4801294427482002E-2</v>
      </c>
      <c r="K388" s="2">
        <f t="shared" si="24"/>
        <v>67</v>
      </c>
      <c r="L388" s="2">
        <f t="shared" si="25"/>
        <v>0</v>
      </c>
      <c r="M388" s="2">
        <f t="shared" si="26"/>
        <v>0</v>
      </c>
      <c r="N388" s="2">
        <v>-1.2240311848178864E-2</v>
      </c>
      <c r="O388" s="2">
        <f t="shared" si="27"/>
        <v>0</v>
      </c>
      <c r="P388" s="2">
        <v>-1.2860073075128327</v>
      </c>
      <c r="Q388" s="2">
        <v>8.1381824930836046</v>
      </c>
    </row>
    <row r="389" spans="1:17" ht="15">
      <c r="A389" s="2" t="s">
        <v>13</v>
      </c>
      <c r="B389" s="2">
        <v>1466.7011256446131</v>
      </c>
      <c r="C389" s="2">
        <v>715.15311372932047</v>
      </c>
      <c r="D389" s="2">
        <v>436.1996796913445</v>
      </c>
      <c r="E389" s="2">
        <v>90.165890213102102</v>
      </c>
      <c r="F389" s="2">
        <v>24.493308214936405</v>
      </c>
      <c r="G389" s="2">
        <v>0.83788624407257895</v>
      </c>
      <c r="H389" s="2">
        <v>60</v>
      </c>
      <c r="I389" s="2">
        <v>25</v>
      </c>
      <c r="J389" s="2">
        <f>(IF(A389='Hybrid Calculator'!$B$6,0,1))^2+((B389-'Hybrid Calculator'!$B$7)/1500)^2+((C389-'Hybrid Calculator'!$B$8)/1300)^2+((D389-'Hybrid Calculator'!$B$9)/800)^2+((E389-'Hybrid Calculator'!$B$10)/350)^2+((F389-'Hybrid Calculator'!$B$11)/30)^2+(G389-'Hybrid Calculator'!$B$12)^2+((H389-'Hybrid Calculator'!$E$14)/IF(A389="Lightning",100,30000))^2+((I389-'Hybrid Calculator'!$E$17)/IF(A389="Lightning",100,30000))^2</f>
        <v>9.7348802404819884E-2</v>
      </c>
      <c r="K389" s="2">
        <f t="shared" si="24"/>
        <v>196</v>
      </c>
      <c r="L389" s="2">
        <f t="shared" si="25"/>
        <v>0</v>
      </c>
      <c r="M389" s="2">
        <f t="shared" si="26"/>
        <v>0</v>
      </c>
      <c r="N389" s="2">
        <v>-5.5006279158238414E-3</v>
      </c>
      <c r="O389" s="2">
        <f t="shared" si="27"/>
        <v>0</v>
      </c>
      <c r="P389" s="2">
        <v>-0.45082918542231454</v>
      </c>
      <c r="Q389" s="2">
        <v>11.255453979461436</v>
      </c>
    </row>
    <row r="390" spans="1:17" ht="15">
      <c r="A390" s="2" t="s">
        <v>13</v>
      </c>
      <c r="B390" s="2">
        <v>1442.5099889980629</v>
      </c>
      <c r="C390" s="2">
        <v>707.67118522198871</v>
      </c>
      <c r="D390" s="2">
        <v>524.16973114013672</v>
      </c>
      <c r="E390" s="2">
        <v>308.84576575597748</v>
      </c>
      <c r="F390" s="2">
        <v>13.039052623324096</v>
      </c>
      <c r="G390" s="2">
        <v>0.7971951534575783</v>
      </c>
      <c r="H390" s="2">
        <v>45</v>
      </c>
      <c r="I390" s="2">
        <v>25</v>
      </c>
      <c r="J390" s="2">
        <f>(IF(A390='Hybrid Calculator'!$B$6,0,1))^2+((B390-'Hybrid Calculator'!$B$7)/1500)^2+((C390-'Hybrid Calculator'!$B$8)/1300)^2+((D390-'Hybrid Calculator'!$B$9)/800)^2+((E390-'Hybrid Calculator'!$B$10)/350)^2+((F390-'Hybrid Calculator'!$B$11)/30)^2+(G390-'Hybrid Calculator'!$B$12)^2+((H390-'Hybrid Calculator'!$E$14)/IF(A390="Lightning",100,30000))^2+((I390-'Hybrid Calculator'!$E$17)/IF(A390="Lightning",100,30000))^2</f>
        <v>0.25516660450602052</v>
      </c>
      <c r="K390" s="2">
        <f t="shared" si="24"/>
        <v>551</v>
      </c>
      <c r="L390" s="2">
        <f t="shared" si="25"/>
        <v>0</v>
      </c>
      <c r="M390" s="2">
        <f t="shared" si="26"/>
        <v>0</v>
      </c>
      <c r="N390" s="2">
        <v>-2.1727154306656615E-3</v>
      </c>
      <c r="O390" s="2">
        <f t="shared" si="27"/>
        <v>0</v>
      </c>
      <c r="P390" s="2">
        <v>-6.0929448795945973E-2</v>
      </c>
      <c r="Q390" s="2">
        <v>1.9608859184033918</v>
      </c>
    </row>
    <row r="391" spans="1:17" ht="15">
      <c r="A391" s="2" t="s">
        <v>13</v>
      </c>
      <c r="B391" s="2">
        <v>1428.9808646659367</v>
      </c>
      <c r="C391" s="2">
        <v>1073.0624780990183</v>
      </c>
      <c r="D391" s="2">
        <v>457.57043128833175</v>
      </c>
      <c r="E391" s="2">
        <v>184.1046247119084</v>
      </c>
      <c r="F391" s="2">
        <v>13.23297126358375</v>
      </c>
      <c r="G391" s="2">
        <v>0.79218276591040193</v>
      </c>
      <c r="H391" s="2">
        <v>40</v>
      </c>
      <c r="I391" s="2">
        <v>25</v>
      </c>
      <c r="J391" s="2">
        <f>(IF(A391='Hybrid Calculator'!$B$6,0,1))^2+((B391-'Hybrid Calculator'!$B$7)/1500)^2+((C391-'Hybrid Calculator'!$B$8)/1300)^2+((D391-'Hybrid Calculator'!$B$9)/800)^2+((E391-'Hybrid Calculator'!$B$10)/350)^2+((F391-'Hybrid Calculator'!$B$11)/30)^2+(G391-'Hybrid Calculator'!$B$12)^2+((H391-'Hybrid Calculator'!$E$14)/IF(A391="Lightning",100,30000))^2+((I391-'Hybrid Calculator'!$E$17)/IF(A391="Lightning",100,30000))^2</f>
        <v>8.3354587601638552E-2</v>
      </c>
      <c r="K391" s="2">
        <f t="shared" si="24"/>
        <v>149</v>
      </c>
      <c r="L391" s="2">
        <f t="shared" si="25"/>
        <v>0</v>
      </c>
      <c r="M391" s="2">
        <f t="shared" si="26"/>
        <v>0</v>
      </c>
      <c r="N391" s="2">
        <v>-2.9757569536312811E-3</v>
      </c>
      <c r="O391" s="2">
        <f t="shared" si="27"/>
        <v>0</v>
      </c>
      <c r="P391" s="2">
        <v>-0.59306525058985926</v>
      </c>
      <c r="Q391" s="2">
        <v>6.396145721293351</v>
      </c>
    </row>
    <row r="392" spans="1:17" ht="15">
      <c r="A392" s="2" t="s">
        <v>13</v>
      </c>
      <c r="B392" s="2">
        <v>1369.4015650078654</v>
      </c>
      <c r="C392" s="2">
        <v>710.0879568955861</v>
      </c>
      <c r="D392" s="2">
        <v>479.16665095835924</v>
      </c>
      <c r="E392" s="2">
        <v>88.821032533887774</v>
      </c>
      <c r="F392" s="2">
        <v>20.161200722679496</v>
      </c>
      <c r="G392" s="2">
        <v>0.82126586110563948</v>
      </c>
      <c r="H392" s="2">
        <v>60</v>
      </c>
      <c r="I392" s="2">
        <v>25</v>
      </c>
      <c r="J392" s="2">
        <f>(IF(A392='Hybrid Calculator'!$B$6,0,1))^2+((B392-'Hybrid Calculator'!$B$7)/1500)^2+((C392-'Hybrid Calculator'!$B$8)/1300)^2+((D392-'Hybrid Calculator'!$B$9)/800)^2+((E392-'Hybrid Calculator'!$B$10)/350)^2+((F392-'Hybrid Calculator'!$B$11)/30)^2+(G392-'Hybrid Calculator'!$B$12)^2+((H392-'Hybrid Calculator'!$E$14)/IF(A392="Lightning",100,30000))^2+((I392-'Hybrid Calculator'!$E$17)/IF(A392="Lightning",100,30000))^2</f>
        <v>5.7256914603361804E-2</v>
      </c>
      <c r="K392" s="2">
        <f t="shared" si="24"/>
        <v>77</v>
      </c>
      <c r="L392" s="2">
        <f t="shared" si="25"/>
        <v>0</v>
      </c>
      <c r="M392" s="2">
        <f t="shared" si="26"/>
        <v>0</v>
      </c>
      <c r="N392" s="2">
        <v>1.3094263980961696E-3</v>
      </c>
      <c r="O392" s="2">
        <f t="shared" si="27"/>
        <v>0</v>
      </c>
      <c r="P392" s="2">
        <v>-0.13060239446789268</v>
      </c>
      <c r="Q392" s="2">
        <v>5.3496511570699568</v>
      </c>
    </row>
    <row r="393" spans="1:17" ht="15">
      <c r="A393" s="2" t="s">
        <v>13</v>
      </c>
      <c r="B393" s="2">
        <v>1438.5094728902914</v>
      </c>
      <c r="C393" s="2">
        <v>668.34926868323237</v>
      </c>
      <c r="D393" s="2">
        <v>577.63023981824517</v>
      </c>
      <c r="E393" s="2">
        <v>279.6004085522145</v>
      </c>
      <c r="F393" s="2">
        <v>23.757488389033824</v>
      </c>
      <c r="G393" s="2">
        <v>0.81721807431895288</v>
      </c>
      <c r="H393" s="2">
        <v>50</v>
      </c>
      <c r="I393" s="2">
        <v>25</v>
      </c>
      <c r="J393" s="2">
        <f>(IF(A393='Hybrid Calculator'!$B$6,0,1))^2+((B393-'Hybrid Calculator'!$B$7)/1500)^2+((C393-'Hybrid Calculator'!$B$8)/1300)^2+((D393-'Hybrid Calculator'!$B$9)/800)^2+((E393-'Hybrid Calculator'!$B$10)/350)^2+((F393-'Hybrid Calculator'!$B$11)/30)^2+(G393-'Hybrid Calculator'!$B$12)^2+((H393-'Hybrid Calculator'!$E$14)/IF(A393="Lightning",100,30000))^2+((I393-'Hybrid Calculator'!$E$17)/IF(A393="Lightning",100,30000))^2</f>
        <v>0.19685483400535611</v>
      </c>
      <c r="K393" s="2">
        <f t="shared" si="24"/>
        <v>439</v>
      </c>
      <c r="L393" s="2">
        <f t="shared" si="25"/>
        <v>0</v>
      </c>
      <c r="M393" s="2">
        <f t="shared" si="26"/>
        <v>0</v>
      </c>
      <c r="N393" s="2">
        <v>3.2436394446480055E-3</v>
      </c>
      <c r="O393" s="2">
        <f t="shared" si="27"/>
        <v>0</v>
      </c>
      <c r="P393" s="2">
        <v>-5.266686496294426E-2</v>
      </c>
      <c r="Q393" s="2">
        <v>1.0790544637263793</v>
      </c>
    </row>
    <row r="394" spans="1:17" ht="15">
      <c r="A394" s="2" t="s">
        <v>13</v>
      </c>
      <c r="B394" s="2">
        <v>1459.6134354360402</v>
      </c>
      <c r="C394" s="2">
        <v>769.12727294256911</v>
      </c>
      <c r="D394" s="2">
        <v>613.03933057934046</v>
      </c>
      <c r="E394" s="2">
        <v>102.59985363343731</v>
      </c>
      <c r="F394" s="2">
        <v>15.073984758928418</v>
      </c>
      <c r="G394" s="2">
        <v>0.82714566140668466</v>
      </c>
      <c r="H394" s="2">
        <v>50</v>
      </c>
      <c r="I394" s="2">
        <v>25</v>
      </c>
      <c r="J394" s="2">
        <f>(IF(A394='Hybrid Calculator'!$B$6,0,1))^2+((B394-'Hybrid Calculator'!$B$7)/1500)^2+((C394-'Hybrid Calculator'!$B$8)/1300)^2+((D394-'Hybrid Calculator'!$B$9)/800)^2+((E394-'Hybrid Calculator'!$B$10)/350)^2+((F394-'Hybrid Calculator'!$B$11)/30)^2+(G394-'Hybrid Calculator'!$B$12)^2+((H394-'Hybrid Calculator'!$E$14)/IF(A394="Lightning",100,30000))^2+((I394-'Hybrid Calculator'!$E$17)/IF(A394="Lightning",100,30000))^2</f>
        <v>5.5801823652541639E-2</v>
      </c>
      <c r="K394" s="2">
        <f t="shared" si="24"/>
        <v>70</v>
      </c>
      <c r="L394" s="2">
        <f t="shared" si="25"/>
        <v>0</v>
      </c>
      <c r="M394" s="2">
        <f t="shared" si="26"/>
        <v>0</v>
      </c>
      <c r="N394" s="2">
        <v>-5.27047967618266E-3</v>
      </c>
      <c r="O394" s="2">
        <f t="shared" si="27"/>
        <v>0</v>
      </c>
      <c r="P394" s="2">
        <v>-0.33530160923664454</v>
      </c>
      <c r="Q394" s="2">
        <v>3.5624313013040592</v>
      </c>
    </row>
    <row r="395" spans="1:17" ht="15">
      <c r="A395" s="2" t="s">
        <v>13</v>
      </c>
      <c r="B395" s="2">
        <v>1475.6348825641908</v>
      </c>
      <c r="C395" s="2">
        <v>982.6782074989751</v>
      </c>
      <c r="D395" s="2">
        <v>563.40394699946046</v>
      </c>
      <c r="E395" s="2">
        <v>267.06654128618538</v>
      </c>
      <c r="F395" s="2">
        <v>29.441321522463113</v>
      </c>
      <c r="G395" s="2">
        <v>0.82468396055046478</v>
      </c>
      <c r="H395" s="2">
        <v>40</v>
      </c>
      <c r="I395" s="2">
        <v>25</v>
      </c>
      <c r="J395" s="2">
        <f>(IF(A395='Hybrid Calculator'!$B$6,0,1))^2+((B395-'Hybrid Calculator'!$B$7)/1500)^2+((C395-'Hybrid Calculator'!$B$8)/1300)^2+((D395-'Hybrid Calculator'!$B$9)/800)^2+((E395-'Hybrid Calculator'!$B$10)/350)^2+((F395-'Hybrid Calculator'!$B$11)/30)^2+(G395-'Hybrid Calculator'!$B$12)^2+((H395-'Hybrid Calculator'!$E$14)/IF(A395="Lightning",100,30000))^2+((I395-'Hybrid Calculator'!$E$17)/IF(A395="Lightning",100,30000))^2</f>
        <v>0.27274705720390074</v>
      </c>
      <c r="K395" s="2">
        <f t="shared" si="24"/>
        <v>576</v>
      </c>
      <c r="L395" s="2">
        <f t="shared" si="25"/>
        <v>0</v>
      </c>
      <c r="M395" s="2">
        <f t="shared" si="26"/>
        <v>0</v>
      </c>
      <c r="N395" s="2">
        <v>3.3450489712942844E-3</v>
      </c>
      <c r="O395" s="2">
        <f t="shared" si="27"/>
        <v>0</v>
      </c>
      <c r="P395" s="2">
        <v>-0.26163283612122257</v>
      </c>
      <c r="Q395" s="2">
        <v>-25.558257926170654</v>
      </c>
    </row>
    <row r="396" spans="1:17" ht="15">
      <c r="A396" s="2" t="s">
        <v>13</v>
      </c>
      <c r="B396" s="2">
        <v>1350.6569264223799</v>
      </c>
      <c r="C396" s="2">
        <v>625.40810067439452</v>
      </c>
      <c r="D396" s="2">
        <v>548.28875623643398</v>
      </c>
      <c r="E396" s="2">
        <v>259.00102463318035</v>
      </c>
      <c r="F396" s="2">
        <v>29.079919320531189</v>
      </c>
      <c r="G396" s="2">
        <v>0.8405925082112663</v>
      </c>
      <c r="H396" s="2">
        <v>50</v>
      </c>
      <c r="I396" s="2">
        <v>25</v>
      </c>
      <c r="J396" s="2">
        <f>(IF(A396='Hybrid Calculator'!$B$6,0,1))^2+((B396-'Hybrid Calculator'!$B$7)/1500)^2+((C396-'Hybrid Calculator'!$B$8)/1300)^2+((D396-'Hybrid Calculator'!$B$9)/800)^2+((E396-'Hybrid Calculator'!$B$10)/350)^2+((F396-'Hybrid Calculator'!$B$11)/30)^2+(G396-'Hybrid Calculator'!$B$12)^2+((H396-'Hybrid Calculator'!$E$14)/IF(A396="Lightning",100,30000))^2+((I396-'Hybrid Calculator'!$E$17)/IF(A396="Lightning",100,30000))^2</f>
        <v>0.25773240526787272</v>
      </c>
      <c r="K396" s="2">
        <f t="shared" si="24"/>
        <v>555</v>
      </c>
      <c r="L396" s="2">
        <f t="shared" si="25"/>
        <v>0</v>
      </c>
      <c r="M396" s="2">
        <f t="shared" si="26"/>
        <v>0</v>
      </c>
      <c r="N396" s="2">
        <v>-7.9114259212098581E-4</v>
      </c>
      <c r="O396" s="2">
        <f t="shared" si="27"/>
        <v>0</v>
      </c>
      <c r="P396" s="2">
        <v>-1.2161564015333965</v>
      </c>
      <c r="Q396" s="2">
        <v>-8.2877718516799632</v>
      </c>
    </row>
    <row r="397" spans="1:17" ht="15">
      <c r="A397" s="2" t="s">
        <v>13</v>
      </c>
      <c r="B397" s="2">
        <v>1479.0081457584165</v>
      </c>
      <c r="C397" s="2">
        <v>683.32447134889662</v>
      </c>
      <c r="D397" s="2">
        <v>423.3022796921432</v>
      </c>
      <c r="E397" s="2">
        <v>312.20734612550586</v>
      </c>
      <c r="F397" s="2">
        <v>29.280736475717276</v>
      </c>
      <c r="G397" s="2">
        <v>0.83160462314262995</v>
      </c>
      <c r="H397" s="2">
        <v>50</v>
      </c>
      <c r="I397" s="2">
        <v>25</v>
      </c>
      <c r="J397" s="2">
        <f>(IF(A397='Hybrid Calculator'!$B$6,0,1))^2+((B397-'Hybrid Calculator'!$B$7)/1500)^2+((C397-'Hybrid Calculator'!$B$8)/1300)^2+((D397-'Hybrid Calculator'!$B$9)/800)^2+((E397-'Hybrid Calculator'!$B$10)/350)^2+((F397-'Hybrid Calculator'!$B$11)/30)^2+(G397-'Hybrid Calculator'!$B$12)^2+((H397-'Hybrid Calculator'!$E$14)/IF(A397="Lightning",100,30000))^2+((I397-'Hybrid Calculator'!$E$17)/IF(A397="Lightning",100,30000))^2</f>
        <v>0.37098441312271102</v>
      </c>
      <c r="K397" s="2">
        <f t="shared" si="24"/>
        <v>668</v>
      </c>
      <c r="L397" s="2">
        <f t="shared" si="25"/>
        <v>0</v>
      </c>
      <c r="M397" s="2">
        <f t="shared" si="26"/>
        <v>0</v>
      </c>
      <c r="N397" s="2">
        <v>-8.0226018227829154E-3</v>
      </c>
      <c r="O397" s="2">
        <f t="shared" si="27"/>
        <v>0</v>
      </c>
      <c r="P397" s="2">
        <v>1.9811589823767406E-2</v>
      </c>
      <c r="Q397" s="2">
        <v>-8.0946964447807659</v>
      </c>
    </row>
    <row r="398" spans="1:17" ht="15">
      <c r="A398" s="2" t="s">
        <v>13</v>
      </c>
      <c r="B398" s="2">
        <v>1483.7850500363857</v>
      </c>
      <c r="C398" s="2">
        <v>1015.2287132921629</v>
      </c>
      <c r="D398" s="2">
        <v>397.65342753380537</v>
      </c>
      <c r="E398" s="2">
        <v>89.933060326147825</v>
      </c>
      <c r="F398" s="2">
        <v>19.990560948848724</v>
      </c>
      <c r="G398" s="2">
        <v>0.84618097489932553</v>
      </c>
      <c r="H398" s="2">
        <v>50</v>
      </c>
      <c r="I398" s="2">
        <v>25</v>
      </c>
      <c r="J398" s="2">
        <f>(IF(A398='Hybrid Calculator'!$B$6,0,1))^2+((B398-'Hybrid Calculator'!$B$7)/1500)^2+((C398-'Hybrid Calculator'!$B$8)/1300)^2+((D398-'Hybrid Calculator'!$B$9)/800)^2+((E398-'Hybrid Calculator'!$B$10)/350)^2+((F398-'Hybrid Calculator'!$B$11)/30)^2+(G398-'Hybrid Calculator'!$B$12)^2+((H398-'Hybrid Calculator'!$E$14)/IF(A398="Lightning",100,30000))^2+((I398-'Hybrid Calculator'!$E$17)/IF(A398="Lightning",100,30000))^2</f>
        <v>6.6664368941105695E-2</v>
      </c>
      <c r="K398" s="2">
        <f t="shared" si="24"/>
        <v>99</v>
      </c>
      <c r="L398" s="2">
        <f t="shared" si="25"/>
        <v>0</v>
      </c>
      <c r="M398" s="2">
        <f t="shared" si="26"/>
        <v>0</v>
      </c>
      <c r="N398" s="2">
        <v>-4.8543787581079023E-4</v>
      </c>
      <c r="O398" s="2">
        <f t="shared" si="27"/>
        <v>0</v>
      </c>
      <c r="P398" s="2">
        <v>0.40009200044119098</v>
      </c>
      <c r="Q398" s="2">
        <v>3.9164026901237321</v>
      </c>
    </row>
    <row r="399" spans="1:17" ht="15">
      <c r="A399" s="2" t="s">
        <v>13</v>
      </c>
      <c r="B399" s="2">
        <v>1480.2943245624192</v>
      </c>
      <c r="C399" s="2">
        <v>1016.0106459399685</v>
      </c>
      <c r="D399" s="2">
        <v>549.30917443707585</v>
      </c>
      <c r="E399" s="2">
        <v>328.75441426411271</v>
      </c>
      <c r="F399" s="2">
        <v>8.0369569570757449</v>
      </c>
      <c r="G399" s="2">
        <v>0.81854877424892036</v>
      </c>
      <c r="H399" s="2">
        <v>35</v>
      </c>
      <c r="I399" s="2">
        <v>25</v>
      </c>
      <c r="J399" s="2">
        <f>(IF(A399='Hybrid Calculator'!$B$6,0,1))^2+((B399-'Hybrid Calculator'!$B$7)/1500)^2+((C399-'Hybrid Calculator'!$B$8)/1300)^2+((D399-'Hybrid Calculator'!$B$9)/800)^2+((E399-'Hybrid Calculator'!$B$10)/350)^2+((F399-'Hybrid Calculator'!$B$11)/30)^2+(G399-'Hybrid Calculator'!$B$12)^2+((H399-'Hybrid Calculator'!$E$14)/IF(A399="Lightning",100,30000))^2+((I399-'Hybrid Calculator'!$E$17)/IF(A399="Lightning",100,30000))^2</f>
        <v>0.42644860210977342</v>
      </c>
      <c r="K399" s="2">
        <f t="shared" si="24"/>
        <v>693</v>
      </c>
      <c r="L399" s="2">
        <f t="shared" si="25"/>
        <v>0</v>
      </c>
      <c r="M399" s="2">
        <f t="shared" si="26"/>
        <v>0</v>
      </c>
      <c r="N399" s="2">
        <v>1.2979938489326326E-2</v>
      </c>
      <c r="O399" s="2">
        <f t="shared" si="27"/>
        <v>0</v>
      </c>
      <c r="P399" s="2">
        <v>0.2173954810011054</v>
      </c>
      <c r="Q399" s="2">
        <v>6.3539843457804182</v>
      </c>
    </row>
    <row r="400" spans="1:17" ht="15">
      <c r="A400" s="2" t="s">
        <v>13</v>
      </c>
      <c r="B400" s="2">
        <v>1466.5537604363635</v>
      </c>
      <c r="C400" s="2">
        <v>1178.5023136180826</v>
      </c>
      <c r="D400" s="2">
        <v>514.31958228349686</v>
      </c>
      <c r="E400" s="2">
        <v>171.95476671447977</v>
      </c>
      <c r="F400" s="2">
        <v>13.90325231384486</v>
      </c>
      <c r="G400" s="2">
        <v>0.83534472096478574</v>
      </c>
      <c r="H400" s="2">
        <v>40</v>
      </c>
      <c r="I400" s="2">
        <v>25</v>
      </c>
      <c r="J400" s="2">
        <f>(IF(A400='Hybrid Calculator'!$B$6,0,1))^2+((B400-'Hybrid Calculator'!$B$7)/1500)^2+((C400-'Hybrid Calculator'!$B$8)/1300)^2+((D400-'Hybrid Calculator'!$B$9)/800)^2+((E400-'Hybrid Calculator'!$B$10)/350)^2+((F400-'Hybrid Calculator'!$B$11)/30)^2+(G400-'Hybrid Calculator'!$B$12)^2+((H400-'Hybrid Calculator'!$E$14)/IF(A400="Lightning",100,30000))^2+((I400-'Hybrid Calculator'!$E$17)/IF(A400="Lightning",100,30000))^2</f>
        <v>0.10259024950889187</v>
      </c>
      <c r="K400" s="2">
        <f t="shared" si="24"/>
        <v>210</v>
      </c>
      <c r="L400" s="2">
        <f t="shared" si="25"/>
        <v>0</v>
      </c>
      <c r="M400" s="2">
        <f t="shared" si="26"/>
        <v>0</v>
      </c>
      <c r="N400" s="2">
        <v>1.3307001967706178E-3</v>
      </c>
      <c r="O400" s="2">
        <f t="shared" si="27"/>
        <v>0</v>
      </c>
      <c r="P400" s="2">
        <v>1.778463843438864</v>
      </c>
      <c r="Q400" s="2">
        <v>0.84476682997660646</v>
      </c>
    </row>
    <row r="401" spans="1:17" ht="15">
      <c r="A401" s="2" t="s">
        <v>13</v>
      </c>
      <c r="B401" s="2">
        <v>1409.0112111414783</v>
      </c>
      <c r="C401" s="2">
        <v>1127.0870151929557</v>
      </c>
      <c r="D401" s="2">
        <v>637.6358381472528</v>
      </c>
      <c r="E401" s="2">
        <v>291.19952818844467</v>
      </c>
      <c r="F401" s="2">
        <v>25.923388039227575</v>
      </c>
      <c r="G401" s="2">
        <v>0.8494029248971493</v>
      </c>
      <c r="H401" s="2">
        <v>35</v>
      </c>
      <c r="I401" s="2">
        <v>25</v>
      </c>
      <c r="J401" s="2">
        <f>(IF(A401='Hybrid Calculator'!$B$6,0,1))^2+((B401-'Hybrid Calculator'!$B$7)/1500)^2+((C401-'Hybrid Calculator'!$B$8)/1300)^2+((D401-'Hybrid Calculator'!$B$9)/800)^2+((E401-'Hybrid Calculator'!$B$10)/350)^2+((F401-'Hybrid Calculator'!$B$11)/30)^2+(G401-'Hybrid Calculator'!$B$12)^2+((H401-'Hybrid Calculator'!$E$14)/IF(A401="Lightning",100,30000))^2+((I401-'Hybrid Calculator'!$E$17)/IF(A401="Lightning",100,30000))^2</f>
        <v>0.32249104703521814</v>
      </c>
      <c r="K401" s="2">
        <f t="shared" si="24"/>
        <v>626</v>
      </c>
      <c r="L401" s="2">
        <f t="shared" si="25"/>
        <v>0</v>
      </c>
      <c r="M401" s="2">
        <f t="shared" si="26"/>
        <v>0</v>
      </c>
      <c r="N401" s="2">
        <v>-4.1359887301704035E-3</v>
      </c>
      <c r="O401" s="2">
        <f t="shared" si="27"/>
        <v>0</v>
      </c>
      <c r="P401" s="2">
        <v>5.548733943864903E-2</v>
      </c>
      <c r="Q401" s="2">
        <v>-29.307507583530651</v>
      </c>
    </row>
    <row r="402" spans="1:17" ht="15">
      <c r="A402" s="2" t="s">
        <v>13</v>
      </c>
      <c r="B402" s="2">
        <v>1414.7913616150618</v>
      </c>
      <c r="C402" s="2">
        <v>715.27752861147746</v>
      </c>
      <c r="D402" s="2">
        <v>677.23458576947451</v>
      </c>
      <c r="E402" s="2">
        <v>232.06570230657235</v>
      </c>
      <c r="F402" s="2">
        <v>27.549097968265414</v>
      </c>
      <c r="G402" s="2">
        <v>0.82019266215385878</v>
      </c>
      <c r="H402" s="2">
        <v>45</v>
      </c>
      <c r="I402" s="2">
        <v>25</v>
      </c>
      <c r="J402" s="2">
        <f>(IF(A402='Hybrid Calculator'!$B$6,0,1))^2+((B402-'Hybrid Calculator'!$B$7)/1500)^2+((C402-'Hybrid Calculator'!$B$8)/1300)^2+((D402-'Hybrid Calculator'!$B$9)/800)^2+((E402-'Hybrid Calculator'!$B$10)/350)^2+((F402-'Hybrid Calculator'!$B$11)/30)^2+(G402-'Hybrid Calculator'!$B$12)^2+((H402-'Hybrid Calculator'!$E$14)/IF(A402="Lightning",100,30000))^2+((I402-'Hybrid Calculator'!$E$17)/IF(A402="Lightning",100,30000))^2</f>
        <v>0.20832991918327451</v>
      </c>
      <c r="K402" s="2">
        <f t="shared" si="24"/>
        <v>460</v>
      </c>
      <c r="L402" s="2">
        <f t="shared" si="25"/>
        <v>0</v>
      </c>
      <c r="M402" s="2">
        <f t="shared" si="26"/>
        <v>0</v>
      </c>
      <c r="N402" s="2">
        <v>-8.0043349898952787E-3</v>
      </c>
      <c r="O402" s="2">
        <f t="shared" si="27"/>
        <v>0</v>
      </c>
      <c r="P402" s="2">
        <v>-0.71669751687556271</v>
      </c>
      <c r="Q402" s="2">
        <v>-8.4892338295369427</v>
      </c>
    </row>
    <row r="403" spans="1:17" ht="15">
      <c r="A403" s="2" t="s">
        <v>13</v>
      </c>
      <c r="B403" s="2">
        <v>1483.3401160896756</v>
      </c>
      <c r="C403" s="2">
        <v>782.62557371053845</v>
      </c>
      <c r="D403" s="2">
        <v>434.01521006599069</v>
      </c>
      <c r="E403" s="2">
        <v>274.97642642818391</v>
      </c>
      <c r="F403" s="2">
        <v>25.179128211457282</v>
      </c>
      <c r="G403" s="2">
        <v>0.85866259061265737</v>
      </c>
      <c r="H403" s="2">
        <v>50</v>
      </c>
      <c r="I403" s="2">
        <v>25</v>
      </c>
      <c r="J403" s="2">
        <f>(IF(A403='Hybrid Calculator'!$B$6,0,1))^2+((B403-'Hybrid Calculator'!$B$7)/1500)^2+((C403-'Hybrid Calculator'!$B$8)/1300)^2+((D403-'Hybrid Calculator'!$B$9)/800)^2+((E403-'Hybrid Calculator'!$B$10)/350)^2+((F403-'Hybrid Calculator'!$B$11)/30)^2+(G403-'Hybrid Calculator'!$B$12)^2+((H403-'Hybrid Calculator'!$E$14)/IF(A403="Lightning",100,30000))^2+((I403-'Hybrid Calculator'!$E$17)/IF(A403="Lightning",100,30000))^2</f>
        <v>0.1895670104945997</v>
      </c>
      <c r="K403" s="2">
        <f t="shared" si="24"/>
        <v>423</v>
      </c>
      <c r="L403" s="2">
        <f t="shared" si="25"/>
        <v>0</v>
      </c>
      <c r="M403" s="2">
        <f t="shared" si="26"/>
        <v>0</v>
      </c>
      <c r="N403" s="2">
        <v>-1.8639727150498775E-2</v>
      </c>
      <c r="O403" s="2">
        <f t="shared" si="27"/>
        <v>0</v>
      </c>
      <c r="P403" s="2">
        <v>-0.1967638403411982</v>
      </c>
      <c r="Q403" s="2">
        <v>0.54007413158046802</v>
      </c>
    </row>
    <row r="404" spans="1:17" ht="15">
      <c r="A404" s="2" t="s">
        <v>13</v>
      </c>
      <c r="B404" s="2">
        <v>1487.964088912122</v>
      </c>
      <c r="C404" s="2">
        <v>1078.862131445203</v>
      </c>
      <c r="D404" s="2">
        <v>376.33108235895634</v>
      </c>
      <c r="E404" s="2">
        <v>104.55670683411881</v>
      </c>
      <c r="F404" s="2">
        <v>13.408484824933112</v>
      </c>
      <c r="G404" s="2">
        <v>0.81989864560542636</v>
      </c>
      <c r="H404" s="2">
        <v>45</v>
      </c>
      <c r="I404" s="2">
        <v>25</v>
      </c>
      <c r="J404" s="2">
        <f>(IF(A404='Hybrid Calculator'!$B$6,0,1))^2+((B404-'Hybrid Calculator'!$B$7)/1500)^2+((C404-'Hybrid Calculator'!$B$8)/1300)^2+((D404-'Hybrid Calculator'!$B$9)/800)^2+((E404-'Hybrid Calculator'!$B$10)/350)^2+((F404-'Hybrid Calculator'!$B$11)/30)^2+(G404-'Hybrid Calculator'!$B$12)^2+((H404-'Hybrid Calculator'!$E$14)/IF(A404="Lightning",100,30000))^2+((I404-'Hybrid Calculator'!$E$17)/IF(A404="Lightning",100,30000))^2</f>
        <v>0.10481352206865756</v>
      </c>
      <c r="K404" s="2">
        <f t="shared" si="24"/>
        <v>217</v>
      </c>
      <c r="L404" s="2">
        <f t="shared" si="25"/>
        <v>0</v>
      </c>
      <c r="M404" s="2">
        <f t="shared" si="26"/>
        <v>0</v>
      </c>
      <c r="N404" s="2">
        <v>1.6049064994493101E-2</v>
      </c>
      <c r="O404" s="2">
        <f t="shared" si="27"/>
        <v>0</v>
      </c>
      <c r="P404" s="2">
        <v>0.57179570842875194</v>
      </c>
      <c r="Q404" s="2">
        <v>0.4312255976740289</v>
      </c>
    </row>
    <row r="405" spans="1:17" ht="15">
      <c r="A405" s="2" t="s">
        <v>13</v>
      </c>
      <c r="B405" s="2">
        <v>1374.5872903964482</v>
      </c>
      <c r="C405" s="2">
        <v>794.81515693478286</v>
      </c>
      <c r="D405" s="2">
        <v>505.40987802669406</v>
      </c>
      <c r="E405" s="2">
        <v>156.0309825418517</v>
      </c>
      <c r="F405" s="2">
        <v>10.660457264166325</v>
      </c>
      <c r="G405" s="2">
        <v>0.79261269226670272</v>
      </c>
      <c r="H405" s="2">
        <v>55</v>
      </c>
      <c r="I405" s="2">
        <v>25</v>
      </c>
      <c r="J405" s="2">
        <f>(IF(A405='Hybrid Calculator'!$B$6,0,1))^2+((B405-'Hybrid Calculator'!$B$7)/1500)^2+((C405-'Hybrid Calculator'!$B$8)/1300)^2+((D405-'Hybrid Calculator'!$B$9)/800)^2+((E405-'Hybrid Calculator'!$B$10)/350)^2+((F405-'Hybrid Calculator'!$B$11)/30)^2+(G405-'Hybrid Calculator'!$B$12)^2+((H405-'Hybrid Calculator'!$E$14)/IF(A405="Lightning",100,30000))^2+((I405-'Hybrid Calculator'!$E$17)/IF(A405="Lightning",100,30000))^2</f>
        <v>7.4811380879145184E-2</v>
      </c>
      <c r="K405" s="2">
        <f t="shared" si="24"/>
        <v>121</v>
      </c>
      <c r="L405" s="2">
        <f t="shared" si="25"/>
        <v>0</v>
      </c>
      <c r="M405" s="2">
        <f t="shared" si="26"/>
        <v>0</v>
      </c>
      <c r="N405" s="2">
        <v>-3.8005479753069338E-3</v>
      </c>
      <c r="O405" s="2">
        <f t="shared" si="27"/>
        <v>0</v>
      </c>
      <c r="P405" s="2">
        <v>-0.915839916565929</v>
      </c>
      <c r="Q405" s="2">
        <v>17.491374473962651</v>
      </c>
    </row>
    <row r="406" spans="1:17" ht="15">
      <c r="A406" s="2" t="s">
        <v>13</v>
      </c>
      <c r="B406" s="2">
        <v>1405.089023290202</v>
      </c>
      <c r="C406" s="2">
        <v>1214.9100509355776</v>
      </c>
      <c r="D406" s="2">
        <v>599.83244594186544</v>
      </c>
      <c r="E406" s="2">
        <v>109.0678579476662</v>
      </c>
      <c r="F406" s="2">
        <v>28.703525241464376</v>
      </c>
      <c r="G406" s="2">
        <v>0.83628286693478004</v>
      </c>
      <c r="H406" s="2">
        <v>35</v>
      </c>
      <c r="I406" s="2">
        <v>25</v>
      </c>
      <c r="J406" s="2">
        <f>(IF(A406='Hybrid Calculator'!$B$6,0,1))^2+((B406-'Hybrid Calculator'!$B$7)/1500)^2+((C406-'Hybrid Calculator'!$B$8)/1300)^2+((D406-'Hybrid Calculator'!$B$9)/800)^2+((E406-'Hybrid Calculator'!$B$10)/350)^2+((F406-'Hybrid Calculator'!$B$11)/30)^2+(G406-'Hybrid Calculator'!$B$12)^2+((H406-'Hybrid Calculator'!$E$14)/IF(A406="Lightning",100,30000))^2+((I406-'Hybrid Calculator'!$E$17)/IF(A406="Lightning",100,30000))^2</f>
        <v>0.24666350820983771</v>
      </c>
      <c r="K406" s="2">
        <f t="shared" si="24"/>
        <v>533</v>
      </c>
      <c r="L406" s="2">
        <f t="shared" si="25"/>
        <v>0</v>
      </c>
      <c r="M406" s="2">
        <f t="shared" si="26"/>
        <v>0</v>
      </c>
      <c r="N406" s="2">
        <v>-5.1304653838060155E-3</v>
      </c>
      <c r="O406" s="2">
        <f t="shared" si="27"/>
        <v>0</v>
      </c>
      <c r="P406" s="2">
        <v>0.55595149404231847</v>
      </c>
      <c r="Q406" s="2">
        <v>-27.85881396327909</v>
      </c>
    </row>
    <row r="407" spans="1:17" ht="15">
      <c r="A407" s="2" t="s">
        <v>13</v>
      </c>
      <c r="B407" s="2">
        <v>1440.9042280283757</v>
      </c>
      <c r="C407" s="2">
        <v>797.46622096281499</v>
      </c>
      <c r="D407" s="2">
        <v>451.47219197824597</v>
      </c>
      <c r="E407" s="2">
        <v>264.23736188560724</v>
      </c>
      <c r="F407" s="2">
        <v>8.3352477573789656</v>
      </c>
      <c r="G407" s="2">
        <v>0.80103087562602016</v>
      </c>
      <c r="H407" s="2">
        <v>50</v>
      </c>
      <c r="I407" s="2">
        <v>25</v>
      </c>
      <c r="J407" s="2">
        <f>(IF(A407='Hybrid Calculator'!$B$6,0,1))^2+((B407-'Hybrid Calculator'!$B$7)/1500)^2+((C407-'Hybrid Calculator'!$B$8)/1300)^2+((D407-'Hybrid Calculator'!$B$9)/800)^2+((E407-'Hybrid Calculator'!$B$10)/350)^2+((F407-'Hybrid Calculator'!$B$11)/30)^2+(G407-'Hybrid Calculator'!$B$12)^2+((H407-'Hybrid Calculator'!$E$14)/IF(A407="Lightning",100,30000))^2+((I407-'Hybrid Calculator'!$E$17)/IF(A407="Lightning",100,30000))^2</f>
        <v>0.22711934134132764</v>
      </c>
      <c r="K407" s="2">
        <f t="shared" si="24"/>
        <v>502</v>
      </c>
      <c r="L407" s="2">
        <f t="shared" si="25"/>
        <v>0</v>
      </c>
      <c r="M407" s="2">
        <f t="shared" si="26"/>
        <v>0</v>
      </c>
      <c r="N407" s="2">
        <v>7.1715903440503492E-3</v>
      </c>
      <c r="O407" s="2">
        <f t="shared" si="27"/>
        <v>0</v>
      </c>
      <c r="P407" s="2">
        <v>-0.65964988734874197</v>
      </c>
      <c r="Q407" s="2">
        <v>2.6596368988937229</v>
      </c>
    </row>
    <row r="408" spans="1:17" ht="15">
      <c r="A408" s="2" t="s">
        <v>13</v>
      </c>
      <c r="B408" s="2">
        <v>1399.2843242827803</v>
      </c>
      <c r="C408" s="2">
        <v>709.57696008263156</v>
      </c>
      <c r="D408" s="2">
        <v>653.33890747278929</v>
      </c>
      <c r="E408" s="2">
        <v>135.86770857917145</v>
      </c>
      <c r="F408" s="2">
        <v>8.5842969939112663</v>
      </c>
      <c r="G408" s="2">
        <v>0.8095595449418761</v>
      </c>
      <c r="H408" s="2">
        <v>50</v>
      </c>
      <c r="I408" s="2">
        <v>25</v>
      </c>
      <c r="J408" s="2">
        <f>(IF(A408='Hybrid Calculator'!$B$6,0,1))^2+((B408-'Hybrid Calculator'!$B$7)/1500)^2+((C408-'Hybrid Calculator'!$B$8)/1300)^2+((D408-'Hybrid Calculator'!$B$9)/800)^2+((E408-'Hybrid Calculator'!$B$10)/350)^2+((F408-'Hybrid Calculator'!$B$11)/30)^2+(G408-'Hybrid Calculator'!$B$12)^2+((H408-'Hybrid Calculator'!$E$14)/IF(A408="Lightning",100,30000))^2+((I408-'Hybrid Calculator'!$E$17)/IF(A408="Lightning",100,30000))^2</f>
        <v>0.15968564403280391</v>
      </c>
      <c r="K408" s="2">
        <f t="shared" si="24"/>
        <v>352</v>
      </c>
      <c r="L408" s="2">
        <f t="shared" si="25"/>
        <v>0</v>
      </c>
      <c r="M408" s="2">
        <f t="shared" si="26"/>
        <v>0</v>
      </c>
      <c r="N408" s="2">
        <v>-2.6902284776970653E-3</v>
      </c>
      <c r="O408" s="2">
        <f t="shared" si="27"/>
        <v>0</v>
      </c>
      <c r="P408" s="2">
        <v>0.35359977427050637</v>
      </c>
      <c r="Q408" s="2">
        <v>12.331285008718623</v>
      </c>
    </row>
    <row r="409" spans="1:17" ht="15">
      <c r="A409" s="2" t="s">
        <v>13</v>
      </c>
      <c r="B409" s="2">
        <v>1465.9565365989693</v>
      </c>
      <c r="C409" s="2">
        <v>987.80124594923109</v>
      </c>
      <c r="D409" s="2">
        <v>609.91250844672322</v>
      </c>
      <c r="E409" s="2">
        <v>181.59341944381595</v>
      </c>
      <c r="F409" s="2">
        <v>16.40547056356445</v>
      </c>
      <c r="G409" s="2">
        <v>0.79344690346624702</v>
      </c>
      <c r="H409" s="2">
        <v>35</v>
      </c>
      <c r="I409" s="2">
        <v>25</v>
      </c>
      <c r="J409" s="2">
        <f>(IF(A409='Hybrid Calculator'!$B$6,0,1))^2+((B409-'Hybrid Calculator'!$B$7)/1500)^2+((C409-'Hybrid Calculator'!$B$8)/1300)^2+((D409-'Hybrid Calculator'!$B$9)/800)^2+((E409-'Hybrid Calculator'!$B$10)/350)^2+((F409-'Hybrid Calculator'!$B$11)/30)^2+(G409-'Hybrid Calculator'!$B$12)^2+((H409-'Hybrid Calculator'!$E$14)/IF(A409="Lightning",100,30000))^2+((I409-'Hybrid Calculator'!$E$17)/IF(A409="Lightning",100,30000))^2</f>
        <v>6.7085604295790607E-2</v>
      </c>
      <c r="K409" s="2">
        <f t="shared" si="24"/>
        <v>103</v>
      </c>
      <c r="L409" s="2">
        <f t="shared" si="25"/>
        <v>0</v>
      </c>
      <c r="M409" s="2">
        <f t="shared" si="26"/>
        <v>0</v>
      </c>
      <c r="N409" s="2">
        <v>1.7074153821376781E-2</v>
      </c>
      <c r="O409" s="2">
        <f t="shared" si="27"/>
        <v>0</v>
      </c>
      <c r="P409" s="2">
        <v>-3.9226551495289641E-2</v>
      </c>
      <c r="Q409" s="2">
        <v>3.2297727031618706</v>
      </c>
    </row>
    <row r="410" spans="1:17" ht="15">
      <c r="A410" s="2" t="s">
        <v>13</v>
      </c>
      <c r="B410" s="2">
        <v>1471.3450289564207</v>
      </c>
      <c r="C410" s="2">
        <v>1118.8468225416727</v>
      </c>
      <c r="D410" s="2">
        <v>418.1448370218277</v>
      </c>
      <c r="E410" s="2">
        <v>129.54434180399403</v>
      </c>
      <c r="F410" s="2">
        <v>17.201129200868309</v>
      </c>
      <c r="G410" s="2">
        <v>0.84337999775772921</v>
      </c>
      <c r="H410" s="2">
        <v>45</v>
      </c>
      <c r="I410" s="2">
        <v>25</v>
      </c>
      <c r="J410" s="2">
        <f>(IF(A410='Hybrid Calculator'!$B$6,0,1))^2+((B410-'Hybrid Calculator'!$B$7)/1500)^2+((C410-'Hybrid Calculator'!$B$8)/1300)^2+((D410-'Hybrid Calculator'!$B$9)/800)^2+((E410-'Hybrid Calculator'!$B$10)/350)^2+((F410-'Hybrid Calculator'!$B$11)/30)^2+(G410-'Hybrid Calculator'!$B$12)^2+((H410-'Hybrid Calculator'!$E$14)/IF(A410="Lightning",100,30000))^2+((I410-'Hybrid Calculator'!$E$17)/IF(A410="Lightning",100,30000))^2</f>
        <v>6.2529112859331826E-2</v>
      </c>
      <c r="K410" s="2">
        <f t="shared" si="24"/>
        <v>89</v>
      </c>
      <c r="L410" s="2">
        <f t="shared" si="25"/>
        <v>0</v>
      </c>
      <c r="M410" s="2">
        <f t="shared" si="26"/>
        <v>0</v>
      </c>
      <c r="N410" s="2">
        <v>5.8085988129441546E-4</v>
      </c>
      <c r="O410" s="2">
        <f t="shared" si="27"/>
        <v>0</v>
      </c>
      <c r="P410" s="2">
        <v>6.9759698040257945E-2</v>
      </c>
      <c r="Q410" s="2">
        <v>9.9150744353291884</v>
      </c>
    </row>
    <row r="411" spans="1:17" ht="15">
      <c r="A411" s="2" t="s">
        <v>13</v>
      </c>
      <c r="B411" s="2">
        <v>1401.5256670187227</v>
      </c>
      <c r="C411" s="2">
        <v>1233.9863200671971</v>
      </c>
      <c r="D411" s="2">
        <v>462.52555912360549</v>
      </c>
      <c r="E411" s="2">
        <v>142.95463035348803</v>
      </c>
      <c r="F411" s="2">
        <v>18.1293396926485</v>
      </c>
      <c r="G411" s="2">
        <v>0.81655354910530153</v>
      </c>
      <c r="H411" s="2">
        <v>40</v>
      </c>
      <c r="I411" s="2">
        <v>25</v>
      </c>
      <c r="J411" s="2">
        <f>(IF(A411='Hybrid Calculator'!$B$6,0,1))^2+((B411-'Hybrid Calculator'!$B$7)/1500)^2+((C411-'Hybrid Calculator'!$B$8)/1300)^2+((D411-'Hybrid Calculator'!$B$9)/800)^2+((E411-'Hybrid Calculator'!$B$10)/350)^2+((F411-'Hybrid Calculator'!$B$11)/30)^2+(G411-'Hybrid Calculator'!$B$12)^2+((H411-'Hybrid Calculator'!$E$14)/IF(A411="Lightning",100,30000))^2+((I411-'Hybrid Calculator'!$E$17)/IF(A411="Lightning",100,30000))^2</f>
        <v>0.10025476889927701</v>
      </c>
      <c r="K411" s="2">
        <f t="shared" si="24"/>
        <v>208</v>
      </c>
      <c r="L411" s="2">
        <f t="shared" si="25"/>
        <v>0</v>
      </c>
      <c r="M411" s="2">
        <f t="shared" si="26"/>
        <v>0</v>
      </c>
      <c r="N411" s="2">
        <v>-1.2642545064938115E-3</v>
      </c>
      <c r="O411" s="2">
        <f t="shared" si="27"/>
        <v>0</v>
      </c>
      <c r="P411" s="2">
        <v>1.6391169584308969</v>
      </c>
      <c r="Q411" s="2">
        <v>-1.2737445309312534</v>
      </c>
    </row>
    <row r="412" spans="1:17" ht="15">
      <c r="A412" s="2" t="s">
        <v>13</v>
      </c>
      <c r="B412" s="2">
        <v>1368.311601318419</v>
      </c>
      <c r="C412" s="2">
        <v>615.57719487464055</v>
      </c>
      <c r="D412" s="2">
        <v>524.6110113337636</v>
      </c>
      <c r="E412" s="2">
        <v>135.04220124566928</v>
      </c>
      <c r="F412" s="2">
        <v>23.755998795852065</v>
      </c>
      <c r="G412" s="2">
        <v>0.83801096701296052</v>
      </c>
      <c r="H412" s="2">
        <v>60</v>
      </c>
      <c r="I412" s="2">
        <v>25</v>
      </c>
      <c r="J412" s="2">
        <f>(IF(A412='Hybrid Calculator'!$B$6,0,1))^2+((B412-'Hybrid Calculator'!$B$7)/1500)^2+((C412-'Hybrid Calculator'!$B$8)/1300)^2+((D412-'Hybrid Calculator'!$B$9)/800)^2+((E412-'Hybrid Calculator'!$B$10)/350)^2+((F412-'Hybrid Calculator'!$B$11)/30)^2+(G412-'Hybrid Calculator'!$B$12)^2+((H412-'Hybrid Calculator'!$E$14)/IF(A412="Lightning",100,30000))^2+((I412-'Hybrid Calculator'!$E$17)/IF(A412="Lightning",100,30000))^2</f>
        <v>7.7737689914537722E-2</v>
      </c>
      <c r="K412" s="2">
        <f t="shared" si="24"/>
        <v>132</v>
      </c>
      <c r="L412" s="2">
        <f t="shared" si="25"/>
        <v>0</v>
      </c>
      <c r="M412" s="2">
        <f t="shared" si="26"/>
        <v>0</v>
      </c>
      <c r="N412" s="2">
        <v>-9.8942171116664923E-3</v>
      </c>
      <c r="O412" s="2">
        <f t="shared" si="27"/>
        <v>0</v>
      </c>
      <c r="P412" s="2">
        <v>-7.5922094969953946E-2</v>
      </c>
      <c r="Q412" s="2">
        <v>-1.5932897299176147</v>
      </c>
    </row>
    <row r="413" spans="1:17" ht="15">
      <c r="A413" s="2" t="s">
        <v>13</v>
      </c>
      <c r="B413" s="2">
        <v>1425.487536995206</v>
      </c>
      <c r="C413" s="2">
        <v>1154.3509453767911</v>
      </c>
      <c r="D413" s="2">
        <v>510.49076030030847</v>
      </c>
      <c r="E413" s="2">
        <v>190.76003755442798</v>
      </c>
      <c r="F413" s="2">
        <v>22.126400415319949</v>
      </c>
      <c r="G413" s="2">
        <v>0.85314256404060873</v>
      </c>
      <c r="H413" s="2">
        <v>40</v>
      </c>
      <c r="I413" s="2">
        <v>25</v>
      </c>
      <c r="J413" s="2">
        <f>(IF(A413='Hybrid Calculator'!$B$6,0,1))^2+((B413-'Hybrid Calculator'!$B$7)/1500)^2+((C413-'Hybrid Calculator'!$B$8)/1300)^2+((D413-'Hybrid Calculator'!$B$9)/800)^2+((E413-'Hybrid Calculator'!$B$10)/350)^2+((F413-'Hybrid Calculator'!$B$11)/30)^2+(G413-'Hybrid Calculator'!$B$12)^2+((H413-'Hybrid Calculator'!$E$14)/IF(A413="Lightning",100,30000))^2+((I413-'Hybrid Calculator'!$E$17)/IF(A413="Lightning",100,30000))^2</f>
        <v>9.4255120451274793E-2</v>
      </c>
      <c r="K413" s="2">
        <f t="shared" si="24"/>
        <v>185</v>
      </c>
      <c r="L413" s="2">
        <f t="shared" si="25"/>
        <v>0</v>
      </c>
      <c r="M413" s="2">
        <f t="shared" si="26"/>
        <v>0</v>
      </c>
      <c r="N413" s="2">
        <v>9.5840882776603298E-3</v>
      </c>
      <c r="O413" s="2">
        <f t="shared" si="27"/>
        <v>0</v>
      </c>
      <c r="P413" s="2">
        <v>1.3084363336422626</v>
      </c>
      <c r="Q413" s="2">
        <v>-12.826139893948721</v>
      </c>
    </row>
    <row r="414" spans="1:17" ht="15">
      <c r="A414" s="2" t="s">
        <v>13</v>
      </c>
      <c r="B414" s="2">
        <v>1377.2796521661803</v>
      </c>
      <c r="C414" s="2">
        <v>1243.2057979167439</v>
      </c>
      <c r="D414" s="2">
        <v>586.44403107464314</v>
      </c>
      <c r="E414" s="2">
        <v>264.53231843886897</v>
      </c>
      <c r="F414" s="2">
        <v>27.040247739292681</v>
      </c>
      <c r="G414" s="2">
        <v>0.83951463221339517</v>
      </c>
      <c r="H414" s="2">
        <v>30</v>
      </c>
      <c r="I414" s="2">
        <v>25</v>
      </c>
      <c r="J414" s="2">
        <f>(IF(A414='Hybrid Calculator'!$B$6,0,1))^2+((B414-'Hybrid Calculator'!$B$7)/1500)^2+((C414-'Hybrid Calculator'!$B$8)/1300)^2+((D414-'Hybrid Calculator'!$B$9)/800)^2+((E414-'Hybrid Calculator'!$B$10)/350)^2+((F414-'Hybrid Calculator'!$B$11)/30)^2+(G414-'Hybrid Calculator'!$B$12)^2+((H414-'Hybrid Calculator'!$E$14)/IF(A414="Lightning",100,30000))^2+((I414-'Hybrid Calculator'!$E$17)/IF(A414="Lightning",100,30000))^2</f>
        <v>0.33267718132902047</v>
      </c>
      <c r="K414" s="2">
        <f t="shared" si="24"/>
        <v>637</v>
      </c>
      <c r="L414" s="2">
        <f t="shared" si="25"/>
        <v>0</v>
      </c>
      <c r="M414" s="2">
        <f t="shared" si="26"/>
        <v>0</v>
      </c>
      <c r="N414" s="2">
        <v>-3.959127386814032E-3</v>
      </c>
      <c r="O414" s="2">
        <f t="shared" si="27"/>
        <v>0</v>
      </c>
      <c r="P414" s="2">
        <v>1.7471135471748269</v>
      </c>
      <c r="Q414" s="2">
        <v>-22.51066052351598</v>
      </c>
    </row>
    <row r="415" spans="1:17" ht="15">
      <c r="A415" s="2" t="s">
        <v>13</v>
      </c>
      <c r="B415" s="2">
        <v>1446.9649220234714</v>
      </c>
      <c r="C415" s="2">
        <v>1129.7123638447374</v>
      </c>
      <c r="D415" s="2">
        <v>642.84482700750232</v>
      </c>
      <c r="E415" s="2">
        <v>98.81365745794028</v>
      </c>
      <c r="F415" s="2">
        <v>17.87335107056424</v>
      </c>
      <c r="G415" s="2">
        <v>0.80554072018712763</v>
      </c>
      <c r="H415" s="2">
        <v>40</v>
      </c>
      <c r="I415" s="2">
        <v>25</v>
      </c>
      <c r="J415" s="2">
        <f>(IF(A415='Hybrid Calculator'!$B$6,0,1))^2+((B415-'Hybrid Calculator'!$B$7)/1500)^2+((C415-'Hybrid Calculator'!$B$8)/1300)^2+((D415-'Hybrid Calculator'!$B$9)/800)^2+((E415-'Hybrid Calculator'!$B$10)/350)^2+((F415-'Hybrid Calculator'!$B$11)/30)^2+(G415-'Hybrid Calculator'!$B$12)^2+((H415-'Hybrid Calculator'!$E$14)/IF(A415="Lightning",100,30000))^2+((I415-'Hybrid Calculator'!$E$17)/IF(A415="Lightning",100,30000))^2</f>
        <v>0.11042543994969087</v>
      </c>
      <c r="K415" s="2">
        <f t="shared" si="24"/>
        <v>230</v>
      </c>
      <c r="L415" s="2">
        <f t="shared" si="25"/>
        <v>0</v>
      </c>
      <c r="M415" s="2">
        <f t="shared" si="26"/>
        <v>0</v>
      </c>
      <c r="N415" s="2">
        <v>1.790389733044262E-2</v>
      </c>
      <c r="O415" s="2">
        <f t="shared" si="27"/>
        <v>0</v>
      </c>
      <c r="P415" s="2">
        <v>1.3333234991868039</v>
      </c>
      <c r="Q415" s="2">
        <v>-7.9952199658991958</v>
      </c>
    </row>
    <row r="416" spans="1:17" ht="15">
      <c r="A416" s="2" t="s">
        <v>13</v>
      </c>
      <c r="B416" s="2">
        <v>1400.9556659962982</v>
      </c>
      <c r="C416" s="2">
        <v>1099.8616314376704</v>
      </c>
      <c r="D416" s="2">
        <v>648.77721276134253</v>
      </c>
      <c r="E416" s="2">
        <v>226.56172675313428</v>
      </c>
      <c r="F416" s="2">
        <v>27.117186356335878</v>
      </c>
      <c r="G416" s="2">
        <v>0.85304223984712735</v>
      </c>
      <c r="H416" s="2">
        <v>35</v>
      </c>
      <c r="I416" s="2">
        <v>25</v>
      </c>
      <c r="J416" s="2">
        <f>(IF(A416='Hybrid Calculator'!$B$6,0,1))^2+((B416-'Hybrid Calculator'!$B$7)/1500)^2+((C416-'Hybrid Calculator'!$B$8)/1300)^2+((D416-'Hybrid Calculator'!$B$9)/800)^2+((E416-'Hybrid Calculator'!$B$10)/350)^2+((F416-'Hybrid Calculator'!$B$11)/30)^2+(G416-'Hybrid Calculator'!$B$12)^2+((H416-'Hybrid Calculator'!$E$14)/IF(A416="Lightning",100,30000))^2+((I416-'Hybrid Calculator'!$E$17)/IF(A416="Lightning",100,30000))^2</f>
        <v>0.22573261570969458</v>
      </c>
      <c r="K416" s="2">
        <f t="shared" si="24"/>
        <v>500</v>
      </c>
      <c r="L416" s="2">
        <f t="shared" si="25"/>
        <v>0</v>
      </c>
      <c r="M416" s="2">
        <f t="shared" si="26"/>
        <v>0</v>
      </c>
      <c r="N416" s="2">
        <v>-5.7101850005580879E-3</v>
      </c>
      <c r="O416" s="2">
        <f t="shared" si="27"/>
        <v>0</v>
      </c>
      <c r="P416" s="2">
        <v>0.35196165909759713</v>
      </c>
      <c r="Q416" s="2">
        <v>-25.619305972331631</v>
      </c>
    </row>
    <row r="417" spans="1:17" ht="15">
      <c r="A417" s="2" t="s">
        <v>13</v>
      </c>
      <c r="B417" s="2">
        <v>1463.631010253448</v>
      </c>
      <c r="C417" s="2">
        <v>1001.9267049385235</v>
      </c>
      <c r="D417" s="2">
        <v>443.52737115696073</v>
      </c>
      <c r="E417" s="2">
        <v>293.68889324367046</v>
      </c>
      <c r="F417" s="2">
        <v>13.635820413473994</v>
      </c>
      <c r="G417" s="2">
        <v>0.83825937836896636</v>
      </c>
      <c r="H417" s="2">
        <v>45</v>
      </c>
      <c r="I417" s="2">
        <v>25</v>
      </c>
      <c r="J417" s="2">
        <f>(IF(A417='Hybrid Calculator'!$B$6,0,1))^2+((B417-'Hybrid Calculator'!$B$7)/1500)^2+((C417-'Hybrid Calculator'!$B$8)/1300)^2+((D417-'Hybrid Calculator'!$B$9)/800)^2+((E417-'Hybrid Calculator'!$B$10)/350)^2+((F417-'Hybrid Calculator'!$B$11)/30)^2+(G417-'Hybrid Calculator'!$B$12)^2+((H417-'Hybrid Calculator'!$E$14)/IF(A417="Lightning",100,30000))^2+((I417-'Hybrid Calculator'!$E$17)/IF(A417="Lightning",100,30000))^2</f>
        <v>0.21696955760132877</v>
      </c>
      <c r="K417" s="2">
        <f t="shared" si="24"/>
        <v>481</v>
      </c>
      <c r="L417" s="2">
        <f t="shared" si="25"/>
        <v>0</v>
      </c>
      <c r="M417" s="2">
        <f t="shared" si="26"/>
        <v>0</v>
      </c>
      <c r="N417" s="2">
        <v>9.293632046812883E-3</v>
      </c>
      <c r="O417" s="2">
        <f t="shared" si="27"/>
        <v>0</v>
      </c>
      <c r="P417" s="2">
        <v>1.1986313749683646</v>
      </c>
      <c r="Q417" s="2">
        <v>8.674036224850397</v>
      </c>
    </row>
    <row r="418" spans="1:17" ht="15">
      <c r="A418" s="2" t="s">
        <v>13</v>
      </c>
      <c r="B418" s="2">
        <v>1449.3687128880993</v>
      </c>
      <c r="C418" s="2">
        <v>782.99779045628384</v>
      </c>
      <c r="D418" s="2">
        <v>504.21749427914619</v>
      </c>
      <c r="E418" s="2">
        <v>185.68261559819803</v>
      </c>
      <c r="F418" s="2">
        <v>22.497611372731626</v>
      </c>
      <c r="G418" s="2">
        <v>0.84652083663037048</v>
      </c>
      <c r="H418" s="2">
        <v>50</v>
      </c>
      <c r="I418" s="2">
        <v>25</v>
      </c>
      <c r="J418" s="2">
        <f>(IF(A418='Hybrid Calculator'!$B$6,0,1))^2+((B418-'Hybrid Calculator'!$B$7)/1500)^2+((C418-'Hybrid Calculator'!$B$8)/1300)^2+((D418-'Hybrid Calculator'!$B$9)/800)^2+((E418-'Hybrid Calculator'!$B$10)/350)^2+((F418-'Hybrid Calculator'!$B$11)/30)^2+(G418-'Hybrid Calculator'!$B$12)^2+((H418-'Hybrid Calculator'!$E$14)/IF(A418="Lightning",100,30000))^2+((I418-'Hybrid Calculator'!$E$17)/IF(A418="Lightning",100,30000))^2</f>
        <v>3.1801883597430081E-2</v>
      </c>
      <c r="K418" s="2">
        <f t="shared" si="24"/>
        <v>26</v>
      </c>
      <c r="L418" s="2">
        <f t="shared" si="25"/>
        <v>0</v>
      </c>
      <c r="M418" s="2">
        <f t="shared" si="26"/>
        <v>0</v>
      </c>
      <c r="N418" s="2">
        <v>-1.4832823122895133E-2</v>
      </c>
      <c r="O418" s="2">
        <f t="shared" si="27"/>
        <v>0</v>
      </c>
      <c r="P418" s="2">
        <v>0.21084339832147236</v>
      </c>
      <c r="Q418" s="2">
        <v>2.0074473390586718</v>
      </c>
    </row>
    <row r="419" spans="1:17" ht="15">
      <c r="A419" s="2" t="s">
        <v>13</v>
      </c>
      <c r="B419" s="2">
        <v>1383.8170036557131</v>
      </c>
      <c r="C419" s="2">
        <v>1178.1542940065265</v>
      </c>
      <c r="D419" s="2">
        <v>429.80024358257651</v>
      </c>
      <c r="E419" s="2">
        <v>326.79779831785709</v>
      </c>
      <c r="F419" s="2">
        <v>22.455058136489242</v>
      </c>
      <c r="G419" s="2">
        <v>0.80539406641386457</v>
      </c>
      <c r="H419" s="2">
        <v>35</v>
      </c>
      <c r="I419" s="2">
        <v>25</v>
      </c>
      <c r="J419" s="2">
        <f>(IF(A419='Hybrid Calculator'!$B$6,0,1))^2+((B419-'Hybrid Calculator'!$B$7)/1500)^2+((C419-'Hybrid Calculator'!$B$8)/1300)^2+((D419-'Hybrid Calculator'!$B$9)/800)^2+((E419-'Hybrid Calculator'!$B$10)/350)^2+((F419-'Hybrid Calculator'!$B$11)/30)^2+(G419-'Hybrid Calculator'!$B$12)^2+((H419-'Hybrid Calculator'!$E$14)/IF(A419="Lightning",100,30000))^2+((I419-'Hybrid Calculator'!$E$17)/IF(A419="Lightning",100,30000))^2</f>
        <v>0.36742970455293905</v>
      </c>
      <c r="K419" s="2">
        <f t="shared" si="24"/>
        <v>665</v>
      </c>
      <c r="L419" s="2">
        <f t="shared" si="25"/>
        <v>0</v>
      </c>
      <c r="M419" s="2">
        <f t="shared" si="26"/>
        <v>0</v>
      </c>
      <c r="N419" s="2">
        <v>8.1579530382289711E-3</v>
      </c>
      <c r="O419" s="2">
        <f t="shared" si="27"/>
        <v>0</v>
      </c>
      <c r="P419" s="2">
        <v>0.27044709081548746</v>
      </c>
      <c r="Q419" s="2">
        <v>-12.077930459729714</v>
      </c>
    </row>
    <row r="420" spans="1:17" ht="15">
      <c r="A420" s="2" t="s">
        <v>13</v>
      </c>
      <c r="B420" s="2">
        <v>1368.0254892446101</v>
      </c>
      <c r="C420" s="2">
        <v>655.87868219008669</v>
      </c>
      <c r="D420" s="2">
        <v>668.10254547744989</v>
      </c>
      <c r="E420" s="2">
        <v>163.71127588907257</v>
      </c>
      <c r="F420" s="2">
        <v>14.205430151894689</v>
      </c>
      <c r="G420" s="2">
        <v>0.8244179751654156</v>
      </c>
      <c r="H420" s="2">
        <v>50</v>
      </c>
      <c r="I420" s="2">
        <v>25</v>
      </c>
      <c r="J420" s="2">
        <f>(IF(A420='Hybrid Calculator'!$B$6,0,1))^2+((B420-'Hybrid Calculator'!$B$7)/1500)^2+((C420-'Hybrid Calculator'!$B$8)/1300)^2+((D420-'Hybrid Calculator'!$B$9)/800)^2+((E420-'Hybrid Calculator'!$B$10)/350)^2+((F420-'Hybrid Calculator'!$B$11)/30)^2+(G420-'Hybrid Calculator'!$B$12)^2+((H420-'Hybrid Calculator'!$E$14)/IF(A420="Lightning",100,30000))^2+((I420-'Hybrid Calculator'!$E$17)/IF(A420="Lightning",100,30000))^2</f>
        <v>8.994103969452609E-2</v>
      </c>
      <c r="K420" s="2">
        <f t="shared" si="24"/>
        <v>173</v>
      </c>
      <c r="L420" s="2">
        <f t="shared" si="25"/>
        <v>0</v>
      </c>
      <c r="M420" s="2">
        <f t="shared" si="26"/>
        <v>0</v>
      </c>
      <c r="N420" s="2">
        <v>9.0582069862397141E-3</v>
      </c>
      <c r="O420" s="2">
        <f t="shared" si="27"/>
        <v>0</v>
      </c>
      <c r="P420" s="2">
        <v>-0.11889894712020777</v>
      </c>
      <c r="Q420" s="2">
        <v>11.387624808611918</v>
      </c>
    </row>
    <row r="421" spans="1:17" ht="15">
      <c r="A421" s="2" t="s">
        <v>13</v>
      </c>
      <c r="B421" s="2">
        <v>1453.5109240212478</v>
      </c>
      <c r="C421" s="2">
        <v>1060.2722079725936</v>
      </c>
      <c r="D421" s="2">
        <v>688.71985459700227</v>
      </c>
      <c r="E421" s="2">
        <v>180.2501652110368</v>
      </c>
      <c r="F421" s="2">
        <v>26.943310693372041</v>
      </c>
      <c r="G421" s="2">
        <v>0.81998984704259792</v>
      </c>
      <c r="H421" s="2">
        <v>35</v>
      </c>
      <c r="I421" s="2">
        <v>25</v>
      </c>
      <c r="J421" s="2">
        <f>(IF(A421='Hybrid Calculator'!$B$6,0,1))^2+((B421-'Hybrid Calculator'!$B$7)/1500)^2+((C421-'Hybrid Calculator'!$B$8)/1300)^2+((D421-'Hybrid Calculator'!$B$9)/800)^2+((E421-'Hybrid Calculator'!$B$10)/350)^2+((F421-'Hybrid Calculator'!$B$11)/30)^2+(G421-'Hybrid Calculator'!$B$12)^2+((H421-'Hybrid Calculator'!$E$14)/IF(A421="Lightning",100,30000))^2+((I421-'Hybrid Calculator'!$E$17)/IF(A421="Lightning",100,30000))^2</f>
        <v>0.19135289893582288</v>
      </c>
      <c r="K421" s="2">
        <f t="shared" si="24"/>
        <v>428</v>
      </c>
      <c r="L421" s="2">
        <f t="shared" si="25"/>
        <v>0</v>
      </c>
      <c r="M421" s="2">
        <f t="shared" si="26"/>
        <v>0</v>
      </c>
      <c r="N421" s="2">
        <v>6.2086997356605167E-3</v>
      </c>
      <c r="O421" s="2">
        <f t="shared" si="27"/>
        <v>0</v>
      </c>
      <c r="P421" s="2">
        <v>-0.19835534108342756</v>
      </c>
      <c r="Q421" s="2">
        <v>-25.638269091608436</v>
      </c>
    </row>
    <row r="422" spans="1:17" ht="15">
      <c r="A422" s="2" t="s">
        <v>13</v>
      </c>
      <c r="B422" s="2">
        <v>1355.565769225359</v>
      </c>
      <c r="C422" s="2">
        <v>1022.196825069841</v>
      </c>
      <c r="D422" s="2">
        <v>395.34988272935152</v>
      </c>
      <c r="E422" s="2">
        <v>147.48578936094418</v>
      </c>
      <c r="F422" s="2">
        <v>16.144665656611323</v>
      </c>
      <c r="G422" s="2">
        <v>0.82434952934505423</v>
      </c>
      <c r="H422" s="2">
        <v>50</v>
      </c>
      <c r="I422" s="2">
        <v>25</v>
      </c>
      <c r="J422" s="2">
        <f>(IF(A422='Hybrid Calculator'!$B$6,0,1))^2+((B422-'Hybrid Calculator'!$B$7)/1500)^2+((C422-'Hybrid Calculator'!$B$8)/1300)^2+((D422-'Hybrid Calculator'!$B$9)/800)^2+((E422-'Hybrid Calculator'!$B$10)/350)^2+((F422-'Hybrid Calculator'!$B$11)/30)^2+(G422-'Hybrid Calculator'!$B$12)^2+((H422-'Hybrid Calculator'!$E$14)/IF(A422="Lightning",100,30000))^2+((I422-'Hybrid Calculator'!$E$17)/IF(A422="Lightning",100,30000))^2</f>
        <v>4.3034597642124139E-2</v>
      </c>
      <c r="K422" s="2">
        <f t="shared" si="24"/>
        <v>39</v>
      </c>
      <c r="L422" s="2">
        <f t="shared" si="25"/>
        <v>0</v>
      </c>
      <c r="M422" s="2">
        <f t="shared" si="26"/>
        <v>0</v>
      </c>
      <c r="N422" s="2">
        <v>-4.7635662840470605E-3</v>
      </c>
      <c r="O422" s="2">
        <f t="shared" si="27"/>
        <v>0</v>
      </c>
      <c r="P422" s="2">
        <v>0.28336689679520788</v>
      </c>
      <c r="Q422" s="2">
        <v>1.7445550821978486</v>
      </c>
    </row>
    <row r="423" spans="1:17" ht="15">
      <c r="A423" s="2" t="s">
        <v>13</v>
      </c>
      <c r="B423" s="2">
        <v>1419.5499716908671</v>
      </c>
      <c r="C423" s="2">
        <v>1042.1687247464433</v>
      </c>
      <c r="D423" s="2">
        <v>473.07861903682351</v>
      </c>
      <c r="E423" s="2">
        <v>287.98716112039983</v>
      </c>
      <c r="F423" s="2">
        <v>20.1775215533562</v>
      </c>
      <c r="G423" s="2">
        <v>0.80990894064772878</v>
      </c>
      <c r="H423" s="2">
        <v>40</v>
      </c>
      <c r="I423" s="2">
        <v>25</v>
      </c>
      <c r="J423" s="2">
        <f>(IF(A423='Hybrid Calculator'!$B$6,0,1))^2+((B423-'Hybrid Calculator'!$B$7)/1500)^2+((C423-'Hybrid Calculator'!$B$8)/1300)^2+((D423-'Hybrid Calculator'!$B$9)/800)^2+((E423-'Hybrid Calculator'!$B$10)/350)^2+((F423-'Hybrid Calculator'!$B$11)/30)^2+(G423-'Hybrid Calculator'!$B$12)^2+((H423-'Hybrid Calculator'!$E$14)/IF(A423="Lightning",100,30000))^2+((I423-'Hybrid Calculator'!$E$17)/IF(A423="Lightning",100,30000))^2</f>
        <v>0.19165789446862419</v>
      </c>
      <c r="K423" s="2">
        <f t="shared" si="24"/>
        <v>429</v>
      </c>
      <c r="L423" s="2">
        <f t="shared" si="25"/>
        <v>0</v>
      </c>
      <c r="M423" s="2">
        <f t="shared" si="26"/>
        <v>0</v>
      </c>
      <c r="N423" s="2">
        <v>4.1084041454224618E-3</v>
      </c>
      <c r="O423" s="2">
        <f t="shared" si="27"/>
        <v>0</v>
      </c>
      <c r="P423" s="2">
        <v>5.7613920056681422E-2</v>
      </c>
      <c r="Q423" s="2">
        <v>-5.7865029319159476</v>
      </c>
    </row>
    <row r="424" spans="1:17" ht="15">
      <c r="A424" s="2" t="s">
        <v>13</v>
      </c>
      <c r="B424" s="2">
        <v>1455.6715317768976</v>
      </c>
      <c r="C424" s="2">
        <v>997.9782578186132</v>
      </c>
      <c r="D424" s="2">
        <v>358.02443660795689</v>
      </c>
      <c r="E424" s="2">
        <v>186.10753035871312</v>
      </c>
      <c r="F424" s="2">
        <v>25.24688505474478</v>
      </c>
      <c r="G424" s="2">
        <v>0.82353395963786169</v>
      </c>
      <c r="H424" s="2">
        <v>45</v>
      </c>
      <c r="I424" s="2">
        <v>25</v>
      </c>
      <c r="J424" s="2">
        <f>(IF(A424='Hybrid Calculator'!$B$6,0,1))^2+((B424-'Hybrid Calculator'!$B$7)/1500)^2+((C424-'Hybrid Calculator'!$B$8)/1300)^2+((D424-'Hybrid Calculator'!$B$9)/800)^2+((E424-'Hybrid Calculator'!$B$10)/350)^2+((F424-'Hybrid Calculator'!$B$11)/30)^2+(G424-'Hybrid Calculator'!$B$12)^2+((H424-'Hybrid Calculator'!$E$14)/IF(A424="Lightning",100,30000))^2+((I424-'Hybrid Calculator'!$E$17)/IF(A424="Lightning",100,30000))^2</f>
        <v>0.10860431727055657</v>
      </c>
      <c r="K424" s="2">
        <f t="shared" si="24"/>
        <v>223</v>
      </c>
      <c r="L424" s="2">
        <f t="shared" si="25"/>
        <v>0</v>
      </c>
      <c r="M424" s="2">
        <f t="shared" si="26"/>
        <v>0</v>
      </c>
      <c r="N424" s="2">
        <v>2.4378558626840796E-3</v>
      </c>
      <c r="O424" s="2">
        <f t="shared" si="27"/>
        <v>0</v>
      </c>
      <c r="P424" s="2">
        <v>0.21127249129695969</v>
      </c>
      <c r="Q424" s="2">
        <v>1.5249726726433437</v>
      </c>
    </row>
    <row r="425" spans="1:17" ht="15">
      <c r="A425" s="2" t="s">
        <v>13</v>
      </c>
      <c r="B425" s="2">
        <v>1440.144038235303</v>
      </c>
      <c r="C425" s="2">
        <v>992.83319259993732</v>
      </c>
      <c r="D425" s="2">
        <v>548.98867262527347</v>
      </c>
      <c r="E425" s="2">
        <v>151.70548278372735</v>
      </c>
      <c r="F425" s="2">
        <v>19.241786773782223</v>
      </c>
      <c r="G425" s="2">
        <v>0.81648267127573493</v>
      </c>
      <c r="H425" s="2">
        <v>45</v>
      </c>
      <c r="I425" s="2">
        <v>25</v>
      </c>
      <c r="J425" s="2">
        <f>(IF(A425='Hybrid Calculator'!$B$6,0,1))^2+((B425-'Hybrid Calculator'!$B$7)/1500)^2+((C425-'Hybrid Calculator'!$B$8)/1300)^2+((D425-'Hybrid Calculator'!$B$9)/800)^2+((E425-'Hybrid Calculator'!$B$10)/350)^2+((F425-'Hybrid Calculator'!$B$11)/30)^2+(G425-'Hybrid Calculator'!$B$12)^2+((H425-'Hybrid Calculator'!$E$14)/IF(A425="Lightning",100,30000))^2+((I425-'Hybrid Calculator'!$E$17)/IF(A425="Lightning",100,30000))^2</f>
        <v>1.9071047547285863E-2</v>
      </c>
      <c r="K425" s="2">
        <f t="shared" si="24"/>
        <v>6</v>
      </c>
      <c r="L425" s="2">
        <f t="shared" si="25"/>
        <v>1</v>
      </c>
      <c r="M425" s="2">
        <f t="shared" si="26"/>
        <v>52.432755189010088</v>
      </c>
      <c r="N425" s="2">
        <v>9.1166851663462278E-3</v>
      </c>
      <c r="O425" s="2">
        <f t="shared" si="27"/>
        <v>52.432755189010088</v>
      </c>
      <c r="P425" s="2">
        <v>0.91697741329676319</v>
      </c>
      <c r="Q425" s="2">
        <v>-7.4597773625066566</v>
      </c>
    </row>
    <row r="426" spans="1:17" ht="15">
      <c r="A426" s="2" t="s">
        <v>13</v>
      </c>
      <c r="B426" s="2">
        <v>1397.0324866008013</v>
      </c>
      <c r="C426" s="2">
        <v>1185.7340440968983</v>
      </c>
      <c r="D426" s="2">
        <v>542.73512121289968</v>
      </c>
      <c r="E426" s="2">
        <v>156.290056866128</v>
      </c>
      <c r="F426" s="2">
        <v>9.4011434726417065</v>
      </c>
      <c r="G426" s="2">
        <v>0.79487548198783775</v>
      </c>
      <c r="H426" s="2">
        <v>40</v>
      </c>
      <c r="I426" s="2">
        <v>25</v>
      </c>
      <c r="J426" s="2">
        <f>(IF(A426='Hybrid Calculator'!$B$6,0,1))^2+((B426-'Hybrid Calculator'!$B$7)/1500)^2+((C426-'Hybrid Calculator'!$B$8)/1300)^2+((D426-'Hybrid Calculator'!$B$9)/800)^2+((E426-'Hybrid Calculator'!$B$10)/350)^2+((F426-'Hybrid Calculator'!$B$11)/30)^2+(G426-'Hybrid Calculator'!$B$12)^2+((H426-'Hybrid Calculator'!$E$14)/IF(A426="Lightning",100,30000))^2+((I426-'Hybrid Calculator'!$E$17)/IF(A426="Lightning",100,30000))^2</f>
        <v>0.17284007973108831</v>
      </c>
      <c r="K426" s="2">
        <f t="shared" si="24"/>
        <v>390</v>
      </c>
      <c r="L426" s="2">
        <f t="shared" si="25"/>
        <v>0</v>
      </c>
      <c r="M426" s="2">
        <f t="shared" si="26"/>
        <v>0</v>
      </c>
      <c r="N426" s="2">
        <v>2.4793677742604991E-2</v>
      </c>
      <c r="O426" s="2">
        <f t="shared" si="27"/>
        <v>0</v>
      </c>
      <c r="P426" s="2">
        <v>1.7989505391524716</v>
      </c>
      <c r="Q426" s="2">
        <v>5.011709869468632</v>
      </c>
    </row>
    <row r="427" spans="1:17" ht="15">
      <c r="A427" s="2" t="s">
        <v>13</v>
      </c>
      <c r="B427" s="2">
        <v>1350.0409565982409</v>
      </c>
      <c r="C427" s="2">
        <v>1070.9981589345261</v>
      </c>
      <c r="D427" s="2">
        <v>727.81210737302899</v>
      </c>
      <c r="E427" s="2">
        <v>200.282675139606</v>
      </c>
      <c r="F427" s="2">
        <v>14.939129638019949</v>
      </c>
      <c r="G427" s="2">
        <v>0.81530888359528042</v>
      </c>
      <c r="H427" s="2">
        <v>35</v>
      </c>
      <c r="I427" s="2">
        <v>25</v>
      </c>
      <c r="J427" s="2">
        <f>(IF(A427='Hybrid Calculator'!$B$6,0,1))^2+((B427-'Hybrid Calculator'!$B$7)/1500)^2+((C427-'Hybrid Calculator'!$B$8)/1300)^2+((D427-'Hybrid Calculator'!$B$9)/800)^2+((E427-'Hybrid Calculator'!$B$10)/350)^2+((F427-'Hybrid Calculator'!$B$11)/30)^2+(G427-'Hybrid Calculator'!$B$12)^2+((H427-'Hybrid Calculator'!$E$14)/IF(A427="Lightning",100,30000))^2+((I427-'Hybrid Calculator'!$E$17)/IF(A427="Lightning",100,30000))^2</f>
        <v>0.16973821195531244</v>
      </c>
      <c r="K427" s="2">
        <f t="shared" si="24"/>
        <v>380</v>
      </c>
      <c r="L427" s="2">
        <f t="shared" si="25"/>
        <v>0</v>
      </c>
      <c r="M427" s="2">
        <f t="shared" si="26"/>
        <v>0</v>
      </c>
      <c r="N427" s="2">
        <v>9.7002038133746638E-3</v>
      </c>
      <c r="O427" s="2">
        <f t="shared" si="27"/>
        <v>0</v>
      </c>
      <c r="P427" s="2">
        <v>1.4224369129751082</v>
      </c>
      <c r="Q427" s="2">
        <v>3.1353775421641785</v>
      </c>
    </row>
    <row r="428" spans="1:17" ht="15">
      <c r="A428" s="2" t="s">
        <v>13</v>
      </c>
      <c r="B428" s="2">
        <v>1406.3192252302542</v>
      </c>
      <c r="C428" s="2">
        <v>789.7418676991947</v>
      </c>
      <c r="D428" s="2">
        <v>618.16995963454247</v>
      </c>
      <c r="E428" s="2">
        <v>140.3049224591814</v>
      </c>
      <c r="F428" s="2">
        <v>17.686455867253244</v>
      </c>
      <c r="G428" s="2">
        <v>0.83819161170860756</v>
      </c>
      <c r="H428" s="2">
        <v>50</v>
      </c>
      <c r="I428" s="2">
        <v>25</v>
      </c>
      <c r="J428" s="2">
        <f>(IF(A428='Hybrid Calculator'!$B$6,0,1))^2+((B428-'Hybrid Calculator'!$B$7)/1500)^2+((C428-'Hybrid Calculator'!$B$8)/1300)^2+((D428-'Hybrid Calculator'!$B$9)/800)^2+((E428-'Hybrid Calculator'!$B$10)/350)^2+((F428-'Hybrid Calculator'!$B$11)/30)^2+(G428-'Hybrid Calculator'!$B$12)^2+((H428-'Hybrid Calculator'!$E$14)/IF(A428="Lightning",100,30000))^2+((I428-'Hybrid Calculator'!$E$17)/IF(A428="Lightning",100,30000))^2</f>
        <v>2.5956242394676345E-2</v>
      </c>
      <c r="K428" s="2">
        <f t="shared" si="24"/>
        <v>17</v>
      </c>
      <c r="L428" s="2">
        <f t="shared" si="25"/>
        <v>0</v>
      </c>
      <c r="M428" s="2">
        <f t="shared" si="26"/>
        <v>0</v>
      </c>
      <c r="N428" s="2">
        <v>-9.4575920435902017E-3</v>
      </c>
      <c r="O428" s="2">
        <f t="shared" si="27"/>
        <v>0</v>
      </c>
      <c r="P428" s="2">
        <v>-0.57735383239395333</v>
      </c>
      <c r="Q428" s="2">
        <v>12.557446062752661</v>
      </c>
    </row>
    <row r="429" spans="1:17" ht="15">
      <c r="A429" s="2" t="s">
        <v>13</v>
      </c>
      <c r="B429" s="2">
        <v>1491.7553355800919</v>
      </c>
      <c r="C429" s="2">
        <v>969.92214322090149</v>
      </c>
      <c r="D429" s="2">
        <v>632.39320209249854</v>
      </c>
      <c r="E429" s="2">
        <v>229.4626282947138</v>
      </c>
      <c r="F429" s="2">
        <v>15.953374148812145</v>
      </c>
      <c r="G429" s="2">
        <v>0.81322264934889976</v>
      </c>
      <c r="H429" s="2">
        <v>35</v>
      </c>
      <c r="I429" s="2">
        <v>25</v>
      </c>
      <c r="J429" s="2">
        <f>(IF(A429='Hybrid Calculator'!$B$6,0,1))^2+((B429-'Hybrid Calculator'!$B$7)/1500)^2+((C429-'Hybrid Calculator'!$B$8)/1300)^2+((D429-'Hybrid Calculator'!$B$9)/800)^2+((E429-'Hybrid Calculator'!$B$10)/350)^2+((F429-'Hybrid Calculator'!$B$11)/30)^2+(G429-'Hybrid Calculator'!$B$12)^2+((H429-'Hybrid Calculator'!$E$14)/IF(A429="Lightning",100,30000))^2+((I429-'Hybrid Calculator'!$E$17)/IF(A429="Lightning",100,30000))^2</f>
        <v>0.11917486804955668</v>
      </c>
      <c r="K429" s="2">
        <f t="shared" si="24"/>
        <v>248</v>
      </c>
      <c r="L429" s="2">
        <f t="shared" si="25"/>
        <v>0</v>
      </c>
      <c r="M429" s="2">
        <f t="shared" si="26"/>
        <v>0</v>
      </c>
      <c r="N429" s="2">
        <v>1.9940730929477901E-2</v>
      </c>
      <c r="O429" s="2">
        <f t="shared" si="27"/>
        <v>0</v>
      </c>
      <c r="P429" s="2">
        <v>-0.72731608893233357</v>
      </c>
      <c r="Q429" s="2">
        <v>3.0746995569395494</v>
      </c>
    </row>
    <row r="430" spans="1:17" ht="15">
      <c r="A430" s="2" t="s">
        <v>13</v>
      </c>
      <c r="B430" s="2">
        <v>1461.1516146920621</v>
      </c>
      <c r="C430" s="2">
        <v>716.37383619090542</v>
      </c>
      <c r="D430" s="2">
        <v>450.3875995054841</v>
      </c>
      <c r="E430" s="2">
        <v>182.18378441641107</v>
      </c>
      <c r="F430" s="2">
        <v>10.003999346867204</v>
      </c>
      <c r="G430" s="2">
        <v>0.80974744397448384</v>
      </c>
      <c r="H430" s="2">
        <v>50</v>
      </c>
      <c r="I430" s="2">
        <v>25</v>
      </c>
      <c r="J430" s="2">
        <f>(IF(A430='Hybrid Calculator'!$B$6,0,1))^2+((B430-'Hybrid Calculator'!$B$7)/1500)^2+((C430-'Hybrid Calculator'!$B$8)/1300)^2+((D430-'Hybrid Calculator'!$B$9)/800)^2+((E430-'Hybrid Calculator'!$B$10)/350)^2+((F430-'Hybrid Calculator'!$B$11)/30)^2+(G430-'Hybrid Calculator'!$B$12)^2+((H430-'Hybrid Calculator'!$E$14)/IF(A430="Lightning",100,30000))^2+((I430-'Hybrid Calculator'!$E$17)/IF(A430="Lightning",100,30000))^2</f>
        <v>0.10375528068873771</v>
      </c>
      <c r="K430" s="2">
        <f t="shared" si="24"/>
        <v>211</v>
      </c>
      <c r="L430" s="2">
        <f t="shared" si="25"/>
        <v>0</v>
      </c>
      <c r="M430" s="2">
        <f t="shared" si="26"/>
        <v>0</v>
      </c>
      <c r="N430" s="2">
        <v>-5.3252322250334494E-3</v>
      </c>
      <c r="O430" s="2">
        <f t="shared" si="27"/>
        <v>0</v>
      </c>
      <c r="P430" s="2">
        <v>0.39228482399028763</v>
      </c>
      <c r="Q430" s="2">
        <v>15.028968791003081</v>
      </c>
    </row>
    <row r="431" spans="1:17" ht="15">
      <c r="A431" s="2" t="s">
        <v>13</v>
      </c>
      <c r="B431" s="2">
        <v>1390.9992226981558</v>
      </c>
      <c r="C431" s="2">
        <v>1105.1446560071781</v>
      </c>
      <c r="D431" s="2">
        <v>572.75971109047532</v>
      </c>
      <c r="E431" s="2">
        <v>81.581289106979966</v>
      </c>
      <c r="F431" s="2">
        <v>21.575565435457975</v>
      </c>
      <c r="G431" s="2">
        <v>0.83215893527958551</v>
      </c>
      <c r="H431" s="2">
        <v>40</v>
      </c>
      <c r="I431" s="2">
        <v>25</v>
      </c>
      <c r="J431" s="2">
        <f>(IF(A431='Hybrid Calculator'!$B$6,0,1))^2+((B431-'Hybrid Calculator'!$B$7)/1500)^2+((C431-'Hybrid Calculator'!$B$8)/1300)^2+((D431-'Hybrid Calculator'!$B$9)/800)^2+((E431-'Hybrid Calculator'!$B$10)/350)^2+((F431-'Hybrid Calculator'!$B$11)/30)^2+(G431-'Hybrid Calculator'!$B$12)^2+((H431-'Hybrid Calculator'!$E$14)/IF(A431="Lightning",100,30000))^2+((I431-'Hybrid Calculator'!$E$17)/IF(A431="Lightning",100,30000))^2</f>
        <v>0.10617681377322186</v>
      </c>
      <c r="K431" s="2">
        <f t="shared" si="24"/>
        <v>220</v>
      </c>
      <c r="L431" s="2">
        <f t="shared" si="25"/>
        <v>0</v>
      </c>
      <c r="M431" s="2">
        <f t="shared" si="26"/>
        <v>0</v>
      </c>
      <c r="N431" s="2">
        <v>2.5665705281843199E-3</v>
      </c>
      <c r="O431" s="2">
        <f t="shared" si="27"/>
        <v>0</v>
      </c>
      <c r="P431" s="2">
        <v>1.313635782368749</v>
      </c>
      <c r="Q431" s="2">
        <v>-9.8396290217444857</v>
      </c>
    </row>
    <row r="432" spans="1:17" ht="15">
      <c r="A432" s="2" t="s">
        <v>13</v>
      </c>
      <c r="B432" s="2">
        <v>1388.8158194487914</v>
      </c>
      <c r="C432" s="2">
        <v>1194.8721805238165</v>
      </c>
      <c r="D432" s="2">
        <v>546.75728492438793</v>
      </c>
      <c r="E432" s="2">
        <v>276.32247247500345</v>
      </c>
      <c r="F432" s="2">
        <v>27.581183453090489</v>
      </c>
      <c r="G432" s="2">
        <v>0.79184784360928462</v>
      </c>
      <c r="H432" s="2">
        <v>35</v>
      </c>
      <c r="I432" s="2">
        <v>25</v>
      </c>
      <c r="J432" s="2">
        <f>(IF(A432='Hybrid Calculator'!$B$6,0,1))^2+((B432-'Hybrid Calculator'!$B$7)/1500)^2+((C432-'Hybrid Calculator'!$B$8)/1300)^2+((D432-'Hybrid Calculator'!$B$9)/800)^2+((E432-'Hybrid Calculator'!$B$10)/350)^2+((F432-'Hybrid Calculator'!$B$11)/30)^2+(G432-'Hybrid Calculator'!$B$12)^2+((H432-'Hybrid Calculator'!$E$14)/IF(A432="Lightning",100,30000))^2+((I432-'Hybrid Calculator'!$E$17)/IF(A432="Lightning",100,30000))^2</f>
        <v>0.31956248859001513</v>
      </c>
      <c r="K432" s="2">
        <f t="shared" si="24"/>
        <v>624</v>
      </c>
      <c r="L432" s="2">
        <f t="shared" si="25"/>
        <v>0</v>
      </c>
      <c r="M432" s="2">
        <f t="shared" si="26"/>
        <v>0</v>
      </c>
      <c r="N432" s="2">
        <v>1.5600960157925892E-2</v>
      </c>
      <c r="O432" s="2">
        <f t="shared" si="27"/>
        <v>0</v>
      </c>
      <c r="P432" s="2">
        <v>-6.7537682306323177E-2</v>
      </c>
      <c r="Q432" s="2">
        <v>-29.87702510330223</v>
      </c>
    </row>
    <row r="433" spans="1:17" ht="15">
      <c r="A433" s="2" t="s">
        <v>13</v>
      </c>
      <c r="B433" s="2">
        <v>1381.7239704891108</v>
      </c>
      <c r="C433" s="2">
        <v>1152.0171933341771</v>
      </c>
      <c r="D433" s="2">
        <v>394.41769449040294</v>
      </c>
      <c r="E433" s="2">
        <v>115.84301692899317</v>
      </c>
      <c r="F433" s="2">
        <v>21.795823849271983</v>
      </c>
      <c r="G433" s="2">
        <v>0.81827428815886383</v>
      </c>
      <c r="H433" s="2">
        <v>45</v>
      </c>
      <c r="I433" s="2">
        <v>25</v>
      </c>
      <c r="J433" s="2">
        <f>(IF(A433='Hybrid Calculator'!$B$6,0,1))^2+((B433-'Hybrid Calculator'!$B$7)/1500)^2+((C433-'Hybrid Calculator'!$B$8)/1300)^2+((D433-'Hybrid Calculator'!$B$9)/800)^2+((E433-'Hybrid Calculator'!$B$10)/350)^2+((F433-'Hybrid Calculator'!$B$11)/30)^2+(G433-'Hybrid Calculator'!$B$12)^2+((H433-'Hybrid Calculator'!$E$14)/IF(A433="Lightning",100,30000))^2+((I433-'Hybrid Calculator'!$E$17)/IF(A433="Lightning",100,30000))^2</f>
        <v>9.6319982170498808E-2</v>
      </c>
      <c r="K433" s="2">
        <f t="shared" si="24"/>
        <v>193</v>
      </c>
      <c r="L433" s="2">
        <f t="shared" si="25"/>
        <v>0</v>
      </c>
      <c r="M433" s="2">
        <f t="shared" si="26"/>
        <v>0</v>
      </c>
      <c r="N433" s="2">
        <v>-8.6692474445571044E-4</v>
      </c>
      <c r="O433" s="2">
        <f t="shared" si="27"/>
        <v>0</v>
      </c>
      <c r="P433" s="2">
        <v>-0.24012902491143961</v>
      </c>
      <c r="Q433" s="2">
        <v>-3.1555900910893797</v>
      </c>
    </row>
    <row r="434" spans="1:17" ht="15">
      <c r="A434" s="2" t="s">
        <v>13</v>
      </c>
      <c r="B434" s="2">
        <v>1447.7503357920796</v>
      </c>
      <c r="C434" s="2">
        <v>873.40953106759116</v>
      </c>
      <c r="D434" s="2">
        <v>536.55043970793486</v>
      </c>
      <c r="E434" s="2">
        <v>308.17627462791279</v>
      </c>
      <c r="F434" s="2">
        <v>23.183697737753391</v>
      </c>
      <c r="G434" s="2">
        <v>0.80804227525601169</v>
      </c>
      <c r="H434" s="2">
        <v>40</v>
      </c>
      <c r="I434" s="2">
        <v>25</v>
      </c>
      <c r="J434" s="2">
        <f>(IF(A434='Hybrid Calculator'!$B$6,0,1))^2+((B434-'Hybrid Calculator'!$B$7)/1500)^2+((C434-'Hybrid Calculator'!$B$8)/1300)^2+((D434-'Hybrid Calculator'!$B$9)/800)^2+((E434-'Hybrid Calculator'!$B$10)/350)^2+((F434-'Hybrid Calculator'!$B$11)/30)^2+(G434-'Hybrid Calculator'!$B$12)^2+((H434-'Hybrid Calculator'!$E$14)/IF(A434="Lightning",100,30000))^2+((I434-'Hybrid Calculator'!$E$17)/IF(A434="Lightning",100,30000))^2</f>
        <v>0.24140188063323045</v>
      </c>
      <c r="K434" s="2">
        <f t="shared" si="24"/>
        <v>521</v>
      </c>
      <c r="L434" s="2">
        <f t="shared" si="25"/>
        <v>0</v>
      </c>
      <c r="M434" s="2">
        <f t="shared" si="26"/>
        <v>0</v>
      </c>
      <c r="N434" s="2">
        <v>-8.1914875200466142E-3</v>
      </c>
      <c r="O434" s="2">
        <f t="shared" si="27"/>
        <v>0</v>
      </c>
      <c r="P434" s="2">
        <v>0.97888049252948406</v>
      </c>
      <c r="Q434" s="2">
        <v>-9.9157123623797361</v>
      </c>
    </row>
    <row r="435" spans="1:17" ht="15">
      <c r="A435" s="2" t="s">
        <v>13</v>
      </c>
      <c r="B435" s="2">
        <v>1366.0215693642385</v>
      </c>
      <c r="C435" s="2">
        <v>1198.6768886214122</v>
      </c>
      <c r="D435" s="2">
        <v>597.06260832026601</v>
      </c>
      <c r="E435" s="2">
        <v>319.0884249471128</v>
      </c>
      <c r="F435" s="2">
        <v>27.320583580527455</v>
      </c>
      <c r="G435" s="2">
        <v>0.85865686820354314</v>
      </c>
      <c r="H435" s="2">
        <v>35</v>
      </c>
      <c r="I435" s="2">
        <v>25</v>
      </c>
      <c r="J435" s="2">
        <f>(IF(A435='Hybrid Calculator'!$B$6,0,1))^2+((B435-'Hybrid Calculator'!$B$7)/1500)^2+((C435-'Hybrid Calculator'!$B$8)/1300)^2+((D435-'Hybrid Calculator'!$B$9)/800)^2+((E435-'Hybrid Calculator'!$B$10)/350)^2+((F435-'Hybrid Calculator'!$B$11)/30)^2+(G435-'Hybrid Calculator'!$B$12)^2+((H435-'Hybrid Calculator'!$E$14)/IF(A435="Lightning",100,30000))^2+((I435-'Hybrid Calculator'!$E$17)/IF(A435="Lightning",100,30000))^2</f>
        <v>0.43204159249307417</v>
      </c>
      <c r="K435" s="2">
        <f t="shared" si="24"/>
        <v>694</v>
      </c>
      <c r="L435" s="2">
        <f t="shared" si="25"/>
        <v>0</v>
      </c>
      <c r="M435" s="2">
        <f t="shared" si="26"/>
        <v>0</v>
      </c>
      <c r="N435" s="2">
        <v>-7.1237148678107154E-3</v>
      </c>
      <c r="O435" s="2">
        <f t="shared" si="27"/>
        <v>0</v>
      </c>
      <c r="P435" s="2">
        <v>1.2765336094707607</v>
      </c>
      <c r="Q435" s="2">
        <v>-27.428804549398819</v>
      </c>
    </row>
    <row r="436" spans="1:17" ht="15">
      <c r="A436" s="2" t="s">
        <v>13</v>
      </c>
      <c r="B436" s="2">
        <v>1448.0611538048834</v>
      </c>
      <c r="C436" s="2">
        <v>935.60483407927677</v>
      </c>
      <c r="D436" s="2">
        <v>620.70153262466192</v>
      </c>
      <c r="E436" s="2">
        <v>306.88703407766297</v>
      </c>
      <c r="F436" s="2">
        <v>25.548530135303736</v>
      </c>
      <c r="G436" s="2">
        <v>0.79100851498777047</v>
      </c>
      <c r="H436" s="2">
        <v>35</v>
      </c>
      <c r="I436" s="2">
        <v>25</v>
      </c>
      <c r="J436" s="2">
        <f>(IF(A436='Hybrid Calculator'!$B$6,0,1))^2+((B436-'Hybrid Calculator'!$B$7)/1500)^2+((C436-'Hybrid Calculator'!$B$8)/1300)^2+((D436-'Hybrid Calculator'!$B$9)/800)^2+((E436-'Hybrid Calculator'!$B$10)/350)^2+((F436-'Hybrid Calculator'!$B$11)/30)^2+(G436-'Hybrid Calculator'!$B$12)^2+((H436-'Hybrid Calculator'!$E$14)/IF(A436="Lightning",100,30000))^2+((I436-'Hybrid Calculator'!$E$17)/IF(A436="Lightning",100,30000))^2</f>
        <v>0.30680576223382805</v>
      </c>
      <c r="K436" s="2">
        <f t="shared" si="24"/>
        <v>604</v>
      </c>
      <c r="L436" s="2">
        <f t="shared" si="25"/>
        <v>0</v>
      </c>
      <c r="M436" s="2">
        <f t="shared" si="26"/>
        <v>0</v>
      </c>
      <c r="N436" s="2">
        <v>4.6226937912952071E-3</v>
      </c>
      <c r="O436" s="2">
        <f t="shared" si="27"/>
        <v>0</v>
      </c>
      <c r="P436" s="2">
        <v>-0.81902166794724707</v>
      </c>
      <c r="Q436" s="2">
        <v>-8.69821658958017</v>
      </c>
    </row>
    <row r="437" spans="1:17" ht="15">
      <c r="A437" s="2" t="s">
        <v>13</v>
      </c>
      <c r="B437" s="2">
        <v>1361.2630648654886</v>
      </c>
      <c r="C437" s="2">
        <v>983.30683417152613</v>
      </c>
      <c r="D437" s="2">
        <v>480.21141039207578</v>
      </c>
      <c r="E437" s="2">
        <v>231.44378691911697</v>
      </c>
      <c r="F437" s="2">
        <v>10.502591202501208</v>
      </c>
      <c r="G437" s="2">
        <v>0.84986539594363431</v>
      </c>
      <c r="H437" s="2">
        <v>45</v>
      </c>
      <c r="I437" s="2">
        <v>25</v>
      </c>
      <c r="J437" s="2">
        <f>(IF(A437='Hybrid Calculator'!$B$6,0,1))^2+((B437-'Hybrid Calculator'!$B$7)/1500)^2+((C437-'Hybrid Calculator'!$B$8)/1300)^2+((D437-'Hybrid Calculator'!$B$9)/800)^2+((E437-'Hybrid Calculator'!$B$10)/350)^2+((F437-'Hybrid Calculator'!$B$11)/30)^2+(G437-'Hybrid Calculator'!$B$12)^2+((H437-'Hybrid Calculator'!$E$14)/IF(A437="Lightning",100,30000))^2+((I437-'Hybrid Calculator'!$E$17)/IF(A437="Lightning",100,30000))^2</f>
        <v>0.14153725222702468</v>
      </c>
      <c r="K437" s="2">
        <f t="shared" si="24"/>
        <v>307</v>
      </c>
      <c r="L437" s="2">
        <f t="shared" si="25"/>
        <v>0</v>
      </c>
      <c r="M437" s="2">
        <f t="shared" si="26"/>
        <v>0</v>
      </c>
      <c r="N437" s="2">
        <v>1.0832622014094184E-3</v>
      </c>
      <c r="O437" s="2">
        <f t="shared" si="27"/>
        <v>0</v>
      </c>
      <c r="P437" s="2">
        <v>0.92159315249810447</v>
      </c>
      <c r="Q437" s="2">
        <v>12.537273135718806</v>
      </c>
    </row>
    <row r="438" spans="1:17" ht="15">
      <c r="A438" s="2" t="s">
        <v>13</v>
      </c>
      <c r="B438" s="2">
        <v>1381.179633946158</v>
      </c>
      <c r="C438" s="2">
        <v>884.28583975182846</v>
      </c>
      <c r="D438" s="2">
        <v>590.52744284272194</v>
      </c>
      <c r="E438" s="2">
        <v>102.6406067959033</v>
      </c>
      <c r="F438" s="2">
        <v>22.523867084644735</v>
      </c>
      <c r="G438" s="2">
        <v>0.81243997534504164</v>
      </c>
      <c r="H438" s="2">
        <v>45</v>
      </c>
      <c r="I438" s="2">
        <v>25</v>
      </c>
      <c r="J438" s="2">
        <f>(IF(A438='Hybrid Calculator'!$B$6,0,1))^2+((B438-'Hybrid Calculator'!$B$7)/1500)^2+((C438-'Hybrid Calculator'!$B$8)/1300)^2+((D438-'Hybrid Calculator'!$B$9)/800)^2+((E438-'Hybrid Calculator'!$B$10)/350)^2+((F438-'Hybrid Calculator'!$B$11)/30)^2+(G438-'Hybrid Calculator'!$B$12)^2+((H438-'Hybrid Calculator'!$E$14)/IF(A438="Lightning",100,30000))^2+((I438-'Hybrid Calculator'!$E$17)/IF(A438="Lightning",100,30000))^2</f>
        <v>5.3211237619068555E-2</v>
      </c>
      <c r="K438" s="2">
        <f t="shared" si="24"/>
        <v>62</v>
      </c>
      <c r="L438" s="2">
        <f t="shared" si="25"/>
        <v>0</v>
      </c>
      <c r="M438" s="2">
        <f t="shared" si="26"/>
        <v>0</v>
      </c>
      <c r="N438" s="2">
        <v>3.6450765620112957E-3</v>
      </c>
      <c r="O438" s="2">
        <f t="shared" si="27"/>
        <v>0</v>
      </c>
      <c r="P438" s="2">
        <v>0.89493755909363415</v>
      </c>
      <c r="Q438" s="2">
        <v>1.8166341983387611</v>
      </c>
    </row>
    <row r="439" spans="1:17" ht="15">
      <c r="A439" s="2" t="s">
        <v>13</v>
      </c>
      <c r="B439" s="2">
        <v>1445.6673856708221</v>
      </c>
      <c r="C439" s="2">
        <v>775.69032479077578</v>
      </c>
      <c r="D439" s="2">
        <v>498.50249132141471</v>
      </c>
      <c r="E439" s="2">
        <v>207.3712293477729</v>
      </c>
      <c r="F439" s="2">
        <v>21.600144350435585</v>
      </c>
      <c r="G439" s="2">
        <v>0.80739946789108219</v>
      </c>
      <c r="H439" s="2">
        <v>50</v>
      </c>
      <c r="I439" s="2">
        <v>25</v>
      </c>
      <c r="J439" s="2">
        <f>(IF(A439='Hybrid Calculator'!$B$6,0,1))^2+((B439-'Hybrid Calculator'!$B$7)/1500)^2+((C439-'Hybrid Calculator'!$B$8)/1300)^2+((D439-'Hybrid Calculator'!$B$9)/800)^2+((E439-'Hybrid Calculator'!$B$10)/350)^2+((F439-'Hybrid Calculator'!$B$11)/30)^2+(G439-'Hybrid Calculator'!$B$12)^2+((H439-'Hybrid Calculator'!$E$14)/IF(A439="Lightning",100,30000))^2+((I439-'Hybrid Calculator'!$E$17)/IF(A439="Lightning",100,30000))^2</f>
        <v>4.1167347413093636E-2</v>
      </c>
      <c r="K439" s="2">
        <f t="shared" si="24"/>
        <v>35</v>
      </c>
      <c r="L439" s="2">
        <f t="shared" si="25"/>
        <v>0</v>
      </c>
      <c r="M439" s="2">
        <f t="shared" si="26"/>
        <v>0</v>
      </c>
      <c r="N439" s="2">
        <v>5.3337557983299533E-3</v>
      </c>
      <c r="O439" s="2">
        <f t="shared" si="27"/>
        <v>0</v>
      </c>
      <c r="P439" s="2">
        <v>-1.347237426111576</v>
      </c>
      <c r="Q439" s="2">
        <v>-6.0768618010745286</v>
      </c>
    </row>
    <row r="440" spans="1:17" ht="15">
      <c r="A440" s="2" t="s">
        <v>13</v>
      </c>
      <c r="B440" s="2">
        <v>1391.3644057698548</v>
      </c>
      <c r="C440" s="2">
        <v>699.33847499778494</v>
      </c>
      <c r="D440" s="2">
        <v>736.79376635700464</v>
      </c>
      <c r="E440" s="2">
        <v>322.73286393145099</v>
      </c>
      <c r="F440" s="2">
        <v>28.183019267395139</v>
      </c>
      <c r="G440" s="2">
        <v>0.79426222457783302</v>
      </c>
      <c r="H440" s="2">
        <v>40</v>
      </c>
      <c r="I440" s="2">
        <v>25</v>
      </c>
      <c r="J440" s="2">
        <f>(IF(A440='Hybrid Calculator'!$B$6,0,1))^2+((B440-'Hybrid Calculator'!$B$7)/1500)^2+((C440-'Hybrid Calculator'!$B$8)/1300)^2+((D440-'Hybrid Calculator'!$B$9)/800)^2+((E440-'Hybrid Calculator'!$B$10)/350)^2+((F440-'Hybrid Calculator'!$B$11)/30)^2+(G440-'Hybrid Calculator'!$B$12)^2+((H440-'Hybrid Calculator'!$E$14)/IF(A440="Lightning",100,30000))^2+((I440-'Hybrid Calculator'!$E$17)/IF(A440="Lightning",100,30000))^2</f>
        <v>0.45995110527245026</v>
      </c>
      <c r="K440" s="2">
        <f t="shared" si="24"/>
        <v>697</v>
      </c>
      <c r="L440" s="2">
        <f t="shared" si="25"/>
        <v>0</v>
      </c>
      <c r="M440" s="2">
        <f t="shared" si="26"/>
        <v>0</v>
      </c>
      <c r="N440" s="2">
        <v>-5.236431980709666E-3</v>
      </c>
      <c r="O440" s="2">
        <f t="shared" si="27"/>
        <v>0</v>
      </c>
      <c r="P440" s="2">
        <v>0.28142464229762254</v>
      </c>
      <c r="Q440" s="2">
        <v>-22.723681729941063</v>
      </c>
    </row>
    <row r="441" spans="1:17" ht="15">
      <c r="A441" s="2" t="s">
        <v>13</v>
      </c>
      <c r="B441" s="2">
        <v>1359.156578744296</v>
      </c>
      <c r="C441" s="2">
        <v>771.793029201217</v>
      </c>
      <c r="D441" s="2">
        <v>408.69251573458314</v>
      </c>
      <c r="E441" s="2">
        <v>113.8626850862056</v>
      </c>
      <c r="F441" s="2">
        <v>16.352089643944055</v>
      </c>
      <c r="G441" s="2">
        <v>0.80657116802874951</v>
      </c>
      <c r="H441" s="2">
        <v>60</v>
      </c>
      <c r="I441" s="2">
        <v>25</v>
      </c>
      <c r="J441" s="2">
        <f>(IF(A441='Hybrid Calculator'!$B$6,0,1))^2+((B441-'Hybrid Calculator'!$B$7)/1500)^2+((C441-'Hybrid Calculator'!$B$8)/1300)^2+((D441-'Hybrid Calculator'!$B$9)/800)^2+((E441-'Hybrid Calculator'!$B$10)/350)^2+((F441-'Hybrid Calculator'!$B$11)/30)^2+(G441-'Hybrid Calculator'!$B$12)^2+((H441-'Hybrid Calculator'!$E$14)/IF(A441="Lightning",100,30000))^2+((I441-'Hybrid Calculator'!$E$17)/IF(A441="Lightning",100,30000))^2</f>
        <v>4.4539525290530436E-2</v>
      </c>
      <c r="K441" s="2">
        <f t="shared" si="24"/>
        <v>40</v>
      </c>
      <c r="L441" s="2">
        <f t="shared" si="25"/>
        <v>0</v>
      </c>
      <c r="M441" s="2">
        <f t="shared" si="26"/>
        <v>0</v>
      </c>
      <c r="N441" s="2">
        <v>3.9547097489243122E-3</v>
      </c>
      <c r="O441" s="2">
        <f t="shared" si="27"/>
        <v>0</v>
      </c>
      <c r="P441" s="2">
        <v>-1.1381258088483435</v>
      </c>
      <c r="Q441" s="2">
        <v>20.049507744495259</v>
      </c>
    </row>
    <row r="442" spans="1:17" ht="15">
      <c r="A442" s="2" t="s">
        <v>13</v>
      </c>
      <c r="B442" s="2">
        <v>1450.4957308759913</v>
      </c>
      <c r="C442" s="2">
        <v>998.00173972034827</v>
      </c>
      <c r="D442" s="2">
        <v>411.07827387750149</v>
      </c>
      <c r="E442" s="2">
        <v>85.158210813533515</v>
      </c>
      <c r="F442" s="2">
        <v>10.628682327456772</v>
      </c>
      <c r="G442" s="2">
        <v>0.85568738077534368</v>
      </c>
      <c r="H442" s="2">
        <v>50</v>
      </c>
      <c r="I442" s="2">
        <v>25</v>
      </c>
      <c r="J442" s="2">
        <f>(IF(A442='Hybrid Calculator'!$B$6,0,1))^2+((B442-'Hybrid Calculator'!$B$7)/1500)^2+((C442-'Hybrid Calculator'!$B$8)/1300)^2+((D442-'Hybrid Calculator'!$B$9)/800)^2+((E442-'Hybrid Calculator'!$B$10)/350)^2+((F442-'Hybrid Calculator'!$B$11)/30)^2+(G442-'Hybrid Calculator'!$B$12)^2+((H442-'Hybrid Calculator'!$E$14)/IF(A442="Lightning",100,30000))^2+((I442-'Hybrid Calculator'!$E$17)/IF(A442="Lightning",100,30000))^2</f>
        <v>0.13004247339069036</v>
      </c>
      <c r="K442" s="2">
        <f t="shared" si="24"/>
        <v>276</v>
      </c>
      <c r="L442" s="2">
        <f t="shared" si="25"/>
        <v>0</v>
      </c>
      <c r="M442" s="2">
        <f t="shared" si="26"/>
        <v>0</v>
      </c>
      <c r="N442" s="2">
        <v>9.9697682300425861E-3</v>
      </c>
      <c r="O442" s="2">
        <f t="shared" si="27"/>
        <v>0</v>
      </c>
      <c r="P442" s="2">
        <v>-0.1887625359155507</v>
      </c>
      <c r="Q442" s="2">
        <v>14.754644990432325</v>
      </c>
    </row>
    <row r="443" spans="1:17" ht="15">
      <c r="A443" s="2" t="s">
        <v>13</v>
      </c>
      <c r="B443" s="2">
        <v>1484.1766217141412</v>
      </c>
      <c r="C443" s="2">
        <v>1148.8986829761416</v>
      </c>
      <c r="D443" s="2">
        <v>432.2923350147903</v>
      </c>
      <c r="E443" s="2">
        <v>169.60480184759945</v>
      </c>
      <c r="F443" s="2">
        <v>29.279488443862647</v>
      </c>
      <c r="G443" s="2">
        <v>0.80175845960155134</v>
      </c>
      <c r="H443" s="2">
        <v>35</v>
      </c>
      <c r="I443" s="2">
        <v>25</v>
      </c>
      <c r="J443" s="2">
        <f>(IF(A443='Hybrid Calculator'!$B$6,0,1))^2+((B443-'Hybrid Calculator'!$B$7)/1500)^2+((C443-'Hybrid Calculator'!$B$8)/1300)^2+((D443-'Hybrid Calculator'!$B$9)/800)^2+((E443-'Hybrid Calculator'!$B$10)/350)^2+((F443-'Hybrid Calculator'!$B$11)/30)^2+(G443-'Hybrid Calculator'!$B$12)^2+((H443-'Hybrid Calculator'!$E$14)/IF(A443="Lightning",100,30000))^2+((I443-'Hybrid Calculator'!$E$17)/IF(A443="Lightning",100,30000))^2</f>
        <v>0.21666203627771072</v>
      </c>
      <c r="K443" s="2">
        <f t="shared" si="24"/>
        <v>480</v>
      </c>
      <c r="L443" s="2">
        <f t="shared" si="25"/>
        <v>0</v>
      </c>
      <c r="M443" s="2">
        <f t="shared" si="26"/>
        <v>0</v>
      </c>
      <c r="N443" s="2">
        <v>5.5787972975509525E-3</v>
      </c>
      <c r="O443" s="2">
        <f t="shared" si="27"/>
        <v>0</v>
      </c>
      <c r="P443" s="2">
        <v>1.6732073298798866</v>
      </c>
      <c r="Q443" s="2">
        <v>-18.28449107080246</v>
      </c>
    </row>
    <row r="444" spans="1:17" ht="15">
      <c r="A444" s="2" t="s">
        <v>13</v>
      </c>
      <c r="B444" s="2">
        <v>1458.169160457328</v>
      </c>
      <c r="C444" s="2">
        <v>847.95519559411332</v>
      </c>
      <c r="D444" s="2">
        <v>673.31721466034651</v>
      </c>
      <c r="E444" s="2">
        <v>130.72481400566176</v>
      </c>
      <c r="F444" s="2">
        <v>10.644379526376724</v>
      </c>
      <c r="G444" s="2">
        <v>0.83144202878931539</v>
      </c>
      <c r="H444" s="2">
        <v>45</v>
      </c>
      <c r="I444" s="2">
        <v>25</v>
      </c>
      <c r="J444" s="2">
        <f>(IF(A444='Hybrid Calculator'!$B$6,0,1))^2+((B444-'Hybrid Calculator'!$B$7)/1500)^2+((C444-'Hybrid Calculator'!$B$8)/1300)^2+((D444-'Hybrid Calculator'!$B$9)/800)^2+((E444-'Hybrid Calculator'!$B$10)/350)^2+((F444-'Hybrid Calculator'!$B$11)/30)^2+(G444-'Hybrid Calculator'!$B$12)^2+((H444-'Hybrid Calculator'!$E$14)/IF(A444="Lightning",100,30000))^2+((I444-'Hybrid Calculator'!$E$17)/IF(A444="Lightning",100,30000))^2</f>
        <v>0.12165852914146059</v>
      </c>
      <c r="K444" s="2">
        <f t="shared" si="24"/>
        <v>258</v>
      </c>
      <c r="L444" s="2">
        <f t="shared" si="25"/>
        <v>0</v>
      </c>
      <c r="M444" s="2">
        <f t="shared" si="26"/>
        <v>0</v>
      </c>
      <c r="N444" s="2">
        <v>1.6736962784604792E-3</v>
      </c>
      <c r="O444" s="2">
        <f t="shared" si="27"/>
        <v>0</v>
      </c>
      <c r="P444" s="2">
        <v>-0.31633689880002436</v>
      </c>
      <c r="Q444" s="2">
        <v>2.3558615835747787</v>
      </c>
    </row>
    <row r="445" spans="1:17" ht="15">
      <c r="A445" s="2" t="s">
        <v>13</v>
      </c>
      <c r="B445" s="2">
        <v>1411.2761356984265</v>
      </c>
      <c r="C445" s="2">
        <v>795.79568372573704</v>
      </c>
      <c r="D445" s="2">
        <v>481.62939371541142</v>
      </c>
      <c r="E445" s="2">
        <v>149.37583396211267</v>
      </c>
      <c r="F445" s="2">
        <v>18.475764533970505</v>
      </c>
      <c r="G445" s="2">
        <v>0.85730946300085642</v>
      </c>
      <c r="H445" s="2">
        <v>50</v>
      </c>
      <c r="I445" s="2">
        <v>25</v>
      </c>
      <c r="J445" s="2">
        <f>(IF(A445='Hybrid Calculator'!$B$6,0,1))^2+((B445-'Hybrid Calculator'!$B$7)/1500)^2+((C445-'Hybrid Calculator'!$B$8)/1300)^2+((D445-'Hybrid Calculator'!$B$9)/800)^2+((E445-'Hybrid Calculator'!$B$10)/350)^2+((F445-'Hybrid Calculator'!$B$11)/30)^2+(G445-'Hybrid Calculator'!$B$12)^2+((H445-'Hybrid Calculator'!$E$14)/IF(A445="Lightning",100,30000))^2+((I445-'Hybrid Calculator'!$E$17)/IF(A445="Lightning",100,30000))^2</f>
        <v>3.7453741632256297E-3</v>
      </c>
      <c r="K445" s="2">
        <f t="shared" si="24"/>
        <v>1</v>
      </c>
      <c r="L445" s="2">
        <f t="shared" si="25"/>
        <v>1</v>
      </c>
      <c r="M445" s="2">
        <f t="shared" si="26"/>
        <v>266.92475348991826</v>
      </c>
      <c r="N445" s="2">
        <v>-1.2767763887428396E-2</v>
      </c>
      <c r="O445" s="2">
        <f t="shared" si="27"/>
        <v>266.92475348991826</v>
      </c>
      <c r="P445" s="2">
        <v>-0.3048521184764823</v>
      </c>
      <c r="Q445" s="2">
        <v>13.063034787186098</v>
      </c>
    </row>
    <row r="446" spans="1:17" ht="15">
      <c r="A446" s="2" t="s">
        <v>13</v>
      </c>
      <c r="B446" s="2">
        <v>1488.3114219876006</v>
      </c>
      <c r="C446" s="2">
        <v>622.07446304382756</v>
      </c>
      <c r="D446" s="2">
        <v>626.33366733789444</v>
      </c>
      <c r="E446" s="2">
        <v>325.03299867501482</v>
      </c>
      <c r="F446" s="2">
        <v>17.780013958923519</v>
      </c>
      <c r="G446" s="2">
        <v>0.81204514000331984</v>
      </c>
      <c r="H446" s="2">
        <v>40</v>
      </c>
      <c r="I446" s="2">
        <v>25</v>
      </c>
      <c r="J446" s="2">
        <f>(IF(A446='Hybrid Calculator'!$B$6,0,1))^2+((B446-'Hybrid Calculator'!$B$7)/1500)^2+((C446-'Hybrid Calculator'!$B$8)/1300)^2+((D446-'Hybrid Calculator'!$B$9)/800)^2+((E446-'Hybrid Calculator'!$B$10)/350)^2+((F446-'Hybrid Calculator'!$B$11)/30)^2+(G446-'Hybrid Calculator'!$B$12)^2+((H446-'Hybrid Calculator'!$E$14)/IF(A446="Lightning",100,30000))^2+((I446-'Hybrid Calculator'!$E$17)/IF(A446="Lightning",100,30000))^2</f>
        <v>0.31819251128083831</v>
      </c>
      <c r="K446" s="2">
        <f t="shared" si="24"/>
        <v>621</v>
      </c>
      <c r="L446" s="2">
        <f t="shared" si="25"/>
        <v>0</v>
      </c>
      <c r="M446" s="2">
        <f t="shared" si="26"/>
        <v>0</v>
      </c>
      <c r="N446" s="2">
        <v>-1.0979876694787283E-2</v>
      </c>
      <c r="O446" s="2">
        <f t="shared" si="27"/>
        <v>0</v>
      </c>
      <c r="P446" s="2">
        <v>-1.5781537331302289</v>
      </c>
      <c r="Q446" s="2">
        <v>-2.9229883459220218</v>
      </c>
    </row>
    <row r="447" spans="1:17" ht="15">
      <c r="A447" s="2" t="s">
        <v>13</v>
      </c>
      <c r="B447" s="2">
        <v>1372.9174776817672</v>
      </c>
      <c r="C447" s="2">
        <v>1033.1099043600261</v>
      </c>
      <c r="D447" s="2">
        <v>514.30711066350341</v>
      </c>
      <c r="E447" s="2">
        <v>197.37772321794182</v>
      </c>
      <c r="F447" s="2">
        <v>26.810557728167623</v>
      </c>
      <c r="G447" s="2">
        <v>0.81162355241365736</v>
      </c>
      <c r="H447" s="2">
        <v>40</v>
      </c>
      <c r="I447" s="2">
        <v>25</v>
      </c>
      <c r="J447" s="2">
        <f>(IF(A447='Hybrid Calculator'!$B$6,0,1))^2+((B447-'Hybrid Calculator'!$B$7)/1500)^2+((C447-'Hybrid Calculator'!$B$8)/1300)^2+((D447-'Hybrid Calculator'!$B$9)/800)^2+((E447-'Hybrid Calculator'!$B$10)/350)^2+((F447-'Hybrid Calculator'!$B$11)/30)^2+(G447-'Hybrid Calculator'!$B$12)^2+((H447-'Hybrid Calculator'!$E$14)/IF(A447="Lightning",100,30000))^2+((I447-'Hybrid Calculator'!$E$17)/IF(A447="Lightning",100,30000))^2</f>
        <v>0.12649834099110135</v>
      </c>
      <c r="K447" s="2">
        <f t="shared" si="24"/>
        <v>267</v>
      </c>
      <c r="L447" s="2">
        <f t="shared" si="25"/>
        <v>0</v>
      </c>
      <c r="M447" s="2">
        <f t="shared" si="26"/>
        <v>0</v>
      </c>
      <c r="N447" s="2">
        <v>-1.1041924584046292E-2</v>
      </c>
      <c r="O447" s="2">
        <f t="shared" si="27"/>
        <v>0</v>
      </c>
      <c r="P447" s="2">
        <v>0.34340880934831119</v>
      </c>
      <c r="Q447" s="2">
        <v>-16.407238807406429</v>
      </c>
    </row>
    <row r="448" spans="1:17" ht="15">
      <c r="A448" s="2" t="s">
        <v>13</v>
      </c>
      <c r="B448" s="2">
        <v>1489.6956894546747</v>
      </c>
      <c r="C448" s="2">
        <v>612.56553292041644</v>
      </c>
      <c r="D448" s="2">
        <v>409.77140832692385</v>
      </c>
      <c r="E448" s="2">
        <v>266.17035128409043</v>
      </c>
      <c r="F448" s="2">
        <v>9.1429566573351622</v>
      </c>
      <c r="G448" s="2">
        <v>0.83175673795165495</v>
      </c>
      <c r="H448" s="2">
        <v>60</v>
      </c>
      <c r="I448" s="2">
        <v>25</v>
      </c>
      <c r="J448" s="2">
        <f>(IF(A448='Hybrid Calculator'!$B$6,0,1))^2+((B448-'Hybrid Calculator'!$B$7)/1500)^2+((C448-'Hybrid Calculator'!$B$8)/1300)^2+((D448-'Hybrid Calculator'!$B$9)/800)^2+((E448-'Hybrid Calculator'!$B$10)/350)^2+((F448-'Hybrid Calculator'!$B$11)/30)^2+(G448-'Hybrid Calculator'!$B$12)^2+((H448-'Hybrid Calculator'!$E$14)/IF(A448="Lightning",100,30000))^2+((I448-'Hybrid Calculator'!$E$17)/IF(A448="Lightning",100,30000))^2</f>
        <v>0.2655274138727336</v>
      </c>
      <c r="K448" s="2">
        <f t="shared" si="24"/>
        <v>565</v>
      </c>
      <c r="L448" s="2">
        <f t="shared" si="25"/>
        <v>0</v>
      </c>
      <c r="M448" s="2">
        <f t="shared" si="26"/>
        <v>0</v>
      </c>
      <c r="N448" s="2">
        <v>4.1033971001114278E-3</v>
      </c>
      <c r="O448" s="2">
        <f t="shared" si="27"/>
        <v>0</v>
      </c>
      <c r="P448" s="2">
        <v>-0.7237243964775999</v>
      </c>
      <c r="Q448" s="2">
        <v>11.509679272482799</v>
      </c>
    </row>
    <row r="449" spans="1:17" ht="15">
      <c r="A449" s="2" t="s">
        <v>13</v>
      </c>
      <c r="B449" s="2">
        <v>1383.3264986635186</v>
      </c>
      <c r="C449" s="2">
        <v>1144.2583864787593</v>
      </c>
      <c r="D449" s="2">
        <v>469.5063010789454</v>
      </c>
      <c r="E449" s="2">
        <v>155.14413795433939</v>
      </c>
      <c r="F449" s="2">
        <v>17.261598717886955</v>
      </c>
      <c r="G449" s="2">
        <v>0.85299804695416248</v>
      </c>
      <c r="H449" s="2">
        <v>40</v>
      </c>
      <c r="I449" s="2">
        <v>25</v>
      </c>
      <c r="J449" s="2">
        <f>(IF(A449='Hybrid Calculator'!$B$6,0,1))^2+((B449-'Hybrid Calculator'!$B$7)/1500)^2+((C449-'Hybrid Calculator'!$B$8)/1300)^2+((D449-'Hybrid Calculator'!$B$9)/800)^2+((E449-'Hybrid Calculator'!$B$10)/350)^2+((F449-'Hybrid Calculator'!$B$11)/30)^2+(G449-'Hybrid Calculator'!$B$12)^2+((H449-'Hybrid Calculator'!$E$14)/IF(A449="Lightning",100,30000))^2+((I449-'Hybrid Calculator'!$E$17)/IF(A449="Lightning",100,30000))^2</f>
        <v>6.646920561868791E-2</v>
      </c>
      <c r="K449" s="2">
        <f t="shared" si="24"/>
        <v>98</v>
      </c>
      <c r="L449" s="2">
        <f t="shared" si="25"/>
        <v>0</v>
      </c>
      <c r="M449" s="2">
        <f t="shared" si="26"/>
        <v>0</v>
      </c>
      <c r="N449" s="2">
        <v>6.9873712042878289E-4</v>
      </c>
      <c r="O449" s="2">
        <f t="shared" si="27"/>
        <v>0</v>
      </c>
      <c r="P449" s="2">
        <v>0.69739019524750745</v>
      </c>
      <c r="Q449" s="2">
        <v>5.2266613556319044</v>
      </c>
    </row>
    <row r="450" spans="1:17" ht="15">
      <c r="A450" s="2" t="s">
        <v>13</v>
      </c>
      <c r="B450" s="2">
        <v>1492.3484022729099</v>
      </c>
      <c r="C450" s="2">
        <v>1075.3818820579909</v>
      </c>
      <c r="D450" s="2">
        <v>676.57031361013651</v>
      </c>
      <c r="E450" s="2">
        <v>171.05568850645795</v>
      </c>
      <c r="F450" s="2">
        <v>10.545682052150369</v>
      </c>
      <c r="G450" s="2">
        <v>0.79830884407507263</v>
      </c>
      <c r="H450" s="2">
        <v>35</v>
      </c>
      <c r="I450" s="2">
        <v>25</v>
      </c>
      <c r="J450" s="2">
        <f>(IF(A450='Hybrid Calculator'!$B$6,0,1))^2+((B450-'Hybrid Calculator'!$B$7)/1500)^2+((C450-'Hybrid Calculator'!$B$8)/1300)^2+((D450-'Hybrid Calculator'!$B$9)/800)^2+((E450-'Hybrid Calculator'!$B$10)/350)^2+((F450-'Hybrid Calculator'!$B$11)/30)^2+(G450-'Hybrid Calculator'!$B$12)^2+((H450-'Hybrid Calculator'!$E$14)/IF(A450="Lightning",100,30000))^2+((I450-'Hybrid Calculator'!$E$17)/IF(A450="Lightning",100,30000))^2</f>
        <v>0.17767841644203713</v>
      </c>
      <c r="K450" s="2">
        <f t="shared" ref="K450:K513" si="28">RANK(J450,$J$2:$J$1401,1)</f>
        <v>397</v>
      </c>
      <c r="L450" s="2">
        <f t="shared" ref="L450:L513" si="29">IF(K450&lt;=7,1,0)</f>
        <v>0</v>
      </c>
      <c r="M450" s="2">
        <f t="shared" ref="M450:M513" si="30">IF(L450=1,1/(J450+0.000001),0)</f>
        <v>0</v>
      </c>
      <c r="N450" s="2">
        <v>1.730423431799788E-2</v>
      </c>
      <c r="O450" s="2">
        <f t="shared" ref="O450:O513" si="31">M450</f>
        <v>0</v>
      </c>
      <c r="P450" s="2">
        <v>0.46297000516462816</v>
      </c>
      <c r="Q450" s="2">
        <v>-8.2031648819765906</v>
      </c>
    </row>
    <row r="451" spans="1:17" ht="15">
      <c r="A451" s="2" t="s">
        <v>13</v>
      </c>
      <c r="B451" s="2">
        <v>1491.8536891811527</v>
      </c>
      <c r="C451" s="2">
        <v>1238.7093014316633</v>
      </c>
      <c r="D451" s="2">
        <v>721.32905954495072</v>
      </c>
      <c r="E451" s="2">
        <v>203.29140515066683</v>
      </c>
      <c r="F451" s="2">
        <v>24.295435809064656</v>
      </c>
      <c r="G451" s="2">
        <v>0.83290229602251209</v>
      </c>
      <c r="H451" s="2">
        <v>30</v>
      </c>
      <c r="I451" s="2">
        <v>25</v>
      </c>
      <c r="J451" s="2">
        <f>(IF(A451='Hybrid Calculator'!$B$6,0,1))^2+((B451-'Hybrid Calculator'!$B$7)/1500)^2+((C451-'Hybrid Calculator'!$B$8)/1300)^2+((D451-'Hybrid Calculator'!$B$9)/800)^2+((E451-'Hybrid Calculator'!$B$10)/350)^2+((F451-'Hybrid Calculator'!$B$11)/30)^2+(G451-'Hybrid Calculator'!$B$12)^2+((H451-'Hybrid Calculator'!$E$14)/IF(A451="Lightning",100,30000))^2+((I451-'Hybrid Calculator'!$E$17)/IF(A451="Lightning",100,30000))^2</f>
        <v>0.26860207707160288</v>
      </c>
      <c r="K451" s="2">
        <f t="shared" si="28"/>
        <v>571</v>
      </c>
      <c r="L451" s="2">
        <f t="shared" si="29"/>
        <v>0</v>
      </c>
      <c r="M451" s="2">
        <f t="shared" si="30"/>
        <v>0</v>
      </c>
      <c r="N451" s="2">
        <v>1.6490474602197436E-2</v>
      </c>
      <c r="O451" s="2">
        <f t="shared" si="31"/>
        <v>0</v>
      </c>
      <c r="P451" s="2">
        <v>1.1341627009385462</v>
      </c>
      <c r="Q451" s="2">
        <v>-26.764223522456405</v>
      </c>
    </row>
    <row r="452" spans="1:17" ht="15">
      <c r="A452" s="2" t="s">
        <v>13</v>
      </c>
      <c r="B452" s="2">
        <v>1355.7422388112172</v>
      </c>
      <c r="C452" s="2">
        <v>1187.02556170756</v>
      </c>
      <c r="D452" s="2">
        <v>674.0279745310545</v>
      </c>
      <c r="E452" s="2">
        <v>304.20843289000914</v>
      </c>
      <c r="F452" s="2">
        <v>16.868044738657773</v>
      </c>
      <c r="G452" s="2">
        <v>0.8261521673272364</v>
      </c>
      <c r="H452" s="2">
        <v>35</v>
      </c>
      <c r="I452" s="2">
        <v>25</v>
      </c>
      <c r="J452" s="2">
        <f>(IF(A452='Hybrid Calculator'!$B$6,0,1))^2+((B452-'Hybrid Calculator'!$B$7)/1500)^2+((C452-'Hybrid Calculator'!$B$8)/1300)^2+((D452-'Hybrid Calculator'!$B$9)/800)^2+((E452-'Hybrid Calculator'!$B$10)/350)^2+((F452-'Hybrid Calculator'!$B$11)/30)^2+(G452-'Hybrid Calculator'!$B$12)^2+((H452-'Hybrid Calculator'!$E$14)/IF(A452="Lightning",100,30000))^2+((I452-'Hybrid Calculator'!$E$17)/IF(A452="Lightning",100,30000))^2</f>
        <v>0.33628554918897369</v>
      </c>
      <c r="K452" s="2">
        <f t="shared" si="28"/>
        <v>638</v>
      </c>
      <c r="L452" s="2">
        <f t="shared" si="29"/>
        <v>0</v>
      </c>
      <c r="M452" s="2">
        <f t="shared" si="30"/>
        <v>0</v>
      </c>
      <c r="N452" s="2">
        <v>2.4897335189530967E-3</v>
      </c>
      <c r="O452" s="2">
        <f t="shared" si="31"/>
        <v>0</v>
      </c>
      <c r="P452" s="2">
        <v>0.26308752640002098</v>
      </c>
      <c r="Q452" s="2">
        <v>-5.8767508798159724</v>
      </c>
    </row>
    <row r="453" spans="1:17" ht="15">
      <c r="A453" s="2" t="s">
        <v>13</v>
      </c>
      <c r="B453" s="2">
        <v>1490.2062549605034</v>
      </c>
      <c r="C453" s="2">
        <v>1041.7760875541717</v>
      </c>
      <c r="D453" s="2">
        <v>685.74171690270305</v>
      </c>
      <c r="E453" s="2">
        <v>189.84666307922453</v>
      </c>
      <c r="F453" s="2">
        <v>14.677346668671817</v>
      </c>
      <c r="G453" s="2">
        <v>0.84618189295753843</v>
      </c>
      <c r="H453" s="2">
        <v>40</v>
      </c>
      <c r="I453" s="2">
        <v>25</v>
      </c>
      <c r="J453" s="2">
        <f>(IF(A453='Hybrid Calculator'!$B$6,0,1))^2+((B453-'Hybrid Calculator'!$B$7)/1500)^2+((C453-'Hybrid Calculator'!$B$8)/1300)^2+((D453-'Hybrid Calculator'!$B$9)/800)^2+((E453-'Hybrid Calculator'!$B$10)/350)^2+((F453-'Hybrid Calculator'!$B$11)/30)^2+(G453-'Hybrid Calculator'!$B$12)^2+((H453-'Hybrid Calculator'!$E$14)/IF(A453="Lightning",100,30000))^2+((I453-'Hybrid Calculator'!$E$17)/IF(A453="Lightning",100,30000))^2</f>
        <v>0.11744119007611928</v>
      </c>
      <c r="K453" s="2">
        <f t="shared" si="28"/>
        <v>245</v>
      </c>
      <c r="L453" s="2">
        <f t="shared" si="29"/>
        <v>0</v>
      </c>
      <c r="M453" s="2">
        <f t="shared" si="30"/>
        <v>0</v>
      </c>
      <c r="N453" s="2">
        <v>1.0380921235735086E-2</v>
      </c>
      <c r="O453" s="2">
        <f t="shared" si="31"/>
        <v>0</v>
      </c>
      <c r="P453" s="2">
        <v>1.0249633238543581</v>
      </c>
      <c r="Q453" s="2">
        <v>-3.0830472735528929</v>
      </c>
    </row>
    <row r="454" spans="1:17" ht="15">
      <c r="A454" s="2" t="s">
        <v>13</v>
      </c>
      <c r="B454" s="2">
        <v>1494.525625789538</v>
      </c>
      <c r="C454" s="2">
        <v>611.60261573968455</v>
      </c>
      <c r="D454" s="2">
        <v>471.48201894015074</v>
      </c>
      <c r="E454" s="2">
        <v>300.00221471535042</v>
      </c>
      <c r="F454" s="2">
        <v>29.601013444364071</v>
      </c>
      <c r="G454" s="2">
        <v>0.84758128570625568</v>
      </c>
      <c r="H454" s="2">
        <v>50</v>
      </c>
      <c r="I454" s="2">
        <v>25</v>
      </c>
      <c r="J454" s="2">
        <f>(IF(A454='Hybrid Calculator'!$B$6,0,1))^2+((B454-'Hybrid Calculator'!$B$7)/1500)^2+((C454-'Hybrid Calculator'!$B$8)/1300)^2+((D454-'Hybrid Calculator'!$B$9)/800)^2+((E454-'Hybrid Calculator'!$B$10)/350)^2+((F454-'Hybrid Calculator'!$B$11)/30)^2+(G454-'Hybrid Calculator'!$B$12)^2+((H454-'Hybrid Calculator'!$E$14)/IF(A454="Lightning",100,30000))^2+((I454-'Hybrid Calculator'!$E$17)/IF(A454="Lightning",100,30000))^2</f>
        <v>0.35841290290420857</v>
      </c>
      <c r="K454" s="2">
        <f t="shared" si="28"/>
        <v>655</v>
      </c>
      <c r="L454" s="2">
        <f t="shared" si="29"/>
        <v>0</v>
      </c>
      <c r="M454" s="2">
        <f t="shared" si="30"/>
        <v>0</v>
      </c>
      <c r="N454" s="2">
        <v>-1.0861558238228763E-2</v>
      </c>
      <c r="O454" s="2">
        <f t="shared" si="31"/>
        <v>0</v>
      </c>
      <c r="P454" s="2">
        <v>-1.0236924495525059</v>
      </c>
      <c r="Q454" s="2">
        <v>-2.7567745229137017</v>
      </c>
    </row>
    <row r="455" spans="1:17" ht="15">
      <c r="A455" s="2" t="s">
        <v>13</v>
      </c>
      <c r="B455" s="2">
        <v>1409.0532063622959</v>
      </c>
      <c r="C455" s="2">
        <v>1136.1650515114889</v>
      </c>
      <c r="D455" s="2">
        <v>679.73005743697286</v>
      </c>
      <c r="E455" s="2">
        <v>91.426541488617659</v>
      </c>
      <c r="F455" s="2">
        <v>14.422973437700421</v>
      </c>
      <c r="G455" s="2">
        <v>0.8506291753938422</v>
      </c>
      <c r="H455" s="2">
        <v>40</v>
      </c>
      <c r="I455" s="2">
        <v>25</v>
      </c>
      <c r="J455" s="2">
        <f>(IF(A455='Hybrid Calculator'!$B$6,0,1))^2+((B455-'Hybrid Calculator'!$B$7)/1500)^2+((C455-'Hybrid Calculator'!$B$8)/1300)^2+((D455-'Hybrid Calculator'!$B$9)/800)^2+((E455-'Hybrid Calculator'!$B$10)/350)^2+((F455-'Hybrid Calculator'!$B$11)/30)^2+(G455-'Hybrid Calculator'!$B$12)^2+((H455-'Hybrid Calculator'!$E$14)/IF(A455="Lightning",100,30000))^2+((I455-'Hybrid Calculator'!$E$17)/IF(A455="Lightning",100,30000))^2</f>
        <v>0.15645630935614302</v>
      </c>
      <c r="K455" s="2">
        <f t="shared" si="28"/>
        <v>345</v>
      </c>
      <c r="L455" s="2">
        <f t="shared" si="29"/>
        <v>0</v>
      </c>
      <c r="M455" s="2">
        <f t="shared" si="30"/>
        <v>0</v>
      </c>
      <c r="N455" s="2">
        <v>6.4451342161642167E-4</v>
      </c>
      <c r="O455" s="2">
        <f t="shared" si="31"/>
        <v>0</v>
      </c>
      <c r="P455" s="2">
        <v>0.52409027799919272</v>
      </c>
      <c r="Q455" s="2">
        <v>3.4050530189558685</v>
      </c>
    </row>
    <row r="456" spans="1:17" ht="15">
      <c r="A456" s="2" t="s">
        <v>13</v>
      </c>
      <c r="B456" s="2">
        <v>1496.8467681901529</v>
      </c>
      <c r="C456" s="2">
        <v>826.33827776880935</v>
      </c>
      <c r="D456" s="2">
        <v>365.53680598735809</v>
      </c>
      <c r="E456" s="2">
        <v>265.25831022998318</v>
      </c>
      <c r="F456" s="2">
        <v>21.01102492492646</v>
      </c>
      <c r="G456" s="2">
        <v>0.8137257319665514</v>
      </c>
      <c r="H456" s="2">
        <v>45</v>
      </c>
      <c r="I456" s="2">
        <v>25</v>
      </c>
      <c r="J456" s="2">
        <f>(IF(A456='Hybrid Calculator'!$B$6,0,1))^2+((B456-'Hybrid Calculator'!$B$7)/1500)^2+((C456-'Hybrid Calculator'!$B$8)/1300)^2+((D456-'Hybrid Calculator'!$B$9)/800)^2+((E456-'Hybrid Calculator'!$B$10)/350)^2+((F456-'Hybrid Calculator'!$B$11)/30)^2+(G456-'Hybrid Calculator'!$B$12)^2+((H456-'Hybrid Calculator'!$E$14)/IF(A456="Lightning",100,30000))^2+((I456-'Hybrid Calculator'!$E$17)/IF(A456="Lightning",100,30000))^2</f>
        <v>0.14886595406670922</v>
      </c>
      <c r="K456" s="2">
        <f t="shared" si="28"/>
        <v>323</v>
      </c>
      <c r="L456" s="2">
        <f t="shared" si="29"/>
        <v>0</v>
      </c>
      <c r="M456" s="2">
        <f t="shared" si="30"/>
        <v>0</v>
      </c>
      <c r="N456" s="2">
        <v>-1.9342297646396389E-4</v>
      </c>
      <c r="O456" s="2">
        <f t="shared" si="31"/>
        <v>0</v>
      </c>
      <c r="P456" s="2">
        <v>-0.2796306881990489</v>
      </c>
      <c r="Q456" s="2">
        <v>4.9510615189274176</v>
      </c>
    </row>
    <row r="457" spans="1:17" ht="15">
      <c r="A457" s="2" t="s">
        <v>13</v>
      </c>
      <c r="B457" s="2">
        <v>1434.6539546619169</v>
      </c>
      <c r="C457" s="2">
        <v>640.27323396876454</v>
      </c>
      <c r="D457" s="2">
        <v>447.36371701583266</v>
      </c>
      <c r="E457" s="2">
        <v>102.18310500029474</v>
      </c>
      <c r="F457" s="2">
        <v>20.484349576290697</v>
      </c>
      <c r="G457" s="2">
        <v>0.85736536123789853</v>
      </c>
      <c r="H457" s="2">
        <v>65</v>
      </c>
      <c r="I457" s="2">
        <v>25</v>
      </c>
      <c r="J457" s="2">
        <f>(IF(A457='Hybrid Calculator'!$B$6,0,1))^2+((B457-'Hybrid Calculator'!$B$7)/1500)^2+((C457-'Hybrid Calculator'!$B$8)/1300)^2+((D457-'Hybrid Calculator'!$B$9)/800)^2+((E457-'Hybrid Calculator'!$B$10)/350)^2+((F457-'Hybrid Calculator'!$B$11)/30)^2+(G457-'Hybrid Calculator'!$B$12)^2+((H457-'Hybrid Calculator'!$E$14)/IF(A457="Lightning",100,30000))^2+((I457-'Hybrid Calculator'!$E$17)/IF(A457="Lightning",100,30000))^2</f>
        <v>7.7333536516210694E-2</v>
      </c>
      <c r="K457" s="2">
        <f t="shared" si="28"/>
        <v>128</v>
      </c>
      <c r="L457" s="2">
        <f t="shared" si="29"/>
        <v>0</v>
      </c>
      <c r="M457" s="2">
        <f t="shared" si="30"/>
        <v>0</v>
      </c>
      <c r="N457" s="2">
        <v>-1.4872185908777258E-2</v>
      </c>
      <c r="O457" s="2">
        <f t="shared" si="31"/>
        <v>0</v>
      </c>
      <c r="P457" s="2">
        <v>0.24846339364929548</v>
      </c>
      <c r="Q457" s="2">
        <v>8.8311624241700883</v>
      </c>
    </row>
    <row r="458" spans="1:17" ht="15">
      <c r="A458" s="2" t="s">
        <v>13</v>
      </c>
      <c r="B458" s="2">
        <v>1359.4092713668942</v>
      </c>
      <c r="C458" s="2">
        <v>828.9394274703227</v>
      </c>
      <c r="D458" s="2">
        <v>383.20259768515825</v>
      </c>
      <c r="E458" s="2">
        <v>235.21192323649302</v>
      </c>
      <c r="F458" s="2">
        <v>24.327715074643493</v>
      </c>
      <c r="G458" s="2">
        <v>0.85086218842538075</v>
      </c>
      <c r="H458" s="2">
        <v>55</v>
      </c>
      <c r="I458" s="2">
        <v>25</v>
      </c>
      <c r="J458" s="2">
        <f>(IF(A458='Hybrid Calculator'!$B$6,0,1))^2+((B458-'Hybrid Calculator'!$B$7)/1500)^2+((C458-'Hybrid Calculator'!$B$8)/1300)^2+((D458-'Hybrid Calculator'!$B$9)/800)^2+((E458-'Hybrid Calculator'!$B$10)/350)^2+((F458-'Hybrid Calculator'!$B$11)/30)^2+(G458-'Hybrid Calculator'!$B$12)^2+((H458-'Hybrid Calculator'!$E$14)/IF(A458="Lightning",100,30000))^2+((I458-'Hybrid Calculator'!$E$17)/IF(A458="Lightning",100,30000))^2</f>
        <v>0.12395194843979998</v>
      </c>
      <c r="K458" s="2">
        <f t="shared" si="28"/>
        <v>264</v>
      </c>
      <c r="L458" s="2">
        <f t="shared" si="29"/>
        <v>0</v>
      </c>
      <c r="M458" s="2">
        <f t="shared" si="30"/>
        <v>0</v>
      </c>
      <c r="N458" s="2">
        <v>5.7112477695886454E-4</v>
      </c>
      <c r="O458" s="2">
        <f t="shared" si="31"/>
        <v>0</v>
      </c>
      <c r="P458" s="2">
        <v>-3.9565319587424597E-2</v>
      </c>
      <c r="Q458" s="2">
        <v>5.2115136373552104</v>
      </c>
    </row>
    <row r="459" spans="1:17" ht="15">
      <c r="A459" s="2" t="s">
        <v>13</v>
      </c>
      <c r="B459" s="2">
        <v>1416.8757349834777</v>
      </c>
      <c r="C459" s="2">
        <v>678.79546659532934</v>
      </c>
      <c r="D459" s="2">
        <v>459.21770641580224</v>
      </c>
      <c r="E459" s="2">
        <v>140.74934522621334</v>
      </c>
      <c r="F459" s="2">
        <v>17.933409724850208</v>
      </c>
      <c r="G459" s="2">
        <v>0.80914102811831989</v>
      </c>
      <c r="H459" s="2">
        <v>60</v>
      </c>
      <c r="I459" s="2">
        <v>25</v>
      </c>
      <c r="J459" s="2">
        <f>(IF(A459='Hybrid Calculator'!$B$6,0,1))^2+((B459-'Hybrid Calculator'!$B$7)/1500)^2+((C459-'Hybrid Calculator'!$B$8)/1300)^2+((D459-'Hybrid Calculator'!$B$9)/800)^2+((E459-'Hybrid Calculator'!$B$10)/350)^2+((F459-'Hybrid Calculator'!$B$11)/30)^2+(G459-'Hybrid Calculator'!$B$12)^2+((H459-'Hybrid Calculator'!$E$14)/IF(A459="Lightning",100,30000))^2+((I459-'Hybrid Calculator'!$E$17)/IF(A459="Lightning",100,30000))^2</f>
        <v>3.1145039772029561E-2</v>
      </c>
      <c r="K459" s="2">
        <f t="shared" si="28"/>
        <v>25</v>
      </c>
      <c r="L459" s="2">
        <f t="shared" si="29"/>
        <v>0</v>
      </c>
      <c r="M459" s="2">
        <f t="shared" si="30"/>
        <v>0</v>
      </c>
      <c r="N459" s="2">
        <v>-9.9010070198830569E-3</v>
      </c>
      <c r="O459" s="2">
        <f t="shared" si="31"/>
        <v>0</v>
      </c>
      <c r="P459" s="2">
        <v>0.42225525075406978</v>
      </c>
      <c r="Q459" s="2">
        <v>6.9005977845820325</v>
      </c>
    </row>
    <row r="460" spans="1:17" ht="15">
      <c r="A460" s="2" t="s">
        <v>13</v>
      </c>
      <c r="B460" s="2">
        <v>1481.8648221669719</v>
      </c>
      <c r="C460" s="2">
        <v>723.61992398509756</v>
      </c>
      <c r="D460" s="2">
        <v>385.33260114490986</v>
      </c>
      <c r="E460" s="2">
        <v>137.71745013771579</v>
      </c>
      <c r="F460" s="2">
        <v>25.398257763125002</v>
      </c>
      <c r="G460" s="2">
        <v>0.81608028515009212</v>
      </c>
      <c r="H460" s="2">
        <v>55</v>
      </c>
      <c r="I460" s="2">
        <v>25</v>
      </c>
      <c r="J460" s="2">
        <f>(IF(A460='Hybrid Calculator'!$B$6,0,1))^2+((B460-'Hybrid Calculator'!$B$7)/1500)^2+((C460-'Hybrid Calculator'!$B$8)/1300)^2+((D460-'Hybrid Calculator'!$B$9)/800)^2+((E460-'Hybrid Calculator'!$B$10)/350)^2+((F460-'Hybrid Calculator'!$B$11)/30)^2+(G460-'Hybrid Calculator'!$B$12)^2+((H460-'Hybrid Calculator'!$E$14)/IF(A460="Lightning",100,30000))^2+((I460-'Hybrid Calculator'!$E$17)/IF(A460="Lightning",100,30000))^2</f>
        <v>8.8052880158612179E-2</v>
      </c>
      <c r="K460" s="2">
        <f t="shared" si="28"/>
        <v>165</v>
      </c>
      <c r="L460" s="2">
        <f t="shared" si="29"/>
        <v>0</v>
      </c>
      <c r="M460" s="2">
        <f t="shared" si="30"/>
        <v>0</v>
      </c>
      <c r="N460" s="2">
        <v>-1.4364721314408024E-2</v>
      </c>
      <c r="O460" s="2">
        <f t="shared" si="31"/>
        <v>0</v>
      </c>
      <c r="P460" s="2">
        <v>5.1668614127713397E-2</v>
      </c>
      <c r="Q460" s="2">
        <v>-1.278312324043327</v>
      </c>
    </row>
    <row r="461" spans="1:17" ht="15">
      <c r="A461" s="2" t="s">
        <v>13</v>
      </c>
      <c r="B461" s="2">
        <v>1421.9057606882416</v>
      </c>
      <c r="C461" s="2">
        <v>910.78576198779047</v>
      </c>
      <c r="D461" s="2">
        <v>672.41040570661426</v>
      </c>
      <c r="E461" s="2">
        <v>251.86624452006072</v>
      </c>
      <c r="F461" s="2">
        <v>27.331553760450333</v>
      </c>
      <c r="G461" s="2">
        <v>0.85909830134361986</v>
      </c>
      <c r="H461" s="2">
        <v>40</v>
      </c>
      <c r="I461" s="2">
        <v>25</v>
      </c>
      <c r="J461" s="2">
        <f>(IF(A461='Hybrid Calculator'!$B$6,0,1))^2+((B461-'Hybrid Calculator'!$B$7)/1500)^2+((C461-'Hybrid Calculator'!$B$8)/1300)^2+((D461-'Hybrid Calculator'!$B$9)/800)^2+((E461-'Hybrid Calculator'!$B$10)/350)^2+((F461-'Hybrid Calculator'!$B$11)/30)^2+(G461-'Hybrid Calculator'!$B$12)^2+((H461-'Hybrid Calculator'!$E$14)/IF(A461="Lightning",100,30000))^2+((I461-'Hybrid Calculator'!$E$17)/IF(A461="Lightning",100,30000))^2</f>
        <v>0.23153574176408703</v>
      </c>
      <c r="K461" s="2">
        <f t="shared" si="28"/>
        <v>506</v>
      </c>
      <c r="L461" s="2">
        <f t="shared" si="29"/>
        <v>0</v>
      </c>
      <c r="M461" s="2">
        <f t="shared" si="30"/>
        <v>0</v>
      </c>
      <c r="N461" s="2">
        <v>7.6041046740884521E-3</v>
      </c>
      <c r="O461" s="2">
        <f t="shared" si="31"/>
        <v>0</v>
      </c>
      <c r="P461" s="2">
        <v>-0.12899774876018455</v>
      </c>
      <c r="Q461" s="2">
        <v>-12.875387112843782</v>
      </c>
    </row>
    <row r="462" spans="1:17" ht="15">
      <c r="A462" s="2" t="s">
        <v>13</v>
      </c>
      <c r="B462" s="2">
        <v>1445.4153121914715</v>
      </c>
      <c r="C462" s="2">
        <v>634.38805480254814</v>
      </c>
      <c r="D462" s="2">
        <v>522.53193464130163</v>
      </c>
      <c r="E462" s="2">
        <v>213.08500108541921</v>
      </c>
      <c r="F462" s="2">
        <v>18.599485654383898</v>
      </c>
      <c r="G462" s="2">
        <v>0.8410756869637408</v>
      </c>
      <c r="H462" s="2">
        <v>55</v>
      </c>
      <c r="I462" s="2">
        <v>25</v>
      </c>
      <c r="J462" s="2">
        <f>(IF(A462='Hybrid Calculator'!$B$6,0,1))^2+((B462-'Hybrid Calculator'!$B$7)/1500)^2+((C462-'Hybrid Calculator'!$B$8)/1300)^2+((D462-'Hybrid Calculator'!$B$9)/800)^2+((E462-'Hybrid Calculator'!$B$10)/350)^2+((F462-'Hybrid Calculator'!$B$11)/30)^2+(G462-'Hybrid Calculator'!$B$12)^2+((H462-'Hybrid Calculator'!$E$14)/IF(A462="Lightning",100,30000))^2+((I462-'Hybrid Calculator'!$E$17)/IF(A462="Lightning",100,30000))^2</f>
        <v>6.3929165366582053E-2</v>
      </c>
      <c r="K462" s="2">
        <f t="shared" si="28"/>
        <v>91</v>
      </c>
      <c r="L462" s="2">
        <f t="shared" si="29"/>
        <v>0</v>
      </c>
      <c r="M462" s="2">
        <f t="shared" si="30"/>
        <v>0</v>
      </c>
      <c r="N462" s="2">
        <v>-9.2572595318649586E-3</v>
      </c>
      <c r="O462" s="2">
        <f t="shared" si="31"/>
        <v>0</v>
      </c>
      <c r="P462" s="2">
        <v>-1.6979808387098458</v>
      </c>
      <c r="Q462" s="2">
        <v>10.781568704065194</v>
      </c>
    </row>
    <row r="463" spans="1:17" ht="15">
      <c r="A463" s="2" t="s">
        <v>13</v>
      </c>
      <c r="B463" s="2">
        <v>1350.2671802532859</v>
      </c>
      <c r="C463" s="2">
        <v>659.02561887633055</v>
      </c>
      <c r="D463" s="2">
        <v>547.97188090160489</v>
      </c>
      <c r="E463" s="2">
        <v>104.67808313667774</v>
      </c>
      <c r="F463" s="2">
        <v>16.390806312207133</v>
      </c>
      <c r="G463" s="2">
        <v>0.82840556993614889</v>
      </c>
      <c r="H463" s="2">
        <v>60</v>
      </c>
      <c r="I463" s="2">
        <v>25</v>
      </c>
      <c r="J463" s="2">
        <f>(IF(A463='Hybrid Calculator'!$B$6,0,1))^2+((B463-'Hybrid Calculator'!$B$7)/1500)^2+((C463-'Hybrid Calculator'!$B$8)/1300)^2+((D463-'Hybrid Calculator'!$B$9)/800)^2+((E463-'Hybrid Calculator'!$B$10)/350)^2+((F463-'Hybrid Calculator'!$B$11)/30)^2+(G463-'Hybrid Calculator'!$B$12)^2+((H463-'Hybrid Calculator'!$E$14)/IF(A463="Lightning",100,30000))^2+((I463-'Hybrid Calculator'!$E$17)/IF(A463="Lightning",100,30000))^2</f>
        <v>5.9440223180113307E-2</v>
      </c>
      <c r="K463" s="2">
        <f t="shared" si="28"/>
        <v>79</v>
      </c>
      <c r="L463" s="2">
        <f t="shared" si="29"/>
        <v>0</v>
      </c>
      <c r="M463" s="2">
        <f t="shared" si="30"/>
        <v>0</v>
      </c>
      <c r="N463" s="2">
        <v>-3.6227782553890364E-3</v>
      </c>
      <c r="O463" s="2">
        <f t="shared" si="31"/>
        <v>0</v>
      </c>
      <c r="P463" s="2">
        <v>-1.4163454439720411</v>
      </c>
      <c r="Q463" s="2">
        <v>17.851543870193609</v>
      </c>
    </row>
    <row r="464" spans="1:17" ht="15">
      <c r="A464" s="2" t="s">
        <v>13</v>
      </c>
      <c r="B464" s="2">
        <v>1403.6268301773816</v>
      </c>
      <c r="C464" s="2">
        <v>751.28187573282048</v>
      </c>
      <c r="D464" s="2">
        <v>360.86052637547255</v>
      </c>
      <c r="E464" s="2">
        <v>150.05770161049441</v>
      </c>
      <c r="F464" s="2">
        <v>17.221537724137306</v>
      </c>
      <c r="G464" s="2">
        <v>0.85132561607519164</v>
      </c>
      <c r="H464" s="2">
        <v>60</v>
      </c>
      <c r="I464" s="2">
        <v>25</v>
      </c>
      <c r="J464" s="2">
        <f>(IF(A464='Hybrid Calculator'!$B$6,0,1))^2+((B464-'Hybrid Calculator'!$B$7)/1500)^2+((C464-'Hybrid Calculator'!$B$8)/1300)^2+((D464-'Hybrid Calculator'!$B$9)/800)^2+((E464-'Hybrid Calculator'!$B$10)/350)^2+((F464-'Hybrid Calculator'!$B$11)/30)^2+(G464-'Hybrid Calculator'!$B$12)^2+((H464-'Hybrid Calculator'!$E$14)/IF(A464="Lightning",100,30000))^2+((I464-'Hybrid Calculator'!$E$17)/IF(A464="Lightning",100,30000))^2</f>
        <v>4.9016529785736188E-2</v>
      </c>
      <c r="K464" s="2">
        <f t="shared" si="28"/>
        <v>50</v>
      </c>
      <c r="L464" s="2">
        <f t="shared" si="29"/>
        <v>0</v>
      </c>
      <c r="M464" s="2">
        <f t="shared" si="30"/>
        <v>0</v>
      </c>
      <c r="N464" s="2">
        <v>-1.953323905721227E-3</v>
      </c>
      <c r="O464" s="2">
        <f t="shared" si="31"/>
        <v>0</v>
      </c>
      <c r="P464" s="2">
        <v>0.47090334452885685</v>
      </c>
      <c r="Q464" s="2">
        <v>8.3758372095198865</v>
      </c>
    </row>
    <row r="465" spans="1:17" ht="15">
      <c r="A465" s="2" t="s">
        <v>13</v>
      </c>
      <c r="B465" s="2">
        <v>1479.051115096081</v>
      </c>
      <c r="C465" s="2">
        <v>1218.6505010118708</v>
      </c>
      <c r="D465" s="2">
        <v>429.1636717505753</v>
      </c>
      <c r="E465" s="2">
        <v>83.217384684830904</v>
      </c>
      <c r="F465" s="2">
        <v>27.910837000701576</v>
      </c>
      <c r="G465" s="2">
        <v>0.83821118970867248</v>
      </c>
      <c r="H465" s="2">
        <v>40</v>
      </c>
      <c r="I465" s="2">
        <v>25</v>
      </c>
      <c r="J465" s="2">
        <f>(IF(A465='Hybrid Calculator'!$B$6,0,1))^2+((B465-'Hybrid Calculator'!$B$7)/1500)^2+((C465-'Hybrid Calculator'!$B$8)/1300)^2+((D465-'Hybrid Calculator'!$B$9)/800)^2+((E465-'Hybrid Calculator'!$B$10)/350)^2+((F465-'Hybrid Calculator'!$B$11)/30)^2+(G465-'Hybrid Calculator'!$B$12)^2+((H465-'Hybrid Calculator'!$E$14)/IF(A465="Lightning",100,30000))^2+((I465-'Hybrid Calculator'!$E$17)/IF(A465="Lightning",100,30000))^2</f>
        <v>0.23469825435065456</v>
      </c>
      <c r="K465" s="2">
        <f t="shared" si="28"/>
        <v>514</v>
      </c>
      <c r="L465" s="2">
        <f t="shared" si="29"/>
        <v>0</v>
      </c>
      <c r="M465" s="2">
        <f t="shared" si="30"/>
        <v>0</v>
      </c>
      <c r="N465" s="2">
        <v>1.6539327833715589E-3</v>
      </c>
      <c r="O465" s="2">
        <f t="shared" si="31"/>
        <v>0</v>
      </c>
      <c r="P465" s="2">
        <v>0.69419340340008517</v>
      </c>
      <c r="Q465" s="2">
        <v>-14.570014415964579</v>
      </c>
    </row>
    <row r="466" spans="1:17" ht="15">
      <c r="A466" s="2" t="s">
        <v>13</v>
      </c>
      <c r="B466" s="2">
        <v>1428.2156405271962</v>
      </c>
      <c r="C466" s="2">
        <v>705.9878179919906</v>
      </c>
      <c r="D466" s="2">
        <v>612.26910799741745</v>
      </c>
      <c r="E466" s="2">
        <v>318.38536901166663</v>
      </c>
      <c r="F466" s="2">
        <v>26.952660108916461</v>
      </c>
      <c r="G466" s="2">
        <v>0.84651319410419101</v>
      </c>
      <c r="H466" s="2">
        <v>45</v>
      </c>
      <c r="I466" s="2">
        <v>25</v>
      </c>
      <c r="J466" s="2">
        <f>(IF(A466='Hybrid Calculator'!$B$6,0,1))^2+((B466-'Hybrid Calculator'!$B$7)/1500)^2+((C466-'Hybrid Calculator'!$B$8)/1300)^2+((D466-'Hybrid Calculator'!$B$9)/800)^2+((E466-'Hybrid Calculator'!$B$10)/350)^2+((F466-'Hybrid Calculator'!$B$11)/30)^2+(G466-'Hybrid Calculator'!$B$12)^2+((H466-'Hybrid Calculator'!$E$14)/IF(A466="Lightning",100,30000))^2+((I466-'Hybrid Calculator'!$E$17)/IF(A466="Lightning",100,30000))^2</f>
        <v>0.34601803905872525</v>
      </c>
      <c r="K466" s="2">
        <f t="shared" si="28"/>
        <v>645</v>
      </c>
      <c r="L466" s="2">
        <f t="shared" si="29"/>
        <v>0</v>
      </c>
      <c r="M466" s="2">
        <f t="shared" si="30"/>
        <v>0</v>
      </c>
      <c r="N466" s="2">
        <v>-6.3632782510241181E-3</v>
      </c>
      <c r="O466" s="2">
        <f t="shared" si="31"/>
        <v>0</v>
      </c>
      <c r="P466" s="2">
        <v>0.43404718604595871</v>
      </c>
      <c r="Q466" s="2">
        <v>-16.760396011621424</v>
      </c>
    </row>
    <row r="467" spans="1:17" ht="15">
      <c r="A467" s="2" t="s">
        <v>13</v>
      </c>
      <c r="B467" s="2">
        <v>1426.6716296668164</v>
      </c>
      <c r="C467" s="2">
        <v>945.71919878944755</v>
      </c>
      <c r="D467" s="2">
        <v>597.88257693871856</v>
      </c>
      <c r="E467" s="2">
        <v>105.50381852779537</v>
      </c>
      <c r="F467" s="2">
        <v>12.624573518987745</v>
      </c>
      <c r="G467" s="2">
        <v>0.82636878152377902</v>
      </c>
      <c r="H467" s="2">
        <v>45</v>
      </c>
      <c r="I467" s="2">
        <v>25</v>
      </c>
      <c r="J467" s="2">
        <f>(IF(A467='Hybrid Calculator'!$B$6,0,1))^2+((B467-'Hybrid Calculator'!$B$7)/1500)^2+((C467-'Hybrid Calculator'!$B$8)/1300)^2+((D467-'Hybrid Calculator'!$B$9)/800)^2+((E467-'Hybrid Calculator'!$B$10)/350)^2+((F467-'Hybrid Calculator'!$B$11)/30)^2+(G467-'Hybrid Calculator'!$B$12)^2+((H467-'Hybrid Calculator'!$E$14)/IF(A467="Lightning",100,30000))^2+((I467-'Hybrid Calculator'!$E$17)/IF(A467="Lightning",100,30000))^2</f>
        <v>7.7452308016556504E-2</v>
      </c>
      <c r="K467" s="2">
        <f t="shared" si="28"/>
        <v>129</v>
      </c>
      <c r="L467" s="2">
        <f t="shared" si="29"/>
        <v>0</v>
      </c>
      <c r="M467" s="2">
        <f t="shared" si="30"/>
        <v>0</v>
      </c>
      <c r="N467" s="2">
        <v>1.6281250109524636E-2</v>
      </c>
      <c r="O467" s="2">
        <f t="shared" si="31"/>
        <v>0</v>
      </c>
      <c r="P467" s="2">
        <v>-0.37747023176559935</v>
      </c>
      <c r="Q467" s="2">
        <v>5.3050595915688064</v>
      </c>
    </row>
    <row r="468" spans="1:17" ht="15">
      <c r="A468" s="2" t="s">
        <v>13</v>
      </c>
      <c r="B468" s="2">
        <v>1402.282440662384</v>
      </c>
      <c r="C468" s="2">
        <v>1098.1329197413288</v>
      </c>
      <c r="D468" s="2">
        <v>689.49330318719149</v>
      </c>
      <c r="E468" s="2">
        <v>320.57178065413609</v>
      </c>
      <c r="F468" s="2">
        <v>12.594508079811931</v>
      </c>
      <c r="G468" s="2">
        <v>0.84331150477053596</v>
      </c>
      <c r="H468" s="2">
        <v>35</v>
      </c>
      <c r="I468" s="2">
        <v>25</v>
      </c>
      <c r="J468" s="2">
        <f>(IF(A468='Hybrid Calculator'!$B$6,0,1))^2+((B468-'Hybrid Calculator'!$B$7)/1500)^2+((C468-'Hybrid Calculator'!$B$8)/1300)^2+((D468-'Hybrid Calculator'!$B$9)/800)^2+((E468-'Hybrid Calculator'!$B$10)/350)^2+((F468-'Hybrid Calculator'!$B$11)/30)^2+(G468-'Hybrid Calculator'!$B$12)^2+((H468-'Hybrid Calculator'!$E$14)/IF(A468="Lightning",100,30000))^2+((I468-'Hybrid Calculator'!$E$17)/IF(A468="Lightning",100,30000))^2</f>
        <v>0.39206835472573387</v>
      </c>
      <c r="K468" s="2">
        <f t="shared" si="28"/>
        <v>681</v>
      </c>
      <c r="L468" s="2">
        <f t="shared" si="29"/>
        <v>0</v>
      </c>
      <c r="M468" s="2">
        <f t="shared" si="30"/>
        <v>0</v>
      </c>
      <c r="N468" s="2">
        <v>2.1354060698022703E-2</v>
      </c>
      <c r="O468" s="2">
        <f t="shared" si="31"/>
        <v>0</v>
      </c>
      <c r="P468" s="2">
        <v>0.56087262514073899</v>
      </c>
      <c r="Q468" s="2">
        <v>-12.594226292452504</v>
      </c>
    </row>
    <row r="469" spans="1:17" ht="15">
      <c r="A469" s="2" t="s">
        <v>13</v>
      </c>
      <c r="B469" s="2">
        <v>1498.760273179505</v>
      </c>
      <c r="C469" s="2">
        <v>726.2053499231115</v>
      </c>
      <c r="D469" s="2">
        <v>696.78458431735635</v>
      </c>
      <c r="E469" s="2">
        <v>145.39877294562757</v>
      </c>
      <c r="F469" s="2">
        <v>25.736779626924545</v>
      </c>
      <c r="G469" s="2">
        <v>0.7909609153913334</v>
      </c>
      <c r="H469" s="2">
        <v>40</v>
      </c>
      <c r="I469" s="2">
        <v>25</v>
      </c>
      <c r="J469" s="2">
        <f>(IF(A469='Hybrid Calculator'!$B$6,0,1))^2+((B469-'Hybrid Calculator'!$B$7)/1500)^2+((C469-'Hybrid Calculator'!$B$8)/1300)^2+((D469-'Hybrid Calculator'!$B$9)/800)^2+((E469-'Hybrid Calculator'!$B$10)/350)^2+((F469-'Hybrid Calculator'!$B$11)/30)^2+(G469-'Hybrid Calculator'!$B$12)^2+((H469-'Hybrid Calculator'!$E$14)/IF(A469="Lightning",100,30000))^2+((I469-'Hybrid Calculator'!$E$17)/IF(A469="Lightning",100,30000))^2</f>
        <v>0.1411987423341638</v>
      </c>
      <c r="K469" s="2">
        <f t="shared" si="28"/>
        <v>306</v>
      </c>
      <c r="L469" s="2">
        <f t="shared" si="29"/>
        <v>0</v>
      </c>
      <c r="M469" s="2">
        <f t="shared" si="30"/>
        <v>0</v>
      </c>
      <c r="N469" s="2">
        <v>5.7937992974288477E-4</v>
      </c>
      <c r="O469" s="2">
        <f t="shared" si="31"/>
        <v>0</v>
      </c>
      <c r="P469" s="2">
        <v>0.47591364959474447</v>
      </c>
      <c r="Q469" s="2">
        <v>-14.481126661566577</v>
      </c>
    </row>
    <row r="470" spans="1:17" ht="15">
      <c r="A470" s="2" t="s">
        <v>13</v>
      </c>
      <c r="B470" s="2">
        <v>1472.4869549972937</v>
      </c>
      <c r="C470" s="2">
        <v>964.76728661218658</v>
      </c>
      <c r="D470" s="2">
        <v>393.81066597998142</v>
      </c>
      <c r="E470" s="2">
        <v>107.01094857184216</v>
      </c>
      <c r="F470" s="2">
        <v>26.320591413415968</v>
      </c>
      <c r="G470" s="2">
        <v>0.81423244605539369</v>
      </c>
      <c r="H470" s="2">
        <v>45</v>
      </c>
      <c r="I470" s="2">
        <v>25</v>
      </c>
      <c r="J470" s="2">
        <f>(IF(A470='Hybrid Calculator'!$B$6,0,1))^2+((B470-'Hybrid Calculator'!$B$7)/1500)^2+((C470-'Hybrid Calculator'!$B$8)/1300)^2+((D470-'Hybrid Calculator'!$B$9)/800)^2+((E470-'Hybrid Calculator'!$B$10)/350)^2+((F470-'Hybrid Calculator'!$B$11)/30)^2+(G470-'Hybrid Calculator'!$B$12)^2+((H470-'Hybrid Calculator'!$E$14)/IF(A470="Lightning",100,30000))^2+((I470-'Hybrid Calculator'!$E$17)/IF(A470="Lightning",100,30000))^2</f>
        <v>0.11199190056335807</v>
      </c>
      <c r="K470" s="2">
        <f t="shared" si="28"/>
        <v>233</v>
      </c>
      <c r="L470" s="2">
        <f t="shared" si="29"/>
        <v>0</v>
      </c>
      <c r="M470" s="2">
        <f t="shared" si="30"/>
        <v>0</v>
      </c>
      <c r="N470" s="2">
        <v>-6.0087867967340003E-4</v>
      </c>
      <c r="O470" s="2">
        <f t="shared" si="31"/>
        <v>0</v>
      </c>
      <c r="P470" s="2">
        <v>-0.89678517252064438</v>
      </c>
      <c r="Q470" s="2">
        <v>-1.7298398636362435</v>
      </c>
    </row>
    <row r="471" spans="1:17" ht="15">
      <c r="A471" s="2" t="s">
        <v>13</v>
      </c>
      <c r="B471" s="2">
        <v>1378.3918284229003</v>
      </c>
      <c r="C471" s="2">
        <v>1005.6685707997531</v>
      </c>
      <c r="D471" s="2">
        <v>523.07977927848697</v>
      </c>
      <c r="E471" s="2">
        <v>151.26919541042298</v>
      </c>
      <c r="F471" s="2">
        <v>22.65266242204234</v>
      </c>
      <c r="G471" s="2">
        <v>0.79035491727292539</v>
      </c>
      <c r="H471" s="2">
        <v>45</v>
      </c>
      <c r="I471" s="2">
        <v>25</v>
      </c>
      <c r="J471" s="2">
        <f>(IF(A471='Hybrid Calculator'!$B$6,0,1))^2+((B471-'Hybrid Calculator'!$B$7)/1500)^2+((C471-'Hybrid Calculator'!$B$8)/1300)^2+((D471-'Hybrid Calculator'!$B$9)/800)^2+((E471-'Hybrid Calculator'!$B$10)/350)^2+((F471-'Hybrid Calculator'!$B$11)/30)^2+(G471-'Hybrid Calculator'!$B$12)^2+((H471-'Hybrid Calculator'!$E$14)/IF(A471="Lightning",100,30000))^2+((I471-'Hybrid Calculator'!$E$17)/IF(A471="Lightning",100,30000))^2</f>
        <v>3.8689314158635794E-2</v>
      </c>
      <c r="K471" s="2">
        <f t="shared" si="28"/>
        <v>34</v>
      </c>
      <c r="L471" s="2">
        <f t="shared" si="29"/>
        <v>0</v>
      </c>
      <c r="M471" s="2">
        <f t="shared" si="30"/>
        <v>0</v>
      </c>
      <c r="N471" s="2">
        <v>5.7089062743329588E-3</v>
      </c>
      <c r="O471" s="2">
        <f t="shared" si="31"/>
        <v>0</v>
      </c>
      <c r="P471" s="2">
        <v>0.97708412456776728</v>
      </c>
      <c r="Q471" s="2">
        <v>-4.2270044564918408</v>
      </c>
    </row>
    <row r="472" spans="1:17" ht="15">
      <c r="A472" s="2" t="s">
        <v>13</v>
      </c>
      <c r="B472" s="2">
        <v>1378.3237501513213</v>
      </c>
      <c r="C472" s="2">
        <v>711.06690400047228</v>
      </c>
      <c r="D472" s="2">
        <v>437.2772729024291</v>
      </c>
      <c r="E472" s="2">
        <v>140.69069058867171</v>
      </c>
      <c r="F472" s="2">
        <v>28.307680975645781</v>
      </c>
      <c r="G472" s="2">
        <v>0.859584716076497</v>
      </c>
      <c r="H472" s="2">
        <v>55</v>
      </c>
      <c r="I472" s="2">
        <v>25</v>
      </c>
      <c r="J472" s="2">
        <f>(IF(A472='Hybrid Calculator'!$B$6,0,1))^2+((B472-'Hybrid Calculator'!$B$7)/1500)^2+((C472-'Hybrid Calculator'!$B$8)/1300)^2+((D472-'Hybrid Calculator'!$B$9)/800)^2+((E472-'Hybrid Calculator'!$B$10)/350)^2+((F472-'Hybrid Calculator'!$B$11)/30)^2+(G472-'Hybrid Calculator'!$B$12)^2+((H472-'Hybrid Calculator'!$E$14)/IF(A472="Lightning",100,30000))^2+((I472-'Hybrid Calculator'!$E$17)/IF(A472="Lightning",100,30000))^2</f>
        <v>0.1301897908656495</v>
      </c>
      <c r="K472" s="2">
        <f t="shared" si="28"/>
        <v>277</v>
      </c>
      <c r="L472" s="2">
        <f t="shared" si="29"/>
        <v>0</v>
      </c>
      <c r="M472" s="2">
        <f t="shared" si="30"/>
        <v>0</v>
      </c>
      <c r="N472" s="2">
        <v>-2.027574346444605E-2</v>
      </c>
      <c r="O472" s="2">
        <f t="shared" si="31"/>
        <v>0</v>
      </c>
      <c r="P472" s="2">
        <v>-0.85312811733350458</v>
      </c>
      <c r="Q472" s="2">
        <v>-9.1397514407242397</v>
      </c>
    </row>
    <row r="473" spans="1:17" ht="15">
      <c r="A473" s="2" t="s">
        <v>13</v>
      </c>
      <c r="B473" s="2">
        <v>1401.0396048543043</v>
      </c>
      <c r="C473" s="2">
        <v>745.94799641054124</v>
      </c>
      <c r="D473" s="2">
        <v>745.18119292333722</v>
      </c>
      <c r="E473" s="2">
        <v>248.48619189113379</v>
      </c>
      <c r="F473" s="2">
        <v>11.306563275400549</v>
      </c>
      <c r="G473" s="2">
        <v>0.82954835023265339</v>
      </c>
      <c r="H473" s="2">
        <v>45</v>
      </c>
      <c r="I473" s="2">
        <v>25</v>
      </c>
      <c r="J473" s="2">
        <f>(IF(A473='Hybrid Calculator'!$B$6,0,1))^2+((B473-'Hybrid Calculator'!$B$7)/1500)^2+((C473-'Hybrid Calculator'!$B$8)/1300)^2+((D473-'Hybrid Calculator'!$B$9)/800)^2+((E473-'Hybrid Calculator'!$B$10)/350)^2+((F473-'Hybrid Calculator'!$B$11)/30)^2+(G473-'Hybrid Calculator'!$B$12)^2+((H473-'Hybrid Calculator'!$E$14)/IF(A473="Lightning",100,30000))^2+((I473-'Hybrid Calculator'!$E$17)/IF(A473="Lightning",100,30000))^2</f>
        <v>0.23985544059369782</v>
      </c>
      <c r="K473" s="2">
        <f t="shared" si="28"/>
        <v>519</v>
      </c>
      <c r="L473" s="2">
        <f t="shared" si="29"/>
        <v>0</v>
      </c>
      <c r="M473" s="2">
        <f t="shared" si="30"/>
        <v>0</v>
      </c>
      <c r="N473" s="2">
        <v>1.253476971693579E-2</v>
      </c>
      <c r="O473" s="2">
        <f t="shared" si="31"/>
        <v>0</v>
      </c>
      <c r="P473" s="2">
        <v>-1.1136748886008547</v>
      </c>
      <c r="Q473" s="2">
        <v>6.3844440465613843</v>
      </c>
    </row>
    <row r="474" spans="1:17" ht="15">
      <c r="A474" s="2" t="s">
        <v>13</v>
      </c>
      <c r="B474" s="2">
        <v>1421.9040151918307</v>
      </c>
      <c r="C474" s="2">
        <v>670.6219709594734</v>
      </c>
      <c r="D474" s="2">
        <v>559.01876911520958</v>
      </c>
      <c r="E474" s="2">
        <v>243.18042710190639</v>
      </c>
      <c r="F474" s="2">
        <v>26.430613867007196</v>
      </c>
      <c r="G474" s="2">
        <v>0.8369015131308698</v>
      </c>
      <c r="H474" s="2">
        <v>50</v>
      </c>
      <c r="I474" s="2">
        <v>25</v>
      </c>
      <c r="J474" s="2">
        <f>(IF(A474='Hybrid Calculator'!$B$6,0,1))^2+((B474-'Hybrid Calculator'!$B$7)/1500)^2+((C474-'Hybrid Calculator'!$B$8)/1300)^2+((D474-'Hybrid Calculator'!$B$9)/800)^2+((E474-'Hybrid Calculator'!$B$10)/350)^2+((F474-'Hybrid Calculator'!$B$11)/30)^2+(G474-'Hybrid Calculator'!$B$12)^2+((H474-'Hybrid Calculator'!$E$14)/IF(A474="Lightning",100,30000))^2+((I474-'Hybrid Calculator'!$E$17)/IF(A474="Lightning",100,30000))^2</f>
        <v>0.16553301171805226</v>
      </c>
      <c r="K474" s="2">
        <f t="shared" si="28"/>
        <v>368</v>
      </c>
      <c r="L474" s="2">
        <f t="shared" si="29"/>
        <v>0</v>
      </c>
      <c r="M474" s="2">
        <f t="shared" si="30"/>
        <v>0</v>
      </c>
      <c r="N474" s="2">
        <v>2.7137260093026416E-3</v>
      </c>
      <c r="O474" s="2">
        <f t="shared" si="31"/>
        <v>0</v>
      </c>
      <c r="P474" s="2">
        <v>-0.31953066677527175</v>
      </c>
      <c r="Q474" s="2">
        <v>-7.7285669680204592</v>
      </c>
    </row>
    <row r="475" spans="1:17" ht="15">
      <c r="A475" s="2" t="s">
        <v>13</v>
      </c>
      <c r="B475" s="2">
        <v>1434.3673659372143</v>
      </c>
      <c r="C475" s="2">
        <v>1142.5196297466755</v>
      </c>
      <c r="D475" s="2">
        <v>620.86047222837806</v>
      </c>
      <c r="E475" s="2">
        <v>156.22695632744581</v>
      </c>
      <c r="F475" s="2">
        <v>28.547818274702877</v>
      </c>
      <c r="G475" s="2">
        <v>0.84856834839098161</v>
      </c>
      <c r="H475" s="2">
        <v>35</v>
      </c>
      <c r="I475" s="2">
        <v>25</v>
      </c>
      <c r="J475" s="2">
        <f>(IF(A475='Hybrid Calculator'!$B$6,0,1))^2+((B475-'Hybrid Calculator'!$B$7)/1500)^2+((C475-'Hybrid Calculator'!$B$8)/1300)^2+((D475-'Hybrid Calculator'!$B$9)/800)^2+((E475-'Hybrid Calculator'!$B$10)/350)^2+((F475-'Hybrid Calculator'!$B$11)/30)^2+(G475-'Hybrid Calculator'!$B$12)^2+((H475-'Hybrid Calculator'!$E$14)/IF(A475="Lightning",100,30000))^2+((I475-'Hybrid Calculator'!$E$17)/IF(A475="Lightning",100,30000))^2</f>
        <v>0.20930358914006686</v>
      </c>
      <c r="K475" s="2">
        <f t="shared" si="28"/>
        <v>463</v>
      </c>
      <c r="L475" s="2">
        <f t="shared" si="29"/>
        <v>0</v>
      </c>
      <c r="M475" s="2">
        <f t="shared" si="30"/>
        <v>0</v>
      </c>
      <c r="N475" s="2">
        <v>9.4226146402138777E-3</v>
      </c>
      <c r="O475" s="2">
        <f t="shared" si="31"/>
        <v>0</v>
      </c>
      <c r="P475" s="2">
        <v>-0.32782867418004003</v>
      </c>
      <c r="Q475" s="2">
        <v>-28.981209136459029</v>
      </c>
    </row>
    <row r="476" spans="1:17" ht="15">
      <c r="A476" s="2" t="s">
        <v>13</v>
      </c>
      <c r="B476" s="2">
        <v>1395.8115301094949</v>
      </c>
      <c r="C476" s="2">
        <v>697.7847128524445</v>
      </c>
      <c r="D476" s="2">
        <v>382.37224463373423</v>
      </c>
      <c r="E476" s="2">
        <v>145.5788472504355</v>
      </c>
      <c r="F476" s="2">
        <v>24.696814144030213</v>
      </c>
      <c r="G476" s="2">
        <v>0.85922550502466044</v>
      </c>
      <c r="H476" s="2">
        <v>60</v>
      </c>
      <c r="I476" s="2">
        <v>25</v>
      </c>
      <c r="J476" s="2">
        <f>(IF(A476='Hybrid Calculator'!$B$6,0,1))^2+((B476-'Hybrid Calculator'!$B$7)/1500)^2+((C476-'Hybrid Calculator'!$B$8)/1300)^2+((D476-'Hybrid Calculator'!$B$9)/800)^2+((E476-'Hybrid Calculator'!$B$10)/350)^2+((F476-'Hybrid Calculator'!$B$11)/30)^2+(G476-'Hybrid Calculator'!$B$12)^2+((H476-'Hybrid Calculator'!$E$14)/IF(A476="Lightning",100,30000))^2+((I476-'Hybrid Calculator'!$E$17)/IF(A476="Lightning",100,30000))^2</f>
        <v>9.0073045382456224E-2</v>
      </c>
      <c r="K476" s="2">
        <f t="shared" si="28"/>
        <v>174</v>
      </c>
      <c r="L476" s="2">
        <f t="shared" si="29"/>
        <v>0</v>
      </c>
      <c r="M476" s="2">
        <f t="shared" si="30"/>
        <v>0</v>
      </c>
      <c r="N476" s="2">
        <v>-1.1881286902462485E-2</v>
      </c>
      <c r="O476" s="2">
        <f t="shared" si="31"/>
        <v>0</v>
      </c>
      <c r="P476" s="2">
        <v>-5.2200965534836996E-2</v>
      </c>
      <c r="Q476" s="2">
        <v>4.0889689829286908</v>
      </c>
    </row>
    <row r="477" spans="1:17" ht="15">
      <c r="A477" s="2" t="s">
        <v>13</v>
      </c>
      <c r="B477" s="2">
        <v>1467.5511331879534</v>
      </c>
      <c r="C477" s="2">
        <v>969.97945413459092</v>
      </c>
      <c r="D477" s="2">
        <v>537.28465372696519</v>
      </c>
      <c r="E477" s="2">
        <v>131.67004116810858</v>
      </c>
      <c r="F477" s="2">
        <v>19.817725845146924</v>
      </c>
      <c r="G477" s="2">
        <v>0.79415510004851975</v>
      </c>
      <c r="H477" s="2">
        <v>40</v>
      </c>
      <c r="I477" s="2">
        <v>25</v>
      </c>
      <c r="J477" s="2">
        <f>(IF(A477='Hybrid Calculator'!$B$6,0,1))^2+((B477-'Hybrid Calculator'!$B$7)/1500)^2+((C477-'Hybrid Calculator'!$B$8)/1300)^2+((D477-'Hybrid Calculator'!$B$9)/800)^2+((E477-'Hybrid Calculator'!$B$10)/350)^2+((F477-'Hybrid Calculator'!$B$11)/30)^2+(G477-'Hybrid Calculator'!$B$12)^2+((H477-'Hybrid Calculator'!$E$14)/IF(A477="Lightning",100,30000))^2+((I477-'Hybrid Calculator'!$E$17)/IF(A477="Lightning",100,30000))^2</f>
        <v>2.6834653340113986E-2</v>
      </c>
      <c r="K477" s="2">
        <f t="shared" si="28"/>
        <v>19</v>
      </c>
      <c r="L477" s="2">
        <f t="shared" si="29"/>
        <v>0</v>
      </c>
      <c r="M477" s="2">
        <f t="shared" si="30"/>
        <v>0</v>
      </c>
      <c r="N477" s="2">
        <v>-1.0880619679919601E-2</v>
      </c>
      <c r="O477" s="2">
        <f t="shared" si="31"/>
        <v>0</v>
      </c>
      <c r="P477" s="2">
        <v>0.65500658993102689</v>
      </c>
      <c r="Q477" s="2">
        <v>-6.803602226977091</v>
      </c>
    </row>
    <row r="478" spans="1:17" ht="15">
      <c r="A478" s="2" t="s">
        <v>13</v>
      </c>
      <c r="B478" s="2">
        <v>1496.799541823566</v>
      </c>
      <c r="C478" s="2">
        <v>785.31095724320039</v>
      </c>
      <c r="D478" s="2">
        <v>734.33810491114855</v>
      </c>
      <c r="E478" s="2">
        <v>129.06526167178527</v>
      </c>
      <c r="F478" s="2">
        <v>22.405707499012351</v>
      </c>
      <c r="G478" s="2">
        <v>0.81376273752423012</v>
      </c>
      <c r="H478" s="2">
        <v>40</v>
      </c>
      <c r="I478" s="2">
        <v>25</v>
      </c>
      <c r="J478" s="2">
        <f>(IF(A478='Hybrid Calculator'!$B$6,0,1))^2+((B478-'Hybrid Calculator'!$B$7)/1500)^2+((C478-'Hybrid Calculator'!$B$8)/1300)^2+((D478-'Hybrid Calculator'!$B$9)/800)^2+((E478-'Hybrid Calculator'!$B$10)/350)^2+((F478-'Hybrid Calculator'!$B$11)/30)^2+(G478-'Hybrid Calculator'!$B$12)^2+((H478-'Hybrid Calculator'!$E$14)/IF(A478="Lightning",100,30000))^2+((I478-'Hybrid Calculator'!$E$17)/IF(A478="Lightning",100,30000))^2</f>
        <v>0.12113705776447986</v>
      </c>
      <c r="K478" s="2">
        <f t="shared" si="28"/>
        <v>254</v>
      </c>
      <c r="L478" s="2">
        <f t="shared" si="29"/>
        <v>0</v>
      </c>
      <c r="M478" s="2">
        <f t="shared" si="30"/>
        <v>0</v>
      </c>
      <c r="N478" s="2">
        <v>2.257016813120627E-3</v>
      </c>
      <c r="O478" s="2">
        <f t="shared" si="31"/>
        <v>0</v>
      </c>
      <c r="P478" s="2">
        <v>0.36973087156847839</v>
      </c>
      <c r="Q478" s="2">
        <v>-1.1058636022380597</v>
      </c>
    </row>
    <row r="479" spans="1:17" ht="15">
      <c r="A479" s="2" t="s">
        <v>13</v>
      </c>
      <c r="B479" s="2">
        <v>1444.4670212105848</v>
      </c>
      <c r="C479" s="2">
        <v>616.85989315155894</v>
      </c>
      <c r="D479" s="2">
        <v>422.05678829923272</v>
      </c>
      <c r="E479" s="2">
        <v>92.481855927035213</v>
      </c>
      <c r="F479" s="2">
        <v>22.982346851844341</v>
      </c>
      <c r="G479" s="2">
        <v>0.79027701419312513</v>
      </c>
      <c r="H479" s="2">
        <v>60</v>
      </c>
      <c r="I479" s="2">
        <v>25</v>
      </c>
      <c r="J479" s="2">
        <f>(IF(A479='Hybrid Calculator'!$B$6,0,1))^2+((B479-'Hybrid Calculator'!$B$7)/1500)^2+((C479-'Hybrid Calculator'!$B$8)/1300)^2+((D479-'Hybrid Calculator'!$B$9)/800)^2+((E479-'Hybrid Calculator'!$B$10)/350)^2+((F479-'Hybrid Calculator'!$B$11)/30)^2+(G479-'Hybrid Calculator'!$B$12)^2+((H479-'Hybrid Calculator'!$E$14)/IF(A479="Lightning",100,30000))^2+((I479-'Hybrid Calculator'!$E$17)/IF(A479="Lightning",100,30000))^2</f>
        <v>0.10203725748950454</v>
      </c>
      <c r="K479" s="2">
        <f t="shared" si="28"/>
        <v>209</v>
      </c>
      <c r="L479" s="2">
        <f t="shared" si="29"/>
        <v>0</v>
      </c>
      <c r="M479" s="2">
        <f t="shared" si="30"/>
        <v>0</v>
      </c>
      <c r="N479" s="2">
        <v>-1.8417065685896183E-2</v>
      </c>
      <c r="O479" s="2">
        <f t="shared" si="31"/>
        <v>0</v>
      </c>
      <c r="P479" s="2">
        <v>-1.2835038778153702</v>
      </c>
      <c r="Q479" s="2">
        <v>7.3273224248578117</v>
      </c>
    </row>
    <row r="480" spans="1:17" ht="15">
      <c r="A480" s="2" t="s">
        <v>13</v>
      </c>
      <c r="B480" s="2">
        <v>1443.5756324557588</v>
      </c>
      <c r="C480" s="2">
        <v>881.7690102965571</v>
      </c>
      <c r="D480" s="2">
        <v>544.03572864830494</v>
      </c>
      <c r="E480" s="2">
        <v>214.78469307301566</v>
      </c>
      <c r="F480" s="2">
        <v>12.422383205033839</v>
      </c>
      <c r="G480" s="2">
        <v>0.84281135475961499</v>
      </c>
      <c r="H480" s="2">
        <v>45</v>
      </c>
      <c r="I480" s="2">
        <v>25</v>
      </c>
      <c r="J480" s="2">
        <f>(IF(A480='Hybrid Calculator'!$B$6,0,1))^2+((B480-'Hybrid Calculator'!$B$7)/1500)^2+((C480-'Hybrid Calculator'!$B$8)/1300)^2+((D480-'Hybrid Calculator'!$B$9)/800)^2+((E480-'Hybrid Calculator'!$B$10)/350)^2+((F480-'Hybrid Calculator'!$B$11)/30)^2+(G480-'Hybrid Calculator'!$B$12)^2+((H480-'Hybrid Calculator'!$E$14)/IF(A480="Lightning",100,30000))^2+((I480-'Hybrid Calculator'!$E$17)/IF(A480="Lightning",100,30000))^2</f>
        <v>8.2104100869526242E-2</v>
      </c>
      <c r="K480" s="2">
        <f t="shared" si="28"/>
        <v>145</v>
      </c>
      <c r="L480" s="2">
        <f t="shared" si="29"/>
        <v>0</v>
      </c>
      <c r="M480" s="2">
        <f t="shared" si="30"/>
        <v>0</v>
      </c>
      <c r="N480" s="2">
        <v>1.0525633879181484E-2</v>
      </c>
      <c r="O480" s="2">
        <f t="shared" si="31"/>
        <v>0</v>
      </c>
      <c r="P480" s="2">
        <v>0.85579106709636221</v>
      </c>
      <c r="Q480" s="2">
        <v>1.5731676773627896</v>
      </c>
    </row>
    <row r="481" spans="1:17" ht="15">
      <c r="A481" s="2" t="s">
        <v>13</v>
      </c>
      <c r="B481" s="2">
        <v>1456.2279342091642</v>
      </c>
      <c r="C481" s="2">
        <v>1196.2653884198517</v>
      </c>
      <c r="D481" s="2">
        <v>441.75614519044757</v>
      </c>
      <c r="E481" s="2">
        <v>137.50019929837435</v>
      </c>
      <c r="F481" s="2">
        <v>14.88636254100129</v>
      </c>
      <c r="G481" s="2">
        <v>0.85937017682939776</v>
      </c>
      <c r="H481" s="2">
        <v>40</v>
      </c>
      <c r="I481" s="2">
        <v>25</v>
      </c>
      <c r="J481" s="2">
        <f>(IF(A481='Hybrid Calculator'!$B$6,0,1))^2+((B481-'Hybrid Calculator'!$B$7)/1500)^2+((C481-'Hybrid Calculator'!$B$8)/1300)^2+((D481-'Hybrid Calculator'!$B$9)/800)^2+((E481-'Hybrid Calculator'!$B$10)/350)^2+((F481-'Hybrid Calculator'!$B$11)/30)^2+(G481-'Hybrid Calculator'!$B$12)^2+((H481-'Hybrid Calculator'!$E$14)/IF(A481="Lightning",100,30000))^2+((I481-'Hybrid Calculator'!$E$17)/IF(A481="Lightning",100,30000))^2</f>
        <v>0.10401532274436912</v>
      </c>
      <c r="K481" s="2">
        <f t="shared" si="28"/>
        <v>214</v>
      </c>
      <c r="L481" s="2">
        <f t="shared" si="29"/>
        <v>0</v>
      </c>
      <c r="M481" s="2">
        <f t="shared" si="30"/>
        <v>0</v>
      </c>
      <c r="N481" s="2">
        <v>1.3499407923861062E-2</v>
      </c>
      <c r="O481" s="2">
        <f t="shared" si="31"/>
        <v>0</v>
      </c>
      <c r="P481" s="2">
        <v>-0.26992792014655009</v>
      </c>
      <c r="Q481" s="2">
        <v>8.9196921365917206</v>
      </c>
    </row>
    <row r="482" spans="1:17" ht="15">
      <c r="A482" s="2" t="s">
        <v>13</v>
      </c>
      <c r="B482" s="2">
        <v>1433.0999282654375</v>
      </c>
      <c r="C482" s="2">
        <v>788.52696743560955</v>
      </c>
      <c r="D482" s="2">
        <v>567.79380943626165</v>
      </c>
      <c r="E482" s="2">
        <v>164.42442660452798</v>
      </c>
      <c r="F482" s="2">
        <v>19.238558772951365</v>
      </c>
      <c r="G482" s="2">
        <v>0.80029331632191314</v>
      </c>
      <c r="H482" s="2">
        <v>50</v>
      </c>
      <c r="I482" s="2">
        <v>25</v>
      </c>
      <c r="J482" s="2">
        <f>(IF(A482='Hybrid Calculator'!$B$6,0,1))^2+((B482-'Hybrid Calculator'!$B$7)/1500)^2+((C482-'Hybrid Calculator'!$B$8)/1300)^2+((D482-'Hybrid Calculator'!$B$9)/800)^2+((E482-'Hybrid Calculator'!$B$10)/350)^2+((F482-'Hybrid Calculator'!$B$11)/30)^2+(G482-'Hybrid Calculator'!$B$12)^2+((H482-'Hybrid Calculator'!$E$14)/IF(A482="Lightning",100,30000))^2+((I482-'Hybrid Calculator'!$E$17)/IF(A482="Lightning",100,30000))^2</f>
        <v>1.2139378306100771E-2</v>
      </c>
      <c r="K482" s="2">
        <f t="shared" si="28"/>
        <v>4</v>
      </c>
      <c r="L482" s="2">
        <f t="shared" si="29"/>
        <v>1</v>
      </c>
      <c r="M482" s="2">
        <f t="shared" si="30"/>
        <v>82.369756097096342</v>
      </c>
      <c r="N482" s="2">
        <v>-8.1768003415441104E-3</v>
      </c>
      <c r="O482" s="2">
        <f t="shared" si="31"/>
        <v>82.369756097096342</v>
      </c>
      <c r="P482" s="2">
        <v>-1.01422581249237</v>
      </c>
      <c r="Q482" s="2">
        <v>9.9583733043652956</v>
      </c>
    </row>
    <row r="483" spans="1:17" ht="15">
      <c r="A483" s="2" t="s">
        <v>13</v>
      </c>
      <c r="B483" s="2">
        <v>1441.3550263387151</v>
      </c>
      <c r="C483" s="2">
        <v>1079.3821313185617</v>
      </c>
      <c r="D483" s="2">
        <v>624.20136081054807</v>
      </c>
      <c r="E483" s="2">
        <v>276.58147916197777</v>
      </c>
      <c r="F483" s="2">
        <v>16.414479414466769</v>
      </c>
      <c r="G483" s="2">
        <v>0.83626637495588518</v>
      </c>
      <c r="H483" s="2">
        <v>35</v>
      </c>
      <c r="I483" s="2">
        <v>25</v>
      </c>
      <c r="J483" s="2">
        <f>(IF(A483='Hybrid Calculator'!$B$6,0,1))^2+((B483-'Hybrid Calculator'!$B$7)/1500)^2+((C483-'Hybrid Calculator'!$B$8)/1300)^2+((D483-'Hybrid Calculator'!$B$9)/800)^2+((E483-'Hybrid Calculator'!$B$10)/350)^2+((F483-'Hybrid Calculator'!$B$11)/30)^2+(G483-'Hybrid Calculator'!$B$12)^2+((H483-'Hybrid Calculator'!$E$14)/IF(A483="Lightning",100,30000))^2+((I483-'Hybrid Calculator'!$E$17)/IF(A483="Lightning",100,30000))^2</f>
        <v>0.21375200064970343</v>
      </c>
      <c r="K483" s="2">
        <f t="shared" si="28"/>
        <v>476</v>
      </c>
      <c r="L483" s="2">
        <f t="shared" si="29"/>
        <v>0</v>
      </c>
      <c r="M483" s="2">
        <f t="shared" si="30"/>
        <v>0</v>
      </c>
      <c r="N483" s="2">
        <v>3.1970971812889104E-4</v>
      </c>
      <c r="O483" s="2">
        <f t="shared" si="31"/>
        <v>0</v>
      </c>
      <c r="P483" s="2">
        <v>1.3455339467715817</v>
      </c>
      <c r="Q483" s="2">
        <v>-3.7303959029811722</v>
      </c>
    </row>
    <row r="484" spans="1:17" ht="15">
      <c r="A484" s="2" t="s">
        <v>13</v>
      </c>
      <c r="B484" s="2">
        <v>1350.6717706331983</v>
      </c>
      <c r="C484" s="2">
        <v>1095.834821567405</v>
      </c>
      <c r="D484" s="2">
        <v>694.50071826577187</v>
      </c>
      <c r="E484" s="2">
        <v>175.31157690798864</v>
      </c>
      <c r="F484" s="2">
        <v>13.418139143846929</v>
      </c>
      <c r="G484" s="2">
        <v>0.85125606840243573</v>
      </c>
      <c r="H484" s="2">
        <v>45</v>
      </c>
      <c r="I484" s="2">
        <v>25</v>
      </c>
      <c r="J484" s="2">
        <f>(IF(A484='Hybrid Calculator'!$B$6,0,1))^2+((B484-'Hybrid Calculator'!$B$7)/1500)^2+((C484-'Hybrid Calculator'!$B$8)/1300)^2+((D484-'Hybrid Calculator'!$B$9)/800)^2+((E484-'Hybrid Calculator'!$B$10)/350)^2+((F484-'Hybrid Calculator'!$B$11)/30)^2+(G484-'Hybrid Calculator'!$B$12)^2+((H484-'Hybrid Calculator'!$E$14)/IF(A484="Lightning",100,30000))^2+((I484-'Hybrid Calculator'!$E$17)/IF(A484="Lightning",100,30000))^2</f>
        <v>0.13472756876514744</v>
      </c>
      <c r="K484" s="2">
        <f t="shared" si="28"/>
        <v>290</v>
      </c>
      <c r="L484" s="2">
        <f t="shared" si="29"/>
        <v>0</v>
      </c>
      <c r="M484" s="2">
        <f t="shared" si="30"/>
        <v>0</v>
      </c>
      <c r="N484" s="2">
        <v>2.3630079450785546E-2</v>
      </c>
      <c r="O484" s="2">
        <f t="shared" si="31"/>
        <v>0</v>
      </c>
      <c r="P484" s="2">
        <v>0.56894646002851346</v>
      </c>
      <c r="Q484" s="2">
        <v>-3.8991547398989042</v>
      </c>
    </row>
    <row r="485" spans="1:17" ht="15">
      <c r="A485" s="2" t="s">
        <v>13</v>
      </c>
      <c r="B485" s="2">
        <v>1365.8251065644436</v>
      </c>
      <c r="C485" s="2">
        <v>1123.9622974768281</v>
      </c>
      <c r="D485" s="2">
        <v>717.17033823952079</v>
      </c>
      <c r="E485" s="2">
        <v>268.55332967359573</v>
      </c>
      <c r="F485" s="2">
        <v>11.528090292122215</v>
      </c>
      <c r="G485" s="2">
        <v>0.81445860496722167</v>
      </c>
      <c r="H485" s="2">
        <v>35</v>
      </c>
      <c r="I485" s="2">
        <v>25</v>
      </c>
      <c r="J485" s="2">
        <f>(IF(A485='Hybrid Calculator'!$B$6,0,1))^2+((B485-'Hybrid Calculator'!$B$7)/1500)^2+((C485-'Hybrid Calculator'!$B$8)/1300)^2+((D485-'Hybrid Calculator'!$B$9)/800)^2+((E485-'Hybrid Calculator'!$B$10)/350)^2+((F485-'Hybrid Calculator'!$B$11)/30)^2+(G485-'Hybrid Calculator'!$B$12)^2+((H485-'Hybrid Calculator'!$E$14)/IF(A485="Lightning",100,30000))^2+((I485-'Hybrid Calculator'!$E$17)/IF(A485="Lightning",100,30000))^2</f>
        <v>0.31093273959280987</v>
      </c>
      <c r="K485" s="2">
        <f t="shared" si="28"/>
        <v>607</v>
      </c>
      <c r="L485" s="2">
        <f t="shared" si="29"/>
        <v>0</v>
      </c>
      <c r="M485" s="2">
        <f t="shared" si="30"/>
        <v>0</v>
      </c>
      <c r="N485" s="2">
        <v>2.0743087790768167E-2</v>
      </c>
      <c r="O485" s="2">
        <f t="shared" si="31"/>
        <v>0</v>
      </c>
      <c r="P485" s="2">
        <v>-0.47113419738126083</v>
      </c>
      <c r="Q485" s="2">
        <v>-4.5452602387069874</v>
      </c>
    </row>
    <row r="486" spans="1:17" ht="15">
      <c r="A486" s="2" t="s">
        <v>13</v>
      </c>
      <c r="B486" s="2">
        <v>1435.7281004078686</v>
      </c>
      <c r="C486" s="2">
        <v>1040.8802816062234</v>
      </c>
      <c r="D486" s="2">
        <v>691.03678856045008</v>
      </c>
      <c r="E486" s="2">
        <v>301.81610768893734</v>
      </c>
      <c r="F486" s="2">
        <v>9.3787771034985781</v>
      </c>
      <c r="G486" s="2">
        <v>0.84775539755122742</v>
      </c>
      <c r="H486" s="2">
        <v>35</v>
      </c>
      <c r="I486" s="2">
        <v>25</v>
      </c>
      <c r="J486" s="2">
        <f>(IF(A486='Hybrid Calculator'!$B$6,0,1))^2+((B486-'Hybrid Calculator'!$B$7)/1500)^2+((C486-'Hybrid Calculator'!$B$8)/1300)^2+((D486-'Hybrid Calculator'!$B$9)/800)^2+((E486-'Hybrid Calculator'!$B$10)/350)^2+((F486-'Hybrid Calculator'!$B$11)/30)^2+(G486-'Hybrid Calculator'!$B$12)^2+((H486-'Hybrid Calculator'!$E$14)/IF(A486="Lightning",100,30000))^2+((I486-'Hybrid Calculator'!$E$17)/IF(A486="Lightning",100,30000))^2</f>
        <v>0.38249316556575674</v>
      </c>
      <c r="K486" s="2">
        <f t="shared" si="28"/>
        <v>676</v>
      </c>
      <c r="L486" s="2">
        <f t="shared" si="29"/>
        <v>0</v>
      </c>
      <c r="M486" s="2">
        <f t="shared" si="30"/>
        <v>0</v>
      </c>
      <c r="N486" s="2">
        <v>2.1141676769794948E-2</v>
      </c>
      <c r="O486" s="2">
        <f t="shared" si="31"/>
        <v>0</v>
      </c>
      <c r="P486" s="2">
        <v>1.034574487114412</v>
      </c>
      <c r="Q486" s="2">
        <v>-9.8430154694547127</v>
      </c>
    </row>
    <row r="487" spans="1:17" ht="15">
      <c r="A487" s="2" t="s">
        <v>13</v>
      </c>
      <c r="B487" s="2">
        <v>1412.619032675866</v>
      </c>
      <c r="C487" s="2">
        <v>733.35829798597842</v>
      </c>
      <c r="D487" s="2">
        <v>426.55341112986207</v>
      </c>
      <c r="E487" s="2">
        <v>305.68007674999535</v>
      </c>
      <c r="F487" s="2">
        <v>24.61169657157734</v>
      </c>
      <c r="G487" s="2">
        <v>0.85818413692060858</v>
      </c>
      <c r="H487" s="2">
        <v>50</v>
      </c>
      <c r="I487" s="2">
        <v>25</v>
      </c>
      <c r="J487" s="2">
        <f>(IF(A487='Hybrid Calculator'!$B$6,0,1))^2+((B487-'Hybrid Calculator'!$B$7)/1500)^2+((C487-'Hybrid Calculator'!$B$8)/1300)^2+((D487-'Hybrid Calculator'!$B$9)/800)^2+((E487-'Hybrid Calculator'!$B$10)/350)^2+((F487-'Hybrid Calculator'!$B$11)/30)^2+(G487-'Hybrid Calculator'!$B$12)^2+((H487-'Hybrid Calculator'!$E$14)/IF(A487="Lightning",100,30000))^2+((I487-'Hybrid Calculator'!$E$17)/IF(A487="Lightning",100,30000))^2</f>
        <v>0.25735575921266568</v>
      </c>
      <c r="K487" s="2">
        <f t="shared" si="28"/>
        <v>554</v>
      </c>
      <c r="L487" s="2">
        <f t="shared" si="29"/>
        <v>0</v>
      </c>
      <c r="M487" s="2">
        <f t="shared" si="30"/>
        <v>0</v>
      </c>
      <c r="N487" s="2">
        <v>3.1094606528196955E-3</v>
      </c>
      <c r="O487" s="2">
        <f t="shared" si="31"/>
        <v>0</v>
      </c>
      <c r="P487" s="2">
        <v>-1.3822021781749783</v>
      </c>
      <c r="Q487" s="2">
        <v>-8.4516015748276914</v>
      </c>
    </row>
    <row r="488" spans="1:17" ht="15">
      <c r="A488" s="2" t="s">
        <v>13</v>
      </c>
      <c r="B488" s="2">
        <v>1401.1110169580206</v>
      </c>
      <c r="C488" s="2">
        <v>1037.2863959171809</v>
      </c>
      <c r="D488" s="2">
        <v>590.98967872560024</v>
      </c>
      <c r="E488" s="2">
        <v>229.62994930101559</v>
      </c>
      <c r="F488" s="2">
        <v>16.833199423737824</v>
      </c>
      <c r="G488" s="2">
        <v>0.79784093101276088</v>
      </c>
      <c r="H488" s="2">
        <v>40</v>
      </c>
      <c r="I488" s="2">
        <v>25</v>
      </c>
      <c r="J488" s="2">
        <f>(IF(A488='Hybrid Calculator'!$B$6,0,1))^2+((B488-'Hybrid Calculator'!$B$7)/1500)^2+((C488-'Hybrid Calculator'!$B$8)/1300)^2+((D488-'Hybrid Calculator'!$B$9)/800)^2+((E488-'Hybrid Calculator'!$B$10)/350)^2+((F488-'Hybrid Calculator'!$B$11)/30)^2+(G488-'Hybrid Calculator'!$B$12)^2+((H488-'Hybrid Calculator'!$E$14)/IF(A488="Lightning",100,30000))^2+((I488-'Hybrid Calculator'!$E$17)/IF(A488="Lightning",100,30000))^2</f>
        <v>9.9285533469380877E-2</v>
      </c>
      <c r="K488" s="2">
        <f t="shared" si="28"/>
        <v>202</v>
      </c>
      <c r="L488" s="2">
        <f t="shared" si="29"/>
        <v>0</v>
      </c>
      <c r="M488" s="2">
        <f t="shared" si="30"/>
        <v>0</v>
      </c>
      <c r="N488" s="2">
        <v>1.8969634408527725E-4</v>
      </c>
      <c r="O488" s="2">
        <f t="shared" si="31"/>
        <v>0</v>
      </c>
      <c r="P488" s="2">
        <v>0.56567900542852811</v>
      </c>
      <c r="Q488" s="2">
        <v>-5.831505188552228</v>
      </c>
    </row>
    <row r="489" spans="1:17" ht="15">
      <c r="A489" s="2" t="s">
        <v>13</v>
      </c>
      <c r="B489" s="2">
        <v>1388.5689975111745</v>
      </c>
      <c r="C489" s="2">
        <v>1232.6340960804373</v>
      </c>
      <c r="D489" s="2">
        <v>548.29075215384364</v>
      </c>
      <c r="E489" s="2">
        <v>85.41004107799381</v>
      </c>
      <c r="F489" s="2">
        <v>26.272525995504111</v>
      </c>
      <c r="G489" s="2">
        <v>0.83940142417326569</v>
      </c>
      <c r="H489" s="2">
        <v>35</v>
      </c>
      <c r="I489" s="2">
        <v>25</v>
      </c>
      <c r="J489" s="2">
        <f>(IF(A489='Hybrid Calculator'!$B$6,0,1))^2+((B489-'Hybrid Calculator'!$B$7)/1500)^2+((C489-'Hybrid Calculator'!$B$8)/1300)^2+((D489-'Hybrid Calculator'!$B$9)/800)^2+((E489-'Hybrid Calculator'!$B$10)/350)^2+((F489-'Hybrid Calculator'!$B$11)/30)^2+(G489-'Hybrid Calculator'!$B$12)^2+((H489-'Hybrid Calculator'!$E$14)/IF(A489="Lightning",100,30000))^2+((I489-'Hybrid Calculator'!$E$17)/IF(A489="Lightning",100,30000))^2</f>
        <v>0.21492313672827792</v>
      </c>
      <c r="K489" s="2">
        <f t="shared" si="28"/>
        <v>479</v>
      </c>
      <c r="L489" s="2">
        <f t="shared" si="29"/>
        <v>0</v>
      </c>
      <c r="M489" s="2">
        <f t="shared" si="30"/>
        <v>0</v>
      </c>
      <c r="N489" s="2">
        <v>-7.3126656596962381E-3</v>
      </c>
      <c r="O489" s="2">
        <f t="shared" si="31"/>
        <v>0</v>
      </c>
      <c r="P489" s="2">
        <v>0.38273177972235572</v>
      </c>
      <c r="Q489" s="2">
        <v>-15.088515776235226</v>
      </c>
    </row>
    <row r="490" spans="1:17" ht="15">
      <c r="A490" s="2" t="s">
        <v>13</v>
      </c>
      <c r="B490" s="2">
        <v>1412.203959049657</v>
      </c>
      <c r="C490" s="2">
        <v>731.50508030084893</v>
      </c>
      <c r="D490" s="2">
        <v>532.9119710251689</v>
      </c>
      <c r="E490" s="2">
        <v>106.87366149621084</v>
      </c>
      <c r="F490" s="2">
        <v>24.756869673728943</v>
      </c>
      <c r="G490" s="2">
        <v>0.84627732431748881</v>
      </c>
      <c r="H490" s="2">
        <v>55</v>
      </c>
      <c r="I490" s="2">
        <v>25</v>
      </c>
      <c r="J490" s="2">
        <f>(IF(A490='Hybrid Calculator'!$B$6,0,1))^2+((B490-'Hybrid Calculator'!$B$7)/1500)^2+((C490-'Hybrid Calculator'!$B$8)/1300)^2+((D490-'Hybrid Calculator'!$B$9)/800)^2+((E490-'Hybrid Calculator'!$B$10)/350)^2+((F490-'Hybrid Calculator'!$B$11)/30)^2+(G490-'Hybrid Calculator'!$B$12)^2+((H490-'Hybrid Calculator'!$E$14)/IF(A490="Lightning",100,30000))^2+((I490-'Hybrid Calculator'!$E$17)/IF(A490="Lightning",100,30000))^2</f>
        <v>7.1945023355698343E-2</v>
      </c>
      <c r="K490" s="2">
        <f t="shared" si="28"/>
        <v>115</v>
      </c>
      <c r="L490" s="2">
        <f t="shared" si="29"/>
        <v>0</v>
      </c>
      <c r="M490" s="2">
        <f t="shared" si="30"/>
        <v>0</v>
      </c>
      <c r="N490" s="2">
        <v>-5.3984214641056294E-3</v>
      </c>
      <c r="O490" s="2">
        <f t="shared" si="31"/>
        <v>0</v>
      </c>
      <c r="P490" s="2">
        <v>-1.1758897313807779</v>
      </c>
      <c r="Q490" s="2">
        <v>3.7176715619220886</v>
      </c>
    </row>
    <row r="491" spans="1:17" ht="15">
      <c r="A491" s="2" t="s">
        <v>13</v>
      </c>
      <c r="B491" s="2">
        <v>1466.7977036093362</v>
      </c>
      <c r="C491" s="2">
        <v>1176.3789469143376</v>
      </c>
      <c r="D491" s="2">
        <v>700.80416621640325</v>
      </c>
      <c r="E491" s="2">
        <v>329.49909234419465</v>
      </c>
      <c r="F491" s="2">
        <v>11.141706815455109</v>
      </c>
      <c r="G491" s="2">
        <v>0.82414247078355407</v>
      </c>
      <c r="H491" s="2">
        <v>35</v>
      </c>
      <c r="I491" s="2">
        <v>25</v>
      </c>
      <c r="J491" s="2">
        <f>(IF(A491='Hybrid Calculator'!$B$6,0,1))^2+((B491-'Hybrid Calculator'!$B$7)/1500)^2+((C491-'Hybrid Calculator'!$B$8)/1300)^2+((D491-'Hybrid Calculator'!$B$9)/800)^2+((E491-'Hybrid Calculator'!$B$10)/350)^2+((F491-'Hybrid Calculator'!$B$11)/30)^2+(G491-'Hybrid Calculator'!$B$12)^2+((H491-'Hybrid Calculator'!$E$14)/IF(A491="Lightning",100,30000))^2+((I491-'Hybrid Calculator'!$E$17)/IF(A491="Lightning",100,30000))^2</f>
        <v>0.47250905028989709</v>
      </c>
      <c r="K491" s="2">
        <f t="shared" si="28"/>
        <v>698</v>
      </c>
      <c r="L491" s="2">
        <f t="shared" si="29"/>
        <v>0</v>
      </c>
      <c r="M491" s="2">
        <f t="shared" si="30"/>
        <v>0</v>
      </c>
      <c r="N491" s="2">
        <v>2.1102455277444587E-2</v>
      </c>
      <c r="O491" s="2">
        <f t="shared" si="31"/>
        <v>0</v>
      </c>
      <c r="P491" s="2">
        <v>0.25167336886723746</v>
      </c>
      <c r="Q491" s="2">
        <v>-9.7480906323496583</v>
      </c>
    </row>
    <row r="492" spans="1:17" ht="15">
      <c r="A492" s="2" t="s">
        <v>13</v>
      </c>
      <c r="B492" s="2">
        <v>1372.8351246099919</v>
      </c>
      <c r="C492" s="2">
        <v>1125.2071183989756</v>
      </c>
      <c r="D492" s="2">
        <v>615.96753057092428</v>
      </c>
      <c r="E492" s="2">
        <v>141.40672304900363</v>
      </c>
      <c r="F492" s="2">
        <v>15.453611966222525</v>
      </c>
      <c r="G492" s="2">
        <v>0.80480045620584861</v>
      </c>
      <c r="H492" s="2">
        <v>40</v>
      </c>
      <c r="I492" s="2">
        <v>25</v>
      </c>
      <c r="J492" s="2">
        <f>(IF(A492='Hybrid Calculator'!$B$6,0,1))^2+((B492-'Hybrid Calculator'!$B$7)/1500)^2+((C492-'Hybrid Calculator'!$B$8)/1300)^2+((D492-'Hybrid Calculator'!$B$9)/800)^2+((E492-'Hybrid Calculator'!$B$10)/350)^2+((F492-'Hybrid Calculator'!$B$11)/30)^2+(G492-'Hybrid Calculator'!$B$12)^2+((H492-'Hybrid Calculator'!$E$14)/IF(A492="Lightning",100,30000))^2+((I492-'Hybrid Calculator'!$E$17)/IF(A492="Lightning",100,30000))^2</f>
        <v>8.8184075869504108E-2</v>
      </c>
      <c r="K492" s="2">
        <f t="shared" si="28"/>
        <v>166</v>
      </c>
      <c r="L492" s="2">
        <f t="shared" si="29"/>
        <v>0</v>
      </c>
      <c r="M492" s="2">
        <f t="shared" si="30"/>
        <v>0</v>
      </c>
      <c r="N492" s="2">
        <v>3.2885959103789997E-3</v>
      </c>
      <c r="O492" s="2">
        <f t="shared" si="31"/>
        <v>0</v>
      </c>
      <c r="P492" s="2">
        <v>0.35471517347899351</v>
      </c>
      <c r="Q492" s="2">
        <v>2.5354418617473584</v>
      </c>
    </row>
    <row r="493" spans="1:17" ht="15">
      <c r="A493" s="2" t="s">
        <v>13</v>
      </c>
      <c r="B493" s="2">
        <v>1489.3248643842526</v>
      </c>
      <c r="C493" s="2">
        <v>622.96404044609517</v>
      </c>
      <c r="D493" s="2">
        <v>640.99551932886243</v>
      </c>
      <c r="E493" s="2">
        <v>212.02378991991282</v>
      </c>
      <c r="F493" s="2">
        <v>26.298142375890166</v>
      </c>
      <c r="G493" s="2">
        <v>0.84928275811951615</v>
      </c>
      <c r="H493" s="2">
        <v>50</v>
      </c>
      <c r="I493" s="2">
        <v>25</v>
      </c>
      <c r="J493" s="2">
        <f>(IF(A493='Hybrid Calculator'!$B$6,0,1))^2+((B493-'Hybrid Calculator'!$B$7)/1500)^2+((C493-'Hybrid Calculator'!$B$8)/1300)^2+((D493-'Hybrid Calculator'!$B$9)/800)^2+((E493-'Hybrid Calculator'!$B$10)/350)^2+((F493-'Hybrid Calculator'!$B$11)/30)^2+(G493-'Hybrid Calculator'!$B$12)^2+((H493-'Hybrid Calculator'!$E$14)/IF(A493="Lightning",100,30000))^2+((I493-'Hybrid Calculator'!$E$17)/IF(A493="Lightning",100,30000))^2</f>
        <v>0.1632302168305067</v>
      </c>
      <c r="K493" s="2">
        <f t="shared" si="28"/>
        <v>362</v>
      </c>
      <c r="L493" s="2">
        <f t="shared" si="29"/>
        <v>0</v>
      </c>
      <c r="M493" s="2">
        <f t="shared" si="30"/>
        <v>0</v>
      </c>
      <c r="N493" s="2">
        <v>-3.6608042383181605E-3</v>
      </c>
      <c r="O493" s="2">
        <f t="shared" si="31"/>
        <v>0</v>
      </c>
      <c r="P493" s="2">
        <v>-1.1228062128726393</v>
      </c>
      <c r="Q493" s="2">
        <v>-3.3663787631533069</v>
      </c>
    </row>
    <row r="494" spans="1:17" ht="15">
      <c r="A494" s="2" t="s">
        <v>13</v>
      </c>
      <c r="B494" s="2">
        <v>1426.1297874385491</v>
      </c>
      <c r="C494" s="2">
        <v>1119.3341697682627</v>
      </c>
      <c r="D494" s="2">
        <v>419.15550753474236</v>
      </c>
      <c r="E494" s="2">
        <v>308.50403509801254</v>
      </c>
      <c r="F494" s="2">
        <v>28.94738910254091</v>
      </c>
      <c r="G494" s="2">
        <v>0.8219435528083705</v>
      </c>
      <c r="H494" s="2">
        <v>35</v>
      </c>
      <c r="I494" s="2">
        <v>25</v>
      </c>
      <c r="J494" s="2">
        <f>(IF(A494='Hybrid Calculator'!$B$6,0,1))^2+((B494-'Hybrid Calculator'!$B$7)/1500)^2+((C494-'Hybrid Calculator'!$B$8)/1300)^2+((D494-'Hybrid Calculator'!$B$9)/800)^2+((E494-'Hybrid Calculator'!$B$10)/350)^2+((F494-'Hybrid Calculator'!$B$11)/30)^2+(G494-'Hybrid Calculator'!$B$12)^2+((H494-'Hybrid Calculator'!$E$14)/IF(A494="Lightning",100,30000))^2+((I494-'Hybrid Calculator'!$E$17)/IF(A494="Lightning",100,30000))^2</f>
        <v>0.40200571030684751</v>
      </c>
      <c r="K494" s="2">
        <f t="shared" si="28"/>
        <v>688</v>
      </c>
      <c r="L494" s="2">
        <f t="shared" si="29"/>
        <v>0</v>
      </c>
      <c r="M494" s="2">
        <f t="shared" si="30"/>
        <v>0</v>
      </c>
      <c r="N494" s="2">
        <v>5.0532897375517027E-3</v>
      </c>
      <c r="O494" s="2">
        <f t="shared" si="31"/>
        <v>0</v>
      </c>
      <c r="P494" s="2">
        <v>1.1655367670286978</v>
      </c>
      <c r="Q494" s="2">
        <v>-23.539302630583506</v>
      </c>
    </row>
    <row r="495" spans="1:17" ht="15">
      <c r="A495" s="2" t="s">
        <v>13</v>
      </c>
      <c r="B495" s="2">
        <v>1465.423771168571</v>
      </c>
      <c r="C495" s="2">
        <v>981.8297665566206</v>
      </c>
      <c r="D495" s="2">
        <v>685.76728692278266</v>
      </c>
      <c r="E495" s="2">
        <v>291.05770871508867</v>
      </c>
      <c r="F495" s="2">
        <v>20.462205903138965</v>
      </c>
      <c r="G495" s="2">
        <v>0.82969132932834333</v>
      </c>
      <c r="H495" s="2">
        <v>35</v>
      </c>
      <c r="I495" s="2">
        <v>25</v>
      </c>
      <c r="J495" s="2">
        <f>(IF(A495='Hybrid Calculator'!$B$6,0,1))^2+((B495-'Hybrid Calculator'!$B$7)/1500)^2+((C495-'Hybrid Calculator'!$B$8)/1300)^2+((D495-'Hybrid Calculator'!$B$9)/800)^2+((E495-'Hybrid Calculator'!$B$10)/350)^2+((F495-'Hybrid Calculator'!$B$11)/30)^2+(G495-'Hybrid Calculator'!$B$12)^2+((H495-'Hybrid Calculator'!$E$14)/IF(A495="Lightning",100,30000))^2+((I495-'Hybrid Calculator'!$E$17)/IF(A495="Lightning",100,30000))^2</f>
        <v>0.25422954432922223</v>
      </c>
      <c r="K495" s="2">
        <f t="shared" si="28"/>
        <v>550</v>
      </c>
      <c r="L495" s="2">
        <f t="shared" si="29"/>
        <v>0</v>
      </c>
      <c r="M495" s="2">
        <f t="shared" si="30"/>
        <v>0</v>
      </c>
      <c r="N495" s="2">
        <v>7.4256191263397664E-3</v>
      </c>
      <c r="O495" s="2">
        <f t="shared" si="31"/>
        <v>0</v>
      </c>
      <c r="P495" s="2">
        <v>-0.65289369567128119</v>
      </c>
      <c r="Q495" s="2">
        <v>-2.7757733114590337</v>
      </c>
    </row>
    <row r="496" spans="1:17" ht="15">
      <c r="A496" s="2" t="s">
        <v>13</v>
      </c>
      <c r="B496" s="2">
        <v>1465.0407540611923</v>
      </c>
      <c r="C496" s="2">
        <v>801.77690865239128</v>
      </c>
      <c r="D496" s="2">
        <v>388.35003320127726</v>
      </c>
      <c r="E496" s="2">
        <v>257.15096572646871</v>
      </c>
      <c r="F496" s="2">
        <v>9.7813702318817377</v>
      </c>
      <c r="G496" s="2">
        <v>0.79788683112012226</v>
      </c>
      <c r="H496" s="2">
        <v>50</v>
      </c>
      <c r="I496" s="2">
        <v>25</v>
      </c>
      <c r="J496" s="2">
        <f>(IF(A496='Hybrid Calculator'!$B$6,0,1))^2+((B496-'Hybrid Calculator'!$B$7)/1500)^2+((C496-'Hybrid Calculator'!$B$8)/1300)^2+((D496-'Hybrid Calculator'!$B$9)/800)^2+((E496-'Hybrid Calculator'!$B$10)/350)^2+((F496-'Hybrid Calculator'!$B$11)/30)^2+(G496-'Hybrid Calculator'!$B$12)^2+((H496-'Hybrid Calculator'!$E$14)/IF(A496="Lightning",100,30000))^2+((I496-'Hybrid Calculator'!$E$17)/IF(A496="Lightning",100,30000))^2</f>
        <v>0.2002409482118401</v>
      </c>
      <c r="K496" s="2">
        <f t="shared" si="28"/>
        <v>447</v>
      </c>
      <c r="L496" s="2">
        <f t="shared" si="29"/>
        <v>0</v>
      </c>
      <c r="M496" s="2">
        <f t="shared" si="30"/>
        <v>0</v>
      </c>
      <c r="N496" s="2">
        <v>5.3716208168255175E-3</v>
      </c>
      <c r="O496" s="2">
        <f t="shared" si="31"/>
        <v>0</v>
      </c>
      <c r="P496" s="2">
        <v>-4.0524312449306876E-2</v>
      </c>
      <c r="Q496" s="2">
        <v>7.6297461180486152</v>
      </c>
    </row>
    <row r="497" spans="1:17" ht="15">
      <c r="A497" s="2" t="s">
        <v>13</v>
      </c>
      <c r="B497" s="2">
        <v>1445.1118183904327</v>
      </c>
      <c r="C497" s="2">
        <v>751.3049676315859</v>
      </c>
      <c r="D497" s="2">
        <v>414.42532176151872</v>
      </c>
      <c r="E497" s="2">
        <v>113.20767567493021</v>
      </c>
      <c r="F497" s="2">
        <v>13.752542965579778</v>
      </c>
      <c r="G497" s="2">
        <v>0.85609679071698341</v>
      </c>
      <c r="H497" s="2">
        <v>60</v>
      </c>
      <c r="I497" s="2">
        <v>25</v>
      </c>
      <c r="J497" s="2">
        <f>(IF(A497='Hybrid Calculator'!$B$6,0,1))^2+((B497-'Hybrid Calculator'!$B$7)/1500)^2+((C497-'Hybrid Calculator'!$B$8)/1300)^2+((D497-'Hybrid Calculator'!$B$9)/800)^2+((E497-'Hybrid Calculator'!$B$10)/350)^2+((F497-'Hybrid Calculator'!$B$11)/30)^2+(G497-'Hybrid Calculator'!$B$12)^2+((H497-'Hybrid Calculator'!$E$14)/IF(A497="Lightning",100,30000))^2+((I497-'Hybrid Calculator'!$E$17)/IF(A497="Lightning",100,30000))^2</f>
        <v>6.4781728762705382E-2</v>
      </c>
      <c r="K497" s="2">
        <f t="shared" si="28"/>
        <v>92</v>
      </c>
      <c r="L497" s="2">
        <f t="shared" si="29"/>
        <v>0</v>
      </c>
      <c r="M497" s="2">
        <f t="shared" si="30"/>
        <v>0</v>
      </c>
      <c r="N497" s="2">
        <v>-1.318294168386358E-2</v>
      </c>
      <c r="O497" s="2">
        <f t="shared" si="31"/>
        <v>0</v>
      </c>
      <c r="P497" s="2">
        <v>0.3988744294232518</v>
      </c>
      <c r="Q497" s="2">
        <v>10.188926930410844</v>
      </c>
    </row>
    <row r="498" spans="1:17" ht="15">
      <c r="A498" s="2" t="s">
        <v>13</v>
      </c>
      <c r="B498" s="2">
        <v>1384.1563205933198</v>
      </c>
      <c r="C498" s="2">
        <v>751.43176369601861</v>
      </c>
      <c r="D498" s="2">
        <v>694.56018321216106</v>
      </c>
      <c r="E498" s="2">
        <v>288.36775720817968</v>
      </c>
      <c r="F498" s="2">
        <v>21.207386587746441</v>
      </c>
      <c r="G498" s="2">
        <v>0.79748829469783233</v>
      </c>
      <c r="H498" s="2">
        <v>40</v>
      </c>
      <c r="I498" s="2">
        <v>25</v>
      </c>
      <c r="J498" s="2">
        <f>(IF(A498='Hybrid Calculator'!$B$6,0,1))^2+((B498-'Hybrid Calculator'!$B$7)/1500)^2+((C498-'Hybrid Calculator'!$B$8)/1300)^2+((D498-'Hybrid Calculator'!$B$9)/800)^2+((E498-'Hybrid Calculator'!$B$10)/350)^2+((F498-'Hybrid Calculator'!$B$11)/30)^2+(G498-'Hybrid Calculator'!$B$12)^2+((H498-'Hybrid Calculator'!$E$14)/IF(A498="Lightning",100,30000))^2+((I498-'Hybrid Calculator'!$E$17)/IF(A498="Lightning",100,30000))^2</f>
        <v>0.24057877467223635</v>
      </c>
      <c r="K498" s="2">
        <f t="shared" si="28"/>
        <v>520</v>
      </c>
      <c r="L498" s="2">
        <f t="shared" si="29"/>
        <v>0</v>
      </c>
      <c r="M498" s="2">
        <f t="shared" si="30"/>
        <v>0</v>
      </c>
      <c r="N498" s="2">
        <v>1.0135776990872536E-2</v>
      </c>
      <c r="O498" s="2">
        <f t="shared" si="31"/>
        <v>0</v>
      </c>
      <c r="P498" s="2">
        <v>-1.004851263747419</v>
      </c>
      <c r="Q498" s="2">
        <v>-0.75768152632849706</v>
      </c>
    </row>
    <row r="499" spans="1:17" ht="15">
      <c r="A499" s="2" t="s">
        <v>13</v>
      </c>
      <c r="B499" s="2">
        <v>1387.5915564014576</v>
      </c>
      <c r="C499" s="2">
        <v>906.92710620351136</v>
      </c>
      <c r="D499" s="2">
        <v>562.24466590210795</v>
      </c>
      <c r="E499" s="2">
        <v>234.33618461247534</v>
      </c>
      <c r="F499" s="2">
        <v>29.710398487281054</v>
      </c>
      <c r="G499" s="2">
        <v>0.8543857992254198</v>
      </c>
      <c r="H499" s="2">
        <v>40</v>
      </c>
      <c r="I499" s="2">
        <v>25</v>
      </c>
      <c r="J499" s="2">
        <f>(IF(A499='Hybrid Calculator'!$B$6,0,1))^2+((B499-'Hybrid Calculator'!$B$7)/1500)^2+((C499-'Hybrid Calculator'!$B$8)/1300)^2+((D499-'Hybrid Calculator'!$B$9)/800)^2+((E499-'Hybrid Calculator'!$B$10)/350)^2+((F499-'Hybrid Calculator'!$B$11)/30)^2+(G499-'Hybrid Calculator'!$B$12)^2+((H499-'Hybrid Calculator'!$E$14)/IF(A499="Lightning",100,30000))^2+((I499-'Hybrid Calculator'!$E$17)/IF(A499="Lightning",100,30000))^2</f>
        <v>0.2174743343517242</v>
      </c>
      <c r="K499" s="2">
        <f t="shared" si="28"/>
        <v>485</v>
      </c>
      <c r="L499" s="2">
        <f t="shared" si="29"/>
        <v>0</v>
      </c>
      <c r="M499" s="2">
        <f t="shared" si="30"/>
        <v>0</v>
      </c>
      <c r="N499" s="2">
        <v>-1.7649703970041841E-3</v>
      </c>
      <c r="O499" s="2">
        <f t="shared" si="31"/>
        <v>0</v>
      </c>
      <c r="P499" s="2">
        <v>0.17451627642702761</v>
      </c>
      <c r="Q499" s="2">
        <v>-22.683518253094689</v>
      </c>
    </row>
    <row r="500" spans="1:17" ht="15">
      <c r="A500" s="2" t="s">
        <v>13</v>
      </c>
      <c r="B500" s="2">
        <v>1405.8311896864325</v>
      </c>
      <c r="C500" s="2">
        <v>1017.8330214577727</v>
      </c>
      <c r="D500" s="2">
        <v>450.60688089579344</v>
      </c>
      <c r="E500" s="2">
        <v>306.78141231881455</v>
      </c>
      <c r="F500" s="2">
        <v>20.263413183391094</v>
      </c>
      <c r="G500" s="2">
        <v>0.85052638920256873</v>
      </c>
      <c r="H500" s="2">
        <v>40</v>
      </c>
      <c r="I500" s="2">
        <v>25</v>
      </c>
      <c r="J500" s="2">
        <f>(IF(A500='Hybrid Calculator'!$B$6,0,1))^2+((B500-'Hybrid Calculator'!$B$7)/1500)^2+((C500-'Hybrid Calculator'!$B$8)/1300)^2+((D500-'Hybrid Calculator'!$B$9)/800)^2+((E500-'Hybrid Calculator'!$B$10)/350)^2+((F500-'Hybrid Calculator'!$B$11)/30)^2+(G500-'Hybrid Calculator'!$B$12)^2+((H500-'Hybrid Calculator'!$E$14)/IF(A500="Lightning",100,30000))^2+((I500-'Hybrid Calculator'!$E$17)/IF(A500="Lightning",100,30000))^2</f>
        <v>0.2356861374333068</v>
      </c>
      <c r="K500" s="2">
        <f t="shared" si="28"/>
        <v>515</v>
      </c>
      <c r="L500" s="2">
        <f t="shared" si="29"/>
        <v>0</v>
      </c>
      <c r="M500" s="2">
        <f t="shared" si="30"/>
        <v>0</v>
      </c>
      <c r="N500" s="2">
        <v>1.3553134694041624E-2</v>
      </c>
      <c r="O500" s="2">
        <f t="shared" si="31"/>
        <v>0</v>
      </c>
      <c r="P500" s="2">
        <v>3.6685884717911676E-2</v>
      </c>
      <c r="Q500" s="2">
        <v>-3.6531647228002839</v>
      </c>
    </row>
    <row r="501" spans="1:17" ht="15">
      <c r="A501" s="2" t="s">
        <v>13</v>
      </c>
      <c r="B501" s="2">
        <v>1479.3629727442749</v>
      </c>
      <c r="C501" s="2">
        <v>979.67522700782865</v>
      </c>
      <c r="D501" s="2">
        <v>541.18731589987874</v>
      </c>
      <c r="E501" s="2">
        <v>180.8908967487514</v>
      </c>
      <c r="F501" s="2">
        <v>28.145638360176235</v>
      </c>
      <c r="G501" s="2">
        <v>0.8469067155709491</v>
      </c>
      <c r="H501" s="2">
        <v>40</v>
      </c>
      <c r="I501" s="2">
        <v>25</v>
      </c>
      <c r="J501" s="2">
        <f>(IF(A501='Hybrid Calculator'!$B$6,0,1))^2+((B501-'Hybrid Calculator'!$B$7)/1500)^2+((C501-'Hybrid Calculator'!$B$8)/1300)^2+((D501-'Hybrid Calculator'!$B$9)/800)^2+((E501-'Hybrid Calculator'!$B$10)/350)^2+((F501-'Hybrid Calculator'!$B$11)/30)^2+(G501-'Hybrid Calculator'!$B$12)^2+((H501-'Hybrid Calculator'!$E$14)/IF(A501="Lightning",100,30000))^2+((I501-'Hybrid Calculator'!$E$17)/IF(A501="Lightning",100,30000))^2</f>
        <v>0.13580387526552565</v>
      </c>
      <c r="K501" s="2">
        <f t="shared" si="28"/>
        <v>295</v>
      </c>
      <c r="L501" s="2">
        <f t="shared" si="29"/>
        <v>0</v>
      </c>
      <c r="M501" s="2">
        <f t="shared" si="30"/>
        <v>0</v>
      </c>
      <c r="N501" s="2">
        <v>8.1212267988963749E-3</v>
      </c>
      <c r="O501" s="2">
        <f t="shared" si="31"/>
        <v>0</v>
      </c>
      <c r="P501" s="2">
        <v>0.59815045345641238</v>
      </c>
      <c r="Q501" s="2">
        <v>-21.708744995311463</v>
      </c>
    </row>
    <row r="502" spans="1:17" ht="15">
      <c r="A502" s="2" t="s">
        <v>13</v>
      </c>
      <c r="B502" s="2">
        <v>1488.2708630757406</v>
      </c>
      <c r="C502" s="2">
        <v>1223.0091534671374</v>
      </c>
      <c r="D502" s="2">
        <v>697.45788872241974</v>
      </c>
      <c r="E502" s="2">
        <v>102.90804678341374</v>
      </c>
      <c r="F502" s="2">
        <v>14.65184563677758</v>
      </c>
      <c r="G502" s="2">
        <v>0.81721107646590108</v>
      </c>
      <c r="H502" s="2">
        <v>35</v>
      </c>
      <c r="I502" s="2">
        <v>25</v>
      </c>
      <c r="J502" s="2">
        <f>(IF(A502='Hybrid Calculator'!$B$6,0,1))^2+((B502-'Hybrid Calculator'!$B$7)/1500)^2+((C502-'Hybrid Calculator'!$B$8)/1300)^2+((D502-'Hybrid Calculator'!$B$9)/800)^2+((E502-'Hybrid Calculator'!$B$10)/350)^2+((F502-'Hybrid Calculator'!$B$11)/30)^2+(G502-'Hybrid Calculator'!$B$12)^2+((H502-'Hybrid Calculator'!$E$14)/IF(A502="Lightning",100,30000))^2+((I502-'Hybrid Calculator'!$E$17)/IF(A502="Lightning",100,30000))^2</f>
        <v>0.20209408940649021</v>
      </c>
      <c r="K502" s="2">
        <f t="shared" si="28"/>
        <v>449</v>
      </c>
      <c r="L502" s="2">
        <f t="shared" si="29"/>
        <v>0</v>
      </c>
      <c r="M502" s="2">
        <f t="shared" si="30"/>
        <v>0</v>
      </c>
      <c r="N502" s="2">
        <v>1.308460104930953E-2</v>
      </c>
      <c r="O502" s="2">
        <f t="shared" si="31"/>
        <v>0</v>
      </c>
      <c r="P502" s="2">
        <v>1.3011051014787967</v>
      </c>
      <c r="Q502" s="2">
        <v>-13.830813064041649</v>
      </c>
    </row>
    <row r="503" spans="1:17" ht="15">
      <c r="A503" s="2" t="s">
        <v>13</v>
      </c>
      <c r="B503" s="2">
        <v>1353.6485982011072</v>
      </c>
      <c r="C503" s="2">
        <v>679.43387376144528</v>
      </c>
      <c r="D503" s="2">
        <v>394.41043203696609</v>
      </c>
      <c r="E503" s="2">
        <v>310.50845006946474</v>
      </c>
      <c r="F503" s="2">
        <v>20.044460473116487</v>
      </c>
      <c r="G503" s="2">
        <v>0.84969889425672596</v>
      </c>
      <c r="H503" s="2">
        <v>60</v>
      </c>
      <c r="I503" s="2">
        <v>25</v>
      </c>
      <c r="J503" s="2">
        <f>(IF(A503='Hybrid Calculator'!$B$6,0,1))^2+((B503-'Hybrid Calculator'!$B$7)/1500)^2+((C503-'Hybrid Calculator'!$B$8)/1300)^2+((D503-'Hybrid Calculator'!$B$9)/800)^2+((E503-'Hybrid Calculator'!$B$10)/350)^2+((F503-'Hybrid Calculator'!$B$11)/30)^2+(G503-'Hybrid Calculator'!$B$12)^2+((H503-'Hybrid Calculator'!$E$14)/IF(A503="Lightning",100,30000))^2+((I503-'Hybrid Calculator'!$E$17)/IF(A503="Lightning",100,30000))^2</f>
        <v>0.26074023144539826</v>
      </c>
      <c r="K503" s="2">
        <f t="shared" si="28"/>
        <v>558</v>
      </c>
      <c r="L503" s="2">
        <f t="shared" si="29"/>
        <v>0</v>
      </c>
      <c r="M503" s="2">
        <f t="shared" si="30"/>
        <v>0</v>
      </c>
      <c r="N503" s="2">
        <v>5.3965724162126083E-3</v>
      </c>
      <c r="O503" s="2">
        <f t="shared" si="31"/>
        <v>0</v>
      </c>
      <c r="P503" s="2">
        <v>-1.5572598618166893</v>
      </c>
      <c r="Q503" s="2">
        <v>-6.1859596006797801E-2</v>
      </c>
    </row>
    <row r="504" spans="1:17" ht="15">
      <c r="A504" s="2" t="s">
        <v>13</v>
      </c>
      <c r="B504" s="2">
        <v>1407.5837770476937</v>
      </c>
      <c r="C504" s="2">
        <v>1128.2355361036025</v>
      </c>
      <c r="D504" s="2">
        <v>694.10894233733416</v>
      </c>
      <c r="E504" s="2">
        <v>99.794525171164423</v>
      </c>
      <c r="F504" s="2">
        <v>11.610422259196639</v>
      </c>
      <c r="G504" s="2">
        <v>0.83233245128067213</v>
      </c>
      <c r="H504" s="2">
        <v>40</v>
      </c>
      <c r="I504" s="2">
        <v>25</v>
      </c>
      <c r="J504" s="2">
        <f>(IF(A504='Hybrid Calculator'!$B$6,0,1))^2+((B504-'Hybrid Calculator'!$B$7)/1500)^2+((C504-'Hybrid Calculator'!$B$8)/1300)^2+((D504-'Hybrid Calculator'!$B$9)/800)^2+((E504-'Hybrid Calculator'!$B$10)/350)^2+((F504-'Hybrid Calculator'!$B$11)/30)^2+(G504-'Hybrid Calculator'!$B$12)^2+((H504-'Hybrid Calculator'!$E$14)/IF(A504="Lightning",100,30000))^2+((I504-'Hybrid Calculator'!$E$17)/IF(A504="Lightning",100,30000))^2</f>
        <v>0.18828347073910415</v>
      </c>
      <c r="K504" s="2">
        <f t="shared" si="28"/>
        <v>421</v>
      </c>
      <c r="L504" s="2">
        <f t="shared" si="29"/>
        <v>0</v>
      </c>
      <c r="M504" s="2">
        <f t="shared" si="30"/>
        <v>0</v>
      </c>
      <c r="N504" s="2">
        <v>1.513383849655825E-2</v>
      </c>
      <c r="O504" s="2">
        <f t="shared" si="31"/>
        <v>0</v>
      </c>
      <c r="P504" s="2">
        <v>2.7279027358410701E-2</v>
      </c>
      <c r="Q504" s="2">
        <v>-0.57990678204259893</v>
      </c>
    </row>
    <row r="505" spans="1:17" ht="15">
      <c r="A505" s="2" t="s">
        <v>13</v>
      </c>
      <c r="B505" s="2">
        <v>1350.1834504888393</v>
      </c>
      <c r="C505" s="2">
        <v>1221.1189016932622</v>
      </c>
      <c r="D505" s="2">
        <v>468.94471356645226</v>
      </c>
      <c r="E505" s="2">
        <v>169.86024255864322</v>
      </c>
      <c r="F505" s="2">
        <v>23.775048856157809</v>
      </c>
      <c r="G505" s="2">
        <v>0.79124342743773013</v>
      </c>
      <c r="H505" s="2">
        <v>40</v>
      </c>
      <c r="I505" s="2">
        <v>25</v>
      </c>
      <c r="J505" s="2">
        <f>(IF(A505='Hybrid Calculator'!$B$6,0,1))^2+((B505-'Hybrid Calculator'!$B$7)/1500)^2+((C505-'Hybrid Calculator'!$B$8)/1300)^2+((D505-'Hybrid Calculator'!$B$9)/800)^2+((E505-'Hybrid Calculator'!$B$10)/350)^2+((F505-'Hybrid Calculator'!$B$11)/30)^2+(G505-'Hybrid Calculator'!$B$12)^2+((H505-'Hybrid Calculator'!$E$14)/IF(A505="Lightning",100,30000))^2+((I505-'Hybrid Calculator'!$E$17)/IF(A505="Lightning",100,30000))^2</f>
        <v>0.13045600408066149</v>
      </c>
      <c r="K505" s="2">
        <f t="shared" si="28"/>
        <v>278</v>
      </c>
      <c r="L505" s="2">
        <f t="shared" si="29"/>
        <v>0</v>
      </c>
      <c r="M505" s="2">
        <f t="shared" si="30"/>
        <v>0</v>
      </c>
      <c r="N505" s="2">
        <v>4.7093378097522454E-3</v>
      </c>
      <c r="O505" s="2">
        <f t="shared" si="31"/>
        <v>0</v>
      </c>
      <c r="P505" s="2">
        <v>1.8805792595813671</v>
      </c>
      <c r="Q505" s="2">
        <v>-15.316996052284139</v>
      </c>
    </row>
    <row r="506" spans="1:17" ht="15">
      <c r="A506" s="2" t="s">
        <v>13</v>
      </c>
      <c r="B506" s="2">
        <v>1368.7523902393878</v>
      </c>
      <c r="C506" s="2">
        <v>850.35145556321368</v>
      </c>
      <c r="D506" s="2">
        <v>417.70187113434076</v>
      </c>
      <c r="E506" s="2">
        <v>299.67317356029525</v>
      </c>
      <c r="F506" s="2">
        <v>12.244895042851567</v>
      </c>
      <c r="G506" s="2">
        <v>0.85718312970595434</v>
      </c>
      <c r="H506" s="2">
        <v>55</v>
      </c>
      <c r="I506" s="2">
        <v>25</v>
      </c>
      <c r="J506" s="2">
        <f>(IF(A506='Hybrid Calculator'!$B$6,0,1))^2+((B506-'Hybrid Calculator'!$B$7)/1500)^2+((C506-'Hybrid Calculator'!$B$8)/1300)^2+((D506-'Hybrid Calculator'!$B$9)/800)^2+((E506-'Hybrid Calculator'!$B$10)/350)^2+((F506-'Hybrid Calculator'!$B$11)/30)^2+(G506-'Hybrid Calculator'!$B$12)^2+((H506-'Hybrid Calculator'!$E$14)/IF(A506="Lightning",100,30000))^2+((I506-'Hybrid Calculator'!$E$17)/IF(A506="Lightning",100,30000))^2</f>
        <v>0.24221923209965479</v>
      </c>
      <c r="K506" s="2">
        <f t="shared" si="28"/>
        <v>524</v>
      </c>
      <c r="L506" s="2">
        <f t="shared" si="29"/>
        <v>0</v>
      </c>
      <c r="M506" s="2">
        <f t="shared" si="30"/>
        <v>0</v>
      </c>
      <c r="N506" s="2">
        <v>-6.0161737109765134E-3</v>
      </c>
      <c r="O506" s="2">
        <f t="shared" si="31"/>
        <v>0</v>
      </c>
      <c r="P506" s="2">
        <v>-0.92348770563213378</v>
      </c>
      <c r="Q506" s="2">
        <v>4.9789617668400297</v>
      </c>
    </row>
    <row r="507" spans="1:17" ht="15">
      <c r="A507" s="2" t="s">
        <v>13</v>
      </c>
      <c r="B507" s="2">
        <v>1439.4763592281379</v>
      </c>
      <c r="C507" s="2">
        <v>913.10245257336646</v>
      </c>
      <c r="D507" s="2">
        <v>512.03930163756013</v>
      </c>
      <c r="E507" s="2">
        <v>181.8659055698663</v>
      </c>
      <c r="F507" s="2">
        <v>21.682739392388612</v>
      </c>
      <c r="G507" s="2">
        <v>0.81857467154506602</v>
      </c>
      <c r="H507" s="2">
        <v>45</v>
      </c>
      <c r="I507" s="2">
        <v>25</v>
      </c>
      <c r="J507" s="2">
        <f>(IF(A507='Hybrid Calculator'!$B$6,0,1))^2+((B507-'Hybrid Calculator'!$B$7)/1500)^2+((C507-'Hybrid Calculator'!$B$8)/1300)^2+((D507-'Hybrid Calculator'!$B$9)/800)^2+((E507-'Hybrid Calculator'!$B$10)/350)^2+((F507-'Hybrid Calculator'!$B$11)/30)^2+(G507-'Hybrid Calculator'!$B$12)^2+((H507-'Hybrid Calculator'!$E$14)/IF(A507="Lightning",100,30000))^2+((I507-'Hybrid Calculator'!$E$17)/IF(A507="Lightning",100,30000))^2</f>
        <v>2.4722452845033605E-2</v>
      </c>
      <c r="K507" s="2">
        <f t="shared" si="28"/>
        <v>15</v>
      </c>
      <c r="L507" s="2">
        <f t="shared" si="29"/>
        <v>0</v>
      </c>
      <c r="M507" s="2">
        <f t="shared" si="30"/>
        <v>0</v>
      </c>
      <c r="N507" s="2">
        <v>-7.3066209537575588E-3</v>
      </c>
      <c r="O507" s="2">
        <f t="shared" si="31"/>
        <v>0</v>
      </c>
      <c r="P507" s="2">
        <v>-0.63014417351714513</v>
      </c>
      <c r="Q507" s="2">
        <v>-7.9988870595036587</v>
      </c>
    </row>
    <row r="508" spans="1:17" ht="15">
      <c r="A508" s="2" t="s">
        <v>13</v>
      </c>
      <c r="B508" s="2">
        <v>1461.8996599456295</v>
      </c>
      <c r="C508" s="2">
        <v>673.15184470498934</v>
      </c>
      <c r="D508" s="2">
        <v>367.07800291478634</v>
      </c>
      <c r="E508" s="2">
        <v>115.76807741774246</v>
      </c>
      <c r="F508" s="2">
        <v>22.791106966324151</v>
      </c>
      <c r="G508" s="2">
        <v>0.84255286943865948</v>
      </c>
      <c r="H508" s="2">
        <v>65</v>
      </c>
      <c r="I508" s="2">
        <v>25</v>
      </c>
      <c r="J508" s="2">
        <f>(IF(A508='Hybrid Calculator'!$B$6,0,1))^2+((B508-'Hybrid Calculator'!$B$7)/1500)^2+((C508-'Hybrid Calculator'!$B$8)/1300)^2+((D508-'Hybrid Calculator'!$B$9)/800)^2+((E508-'Hybrid Calculator'!$B$10)/350)^2+((F508-'Hybrid Calculator'!$B$11)/30)^2+(G508-'Hybrid Calculator'!$B$12)^2+((H508-'Hybrid Calculator'!$E$14)/IF(A508="Lightning",100,30000))^2+((I508-'Hybrid Calculator'!$E$17)/IF(A508="Lightning",100,30000))^2</f>
        <v>9.9751978672740133E-2</v>
      </c>
      <c r="K508" s="2">
        <f t="shared" si="28"/>
        <v>205</v>
      </c>
      <c r="L508" s="2">
        <f t="shared" si="29"/>
        <v>0</v>
      </c>
      <c r="M508" s="2">
        <f t="shared" si="30"/>
        <v>0</v>
      </c>
      <c r="N508" s="2">
        <v>-2.2145240792174281E-2</v>
      </c>
      <c r="O508" s="2">
        <f t="shared" si="31"/>
        <v>0</v>
      </c>
      <c r="P508" s="2">
        <v>-0.95250809370229916</v>
      </c>
      <c r="Q508" s="2">
        <v>17.072355622775376</v>
      </c>
    </row>
    <row r="509" spans="1:17" ht="15">
      <c r="A509" s="2" t="s">
        <v>13</v>
      </c>
      <c r="B509" s="2">
        <v>1432.2191429673694</v>
      </c>
      <c r="C509" s="2">
        <v>835.55114478804171</v>
      </c>
      <c r="D509" s="2">
        <v>517.82922921702266</v>
      </c>
      <c r="E509" s="2">
        <v>106.36853361036628</v>
      </c>
      <c r="F509" s="2">
        <v>20.533381357323378</v>
      </c>
      <c r="G509" s="2">
        <v>0.84026411758735775</v>
      </c>
      <c r="H509" s="2">
        <v>50</v>
      </c>
      <c r="I509" s="2">
        <v>25</v>
      </c>
      <c r="J509" s="2">
        <f>(IF(A509='Hybrid Calculator'!$B$6,0,1))^2+((B509-'Hybrid Calculator'!$B$7)/1500)^2+((C509-'Hybrid Calculator'!$B$8)/1300)^2+((D509-'Hybrid Calculator'!$B$9)/800)^2+((E509-'Hybrid Calculator'!$B$10)/350)^2+((F509-'Hybrid Calculator'!$B$11)/30)^2+(G509-'Hybrid Calculator'!$B$12)^2+((H509-'Hybrid Calculator'!$E$14)/IF(A509="Lightning",100,30000))^2+((I509-'Hybrid Calculator'!$E$17)/IF(A509="Lightning",100,30000))^2</f>
        <v>2.1188511040382906E-2</v>
      </c>
      <c r="K509" s="2">
        <f t="shared" si="28"/>
        <v>9</v>
      </c>
      <c r="L509" s="2">
        <f t="shared" si="29"/>
        <v>0</v>
      </c>
      <c r="M509" s="2">
        <f t="shared" si="30"/>
        <v>0</v>
      </c>
      <c r="N509" s="2">
        <v>-1.5273679472924684E-2</v>
      </c>
      <c r="O509" s="2">
        <f t="shared" si="31"/>
        <v>0</v>
      </c>
      <c r="P509" s="2">
        <v>-1.2765738863777329</v>
      </c>
      <c r="Q509" s="2">
        <v>10.390848283255991</v>
      </c>
    </row>
    <row r="510" spans="1:17" ht="15">
      <c r="A510" s="2" t="s">
        <v>13</v>
      </c>
      <c r="B510" s="2">
        <v>1454.255771683529</v>
      </c>
      <c r="C510" s="2">
        <v>703.01079562632367</v>
      </c>
      <c r="D510" s="2">
        <v>379.55943923443556</v>
      </c>
      <c r="E510" s="2">
        <v>155.01180499093607</v>
      </c>
      <c r="F510" s="2">
        <v>15.367318734526634</v>
      </c>
      <c r="G510" s="2">
        <v>0.80721390156308193</v>
      </c>
      <c r="H510" s="2">
        <v>55</v>
      </c>
      <c r="I510" s="2">
        <v>25</v>
      </c>
      <c r="J510" s="2">
        <f>(IF(A510='Hybrid Calculator'!$B$6,0,1))^2+((B510-'Hybrid Calculator'!$B$7)/1500)^2+((C510-'Hybrid Calculator'!$B$8)/1300)^2+((D510-'Hybrid Calculator'!$B$9)/800)^2+((E510-'Hybrid Calculator'!$B$10)/350)^2+((F510-'Hybrid Calculator'!$B$11)/30)^2+(G510-'Hybrid Calculator'!$B$12)^2+((H510-'Hybrid Calculator'!$E$14)/IF(A510="Lightning",100,30000))^2+((I510-'Hybrid Calculator'!$E$17)/IF(A510="Lightning",100,30000))^2</f>
        <v>4.960305906263282E-2</v>
      </c>
      <c r="K510" s="2">
        <f t="shared" si="28"/>
        <v>52</v>
      </c>
      <c r="L510" s="2">
        <f t="shared" si="29"/>
        <v>0</v>
      </c>
      <c r="M510" s="2">
        <f t="shared" si="30"/>
        <v>0</v>
      </c>
      <c r="N510" s="2">
        <v>-8.4828514040762304E-3</v>
      </c>
      <c r="O510" s="2">
        <f t="shared" si="31"/>
        <v>0</v>
      </c>
      <c r="P510" s="2">
        <v>-1.2058020649949555</v>
      </c>
      <c r="Q510" s="2">
        <v>17.836974018937553</v>
      </c>
    </row>
    <row r="511" spans="1:17" ht="15">
      <c r="A511" s="2" t="s">
        <v>13</v>
      </c>
      <c r="B511" s="2">
        <v>1472.5322586600669</v>
      </c>
      <c r="C511" s="2">
        <v>787.44415619876236</v>
      </c>
      <c r="D511" s="2">
        <v>619.25595523789525</v>
      </c>
      <c r="E511" s="2">
        <v>182.07471670582891</v>
      </c>
      <c r="F511" s="2">
        <v>27.962075150106102</v>
      </c>
      <c r="G511" s="2">
        <v>0.816513218334876</v>
      </c>
      <c r="H511" s="2">
        <v>40</v>
      </c>
      <c r="I511" s="2">
        <v>25</v>
      </c>
      <c r="J511" s="2">
        <f>(IF(A511='Hybrid Calculator'!$B$6,0,1))^2+((B511-'Hybrid Calculator'!$B$7)/1500)^2+((C511-'Hybrid Calculator'!$B$8)/1300)^2+((D511-'Hybrid Calculator'!$B$9)/800)^2+((E511-'Hybrid Calculator'!$B$10)/350)^2+((F511-'Hybrid Calculator'!$B$11)/30)^2+(G511-'Hybrid Calculator'!$B$12)^2+((H511-'Hybrid Calculator'!$E$14)/IF(A511="Lightning",100,30000))^2+((I511-'Hybrid Calculator'!$E$17)/IF(A511="Lightning",100,30000))^2</f>
        <v>0.14343067404858173</v>
      </c>
      <c r="K511" s="2">
        <f t="shared" si="28"/>
        <v>310</v>
      </c>
      <c r="L511" s="2">
        <f t="shared" si="29"/>
        <v>0</v>
      </c>
      <c r="M511" s="2">
        <f t="shared" si="30"/>
        <v>0</v>
      </c>
      <c r="N511" s="2">
        <v>-1.4754206920076118E-2</v>
      </c>
      <c r="O511" s="2">
        <f t="shared" si="31"/>
        <v>0</v>
      </c>
      <c r="P511" s="2">
        <v>0.31291030846107759</v>
      </c>
      <c r="Q511" s="2">
        <v>-9.966937214147265</v>
      </c>
    </row>
    <row r="512" spans="1:17" ht="15">
      <c r="A512" s="2" t="s">
        <v>13</v>
      </c>
      <c r="B512" s="2">
        <v>1474.4427730562165</v>
      </c>
      <c r="C512" s="2">
        <v>1216.3369106245227</v>
      </c>
      <c r="D512" s="2">
        <v>565.13936370611191</v>
      </c>
      <c r="E512" s="2">
        <v>169.87506566336378</v>
      </c>
      <c r="F512" s="2">
        <v>17.036746735684574</v>
      </c>
      <c r="G512" s="2">
        <v>0.82835271607851613</v>
      </c>
      <c r="H512" s="2">
        <v>35</v>
      </c>
      <c r="I512" s="2">
        <v>25</v>
      </c>
      <c r="J512" s="2">
        <f>(IF(A512='Hybrid Calculator'!$B$6,0,1))^2+((B512-'Hybrid Calculator'!$B$7)/1500)^2+((C512-'Hybrid Calculator'!$B$8)/1300)^2+((D512-'Hybrid Calculator'!$B$9)/800)^2+((E512-'Hybrid Calculator'!$B$10)/350)^2+((F512-'Hybrid Calculator'!$B$11)/30)^2+(G512-'Hybrid Calculator'!$B$12)^2+((H512-'Hybrid Calculator'!$E$14)/IF(A512="Lightning",100,30000))^2+((I512-'Hybrid Calculator'!$E$17)/IF(A512="Lightning",100,30000))^2</f>
        <v>0.11529970297204015</v>
      </c>
      <c r="K512" s="2">
        <f t="shared" si="28"/>
        <v>240</v>
      </c>
      <c r="L512" s="2">
        <f t="shared" si="29"/>
        <v>0</v>
      </c>
      <c r="M512" s="2">
        <f t="shared" si="30"/>
        <v>0</v>
      </c>
      <c r="N512" s="2">
        <v>1.5936248961329724E-2</v>
      </c>
      <c r="O512" s="2">
        <f t="shared" si="31"/>
        <v>0</v>
      </c>
      <c r="P512" s="2">
        <v>0.88303402820395149</v>
      </c>
      <c r="Q512" s="2">
        <v>2.7066317892674761</v>
      </c>
    </row>
    <row r="513" spans="1:17" ht="15">
      <c r="A513" s="2" t="s">
        <v>13</v>
      </c>
      <c r="B513" s="2">
        <v>1470.7446175510995</v>
      </c>
      <c r="C513" s="2">
        <v>686.40423929318786</v>
      </c>
      <c r="D513" s="2">
        <v>700.67918514832854</v>
      </c>
      <c r="E513" s="2">
        <v>308.17888169083744</v>
      </c>
      <c r="F513" s="2">
        <v>9.0615822277031839</v>
      </c>
      <c r="G513" s="2">
        <v>0.84520792786963284</v>
      </c>
      <c r="H513" s="2">
        <v>45</v>
      </c>
      <c r="I513" s="2">
        <v>25</v>
      </c>
      <c r="J513" s="2">
        <f>(IF(A513='Hybrid Calculator'!$B$6,0,1))^2+((B513-'Hybrid Calculator'!$B$7)/1500)^2+((C513-'Hybrid Calculator'!$B$8)/1300)^2+((D513-'Hybrid Calculator'!$B$9)/800)^2+((E513-'Hybrid Calculator'!$B$10)/350)^2+((F513-'Hybrid Calculator'!$B$11)/30)^2+(G513-'Hybrid Calculator'!$B$12)^2+((H513-'Hybrid Calculator'!$E$14)/IF(A513="Lightning",100,30000))^2+((I513-'Hybrid Calculator'!$E$17)/IF(A513="Lightning",100,30000))^2</f>
        <v>0.38605849625906835</v>
      </c>
      <c r="K513" s="2">
        <f t="shared" si="28"/>
        <v>677</v>
      </c>
      <c r="L513" s="2">
        <f t="shared" si="29"/>
        <v>0</v>
      </c>
      <c r="M513" s="2">
        <f t="shared" si="30"/>
        <v>0</v>
      </c>
      <c r="N513" s="2">
        <v>1.1160015546632929E-2</v>
      </c>
      <c r="O513" s="2">
        <f t="shared" si="31"/>
        <v>0</v>
      </c>
      <c r="P513" s="2">
        <v>0.32633154972793221</v>
      </c>
      <c r="Q513" s="2">
        <v>10.254426835161667</v>
      </c>
    </row>
    <row r="514" spans="1:17" ht="15">
      <c r="A514" s="2" t="s">
        <v>13</v>
      </c>
      <c r="B514" s="2">
        <v>1399.3254594504833</v>
      </c>
      <c r="C514" s="2">
        <v>1015.1420506066643</v>
      </c>
      <c r="D514" s="2">
        <v>427.0647631958127</v>
      </c>
      <c r="E514" s="2">
        <v>279.61606204742566</v>
      </c>
      <c r="F514" s="2">
        <v>28.653290627524257</v>
      </c>
      <c r="G514" s="2">
        <v>0.85292133023263894</v>
      </c>
      <c r="H514" s="2">
        <v>40</v>
      </c>
      <c r="I514" s="2">
        <v>25</v>
      </c>
      <c r="J514" s="2">
        <f>(IF(A514='Hybrid Calculator'!$B$6,0,1))^2+((B514-'Hybrid Calculator'!$B$7)/1500)^2+((C514-'Hybrid Calculator'!$B$8)/1300)^2+((D514-'Hybrid Calculator'!$B$9)/800)^2+((E514-'Hybrid Calculator'!$B$10)/350)^2+((F514-'Hybrid Calculator'!$B$11)/30)^2+(G514-'Hybrid Calculator'!$B$12)^2+((H514-'Hybrid Calculator'!$E$14)/IF(A514="Lightning",100,30000))^2+((I514-'Hybrid Calculator'!$E$17)/IF(A514="Lightning",100,30000))^2</f>
        <v>0.28751497251292418</v>
      </c>
      <c r="K514" s="2">
        <f t="shared" ref="K514:K577" si="32">RANK(J514,$J$2:$J$1401,1)</f>
        <v>592</v>
      </c>
      <c r="L514" s="2">
        <f t="shared" ref="L514:L577" si="33">IF(K514&lt;=7,1,0)</f>
        <v>0</v>
      </c>
      <c r="M514" s="2">
        <f t="shared" ref="M514:M577" si="34">IF(L514=1,1/(J514+0.000001),0)</f>
        <v>0</v>
      </c>
      <c r="N514" s="2">
        <v>-1.4054466802160492E-2</v>
      </c>
      <c r="O514" s="2">
        <f t="shared" ref="O514:O577" si="35">M514</f>
        <v>0</v>
      </c>
      <c r="P514" s="2">
        <v>4.767499544551157E-2</v>
      </c>
      <c r="Q514" s="2">
        <v>-20.708719486935934</v>
      </c>
    </row>
    <row r="515" spans="1:17" ht="15">
      <c r="A515" s="2" t="s">
        <v>13</v>
      </c>
      <c r="B515" s="2">
        <v>1455.1806195289828</v>
      </c>
      <c r="C515" s="2">
        <v>626.5705960104242</v>
      </c>
      <c r="D515" s="2">
        <v>519.08826688304543</v>
      </c>
      <c r="E515" s="2">
        <v>168.66293146274984</v>
      </c>
      <c r="F515" s="2">
        <v>27.800882366020232</v>
      </c>
      <c r="G515" s="2">
        <v>0.82472571209538736</v>
      </c>
      <c r="H515" s="2">
        <v>55</v>
      </c>
      <c r="I515" s="2">
        <v>25</v>
      </c>
      <c r="J515" s="2">
        <f>(IF(A515='Hybrid Calculator'!$B$6,0,1))^2+((B515-'Hybrid Calculator'!$B$7)/1500)^2+((C515-'Hybrid Calculator'!$B$8)/1300)^2+((D515-'Hybrid Calculator'!$B$9)/800)^2+((E515-'Hybrid Calculator'!$B$10)/350)^2+((F515-'Hybrid Calculator'!$B$11)/30)^2+(G515-'Hybrid Calculator'!$B$12)^2+((H515-'Hybrid Calculator'!$E$14)/IF(A515="Lightning",100,30000))^2+((I515-'Hybrid Calculator'!$E$17)/IF(A515="Lightning",100,30000))^2</f>
        <v>0.13199689642633025</v>
      </c>
      <c r="K515" s="2">
        <f t="shared" si="32"/>
        <v>280</v>
      </c>
      <c r="L515" s="2">
        <f t="shared" si="33"/>
        <v>0</v>
      </c>
      <c r="M515" s="2">
        <f t="shared" si="34"/>
        <v>0</v>
      </c>
      <c r="N515" s="2">
        <v>-1.385555290115259E-2</v>
      </c>
      <c r="O515" s="2">
        <f t="shared" si="35"/>
        <v>0</v>
      </c>
      <c r="P515" s="2">
        <v>-0.96725281260103202</v>
      </c>
      <c r="Q515" s="2">
        <v>-10.837750766251247</v>
      </c>
    </row>
    <row r="516" spans="1:17" ht="15">
      <c r="A516" s="2" t="s">
        <v>13</v>
      </c>
      <c r="B516" s="2">
        <v>1374.2280297679827</v>
      </c>
      <c r="C516" s="2">
        <v>1018.8589048222639</v>
      </c>
      <c r="D516" s="2">
        <v>486.61136068403721</v>
      </c>
      <c r="E516" s="2">
        <v>279.73111635772511</v>
      </c>
      <c r="F516" s="2">
        <v>29.601565533317626</v>
      </c>
      <c r="G516" s="2">
        <v>0.83156358475564052</v>
      </c>
      <c r="H516" s="2">
        <v>40</v>
      </c>
      <c r="I516" s="2">
        <v>25</v>
      </c>
      <c r="J516" s="2">
        <f>(IF(A516='Hybrid Calculator'!$B$6,0,1))^2+((B516-'Hybrid Calculator'!$B$7)/1500)^2+((C516-'Hybrid Calculator'!$B$8)/1300)^2+((D516-'Hybrid Calculator'!$B$9)/800)^2+((E516-'Hybrid Calculator'!$B$10)/350)^2+((F516-'Hybrid Calculator'!$B$11)/30)^2+(G516-'Hybrid Calculator'!$B$12)^2+((H516-'Hybrid Calculator'!$E$14)/IF(A516="Lightning",100,30000))^2+((I516-'Hybrid Calculator'!$E$17)/IF(A516="Lightning",100,30000))^2</f>
        <v>0.30275898323435679</v>
      </c>
      <c r="K516" s="2">
        <f t="shared" si="32"/>
        <v>599</v>
      </c>
      <c r="L516" s="2">
        <f t="shared" si="33"/>
        <v>0</v>
      </c>
      <c r="M516" s="2">
        <f t="shared" si="34"/>
        <v>0</v>
      </c>
      <c r="N516" s="2">
        <v>5.0290467988498566E-3</v>
      </c>
      <c r="O516" s="2">
        <f t="shared" si="35"/>
        <v>0</v>
      </c>
      <c r="P516" s="2">
        <v>0.53086728424930385</v>
      </c>
      <c r="Q516" s="2">
        <v>-19.568687455969439</v>
      </c>
    </row>
    <row r="517" spans="1:17" ht="15">
      <c r="A517" s="2" t="s">
        <v>13</v>
      </c>
      <c r="B517" s="2">
        <v>1418.9824149361812</v>
      </c>
      <c r="C517" s="2">
        <v>988.4046524297446</v>
      </c>
      <c r="D517" s="2">
        <v>693.09526337310672</v>
      </c>
      <c r="E517" s="2">
        <v>291.05831849854439</v>
      </c>
      <c r="F517" s="2">
        <v>21.78218888817355</v>
      </c>
      <c r="G517" s="2">
        <v>0.84457639880478386</v>
      </c>
      <c r="H517" s="2">
        <v>35</v>
      </c>
      <c r="I517" s="2">
        <v>25</v>
      </c>
      <c r="J517" s="2">
        <f>(IF(A517='Hybrid Calculator'!$B$6,0,1))^2+((B517-'Hybrid Calculator'!$B$7)/1500)^2+((C517-'Hybrid Calculator'!$B$8)/1300)^2+((D517-'Hybrid Calculator'!$B$9)/800)^2+((E517-'Hybrid Calculator'!$B$10)/350)^2+((F517-'Hybrid Calculator'!$B$11)/30)^2+(G517-'Hybrid Calculator'!$B$12)^2+((H517-'Hybrid Calculator'!$E$14)/IF(A517="Lightning",100,30000))^2+((I517-'Hybrid Calculator'!$E$17)/IF(A517="Lightning",100,30000))^2</f>
        <v>0.2671118414389777</v>
      </c>
      <c r="K517" s="2">
        <f t="shared" si="32"/>
        <v>568</v>
      </c>
      <c r="L517" s="2">
        <f t="shared" si="33"/>
        <v>0</v>
      </c>
      <c r="M517" s="2">
        <f t="shared" si="34"/>
        <v>0</v>
      </c>
      <c r="N517" s="2">
        <v>6.5735205319574774E-3</v>
      </c>
      <c r="O517" s="2">
        <f t="shared" si="35"/>
        <v>0</v>
      </c>
      <c r="P517" s="2">
        <v>1.0885807812683552</v>
      </c>
      <c r="Q517" s="2">
        <v>-6.8247375182841097</v>
      </c>
    </row>
    <row r="518" spans="1:17" ht="15">
      <c r="A518" s="2" t="s">
        <v>13</v>
      </c>
      <c r="B518" s="2">
        <v>1467.897293670103</v>
      </c>
      <c r="C518" s="2">
        <v>1155.3445041994564</v>
      </c>
      <c r="D518" s="2">
        <v>635.72109695523977</v>
      </c>
      <c r="E518" s="2">
        <v>82.085381012875587</v>
      </c>
      <c r="F518" s="2">
        <v>28.050575595349073</v>
      </c>
      <c r="G518" s="2">
        <v>0.8139792757877149</v>
      </c>
      <c r="H518" s="2">
        <v>35</v>
      </c>
      <c r="I518" s="2">
        <v>25</v>
      </c>
      <c r="J518" s="2">
        <f>(IF(A518='Hybrid Calculator'!$B$6,0,1))^2+((B518-'Hybrid Calculator'!$B$7)/1500)^2+((C518-'Hybrid Calculator'!$B$8)/1300)^2+((D518-'Hybrid Calculator'!$B$9)/800)^2+((E518-'Hybrid Calculator'!$B$10)/350)^2+((F518-'Hybrid Calculator'!$B$11)/30)^2+(G518-'Hybrid Calculator'!$B$12)^2+((H518-'Hybrid Calculator'!$E$14)/IF(A518="Lightning",100,30000))^2+((I518-'Hybrid Calculator'!$E$17)/IF(A518="Lightning",100,30000))^2</f>
        <v>0.24630502509219268</v>
      </c>
      <c r="K518" s="2">
        <f t="shared" si="32"/>
        <v>531</v>
      </c>
      <c r="L518" s="2">
        <f t="shared" si="33"/>
        <v>0</v>
      </c>
      <c r="M518" s="2">
        <f t="shared" si="34"/>
        <v>0</v>
      </c>
      <c r="N518" s="2">
        <v>6.2474684300390937E-3</v>
      </c>
      <c r="O518" s="2">
        <f t="shared" si="35"/>
        <v>0</v>
      </c>
      <c r="P518" s="2">
        <v>6.0102829815065206E-3</v>
      </c>
      <c r="Q518" s="2">
        <v>-21.853158110562617</v>
      </c>
    </row>
    <row r="519" spans="1:17" ht="15">
      <c r="A519" s="2" t="s">
        <v>13</v>
      </c>
      <c r="B519" s="2">
        <v>1437.6558907446451</v>
      </c>
      <c r="C519" s="2">
        <v>630.12501436751336</v>
      </c>
      <c r="D519" s="2">
        <v>591.8364723213017</v>
      </c>
      <c r="E519" s="2">
        <v>172.8236274048686</v>
      </c>
      <c r="F519" s="2">
        <v>13.053231226745993</v>
      </c>
      <c r="G519" s="2">
        <v>0.850140165197663</v>
      </c>
      <c r="H519" s="2">
        <v>55</v>
      </c>
      <c r="I519" s="2">
        <v>25</v>
      </c>
      <c r="J519" s="2">
        <f>(IF(A519='Hybrid Calculator'!$B$6,0,1))^2+((B519-'Hybrid Calculator'!$B$7)/1500)^2+((C519-'Hybrid Calculator'!$B$8)/1300)^2+((D519-'Hybrid Calculator'!$B$9)/800)^2+((E519-'Hybrid Calculator'!$B$10)/350)^2+((F519-'Hybrid Calculator'!$B$11)/30)^2+(G519-'Hybrid Calculator'!$B$12)^2+((H519-'Hybrid Calculator'!$E$14)/IF(A519="Lightning",100,30000))^2+((I519-'Hybrid Calculator'!$E$17)/IF(A519="Lightning",100,30000))^2</f>
        <v>8.2480206088634725E-2</v>
      </c>
      <c r="K519" s="2">
        <f t="shared" si="32"/>
        <v>148</v>
      </c>
      <c r="L519" s="2">
        <f t="shared" si="33"/>
        <v>0</v>
      </c>
      <c r="M519" s="2">
        <f t="shared" si="34"/>
        <v>0</v>
      </c>
      <c r="N519" s="2">
        <v>1.0519519695503243E-2</v>
      </c>
      <c r="O519" s="2">
        <f t="shared" si="35"/>
        <v>0</v>
      </c>
      <c r="P519" s="2">
        <v>-1.6577758204771911</v>
      </c>
      <c r="Q519" s="2">
        <v>13.104059645756479</v>
      </c>
    </row>
    <row r="520" spans="1:17" ht="15">
      <c r="A520" s="2" t="s">
        <v>13</v>
      </c>
      <c r="B520" s="2">
        <v>1436.0719128046185</v>
      </c>
      <c r="C520" s="2">
        <v>1189.6423151600175</v>
      </c>
      <c r="D520" s="2">
        <v>674.97594486922026</v>
      </c>
      <c r="E520" s="2">
        <v>254.41289249109104</v>
      </c>
      <c r="F520" s="2">
        <v>23.742383934557438</v>
      </c>
      <c r="G520" s="2">
        <v>0.83076597834238786</v>
      </c>
      <c r="H520" s="2">
        <v>35</v>
      </c>
      <c r="I520" s="2">
        <v>25</v>
      </c>
      <c r="J520" s="2">
        <f>(IF(A520='Hybrid Calculator'!$B$6,0,1))^2+((B520-'Hybrid Calculator'!$B$7)/1500)^2+((C520-'Hybrid Calculator'!$B$8)/1300)^2+((D520-'Hybrid Calculator'!$B$9)/800)^2+((E520-'Hybrid Calculator'!$B$10)/350)^2+((F520-'Hybrid Calculator'!$B$11)/30)^2+(G520-'Hybrid Calculator'!$B$12)^2+((H520-'Hybrid Calculator'!$E$14)/IF(A520="Lightning",100,30000))^2+((I520-'Hybrid Calculator'!$E$17)/IF(A520="Lightning",100,30000))^2</f>
        <v>0.2582998739834611</v>
      </c>
      <c r="K520" s="2">
        <f t="shared" si="32"/>
        <v>556</v>
      </c>
      <c r="L520" s="2">
        <f t="shared" si="33"/>
        <v>0</v>
      </c>
      <c r="M520" s="2">
        <f t="shared" si="34"/>
        <v>0</v>
      </c>
      <c r="N520" s="2">
        <v>7.5527256839598156E-3</v>
      </c>
      <c r="O520" s="2">
        <f t="shared" si="35"/>
        <v>0</v>
      </c>
      <c r="P520" s="2">
        <v>0.46009218972452715</v>
      </c>
      <c r="Q520" s="2">
        <v>-16.272873812682747</v>
      </c>
    </row>
    <row r="521" spans="1:17" ht="15">
      <c r="A521" s="2" t="s">
        <v>13</v>
      </c>
      <c r="B521" s="2">
        <v>1477.6738169719465</v>
      </c>
      <c r="C521" s="2">
        <v>797.62350914534181</v>
      </c>
      <c r="D521" s="2">
        <v>365.38728149607778</v>
      </c>
      <c r="E521" s="2">
        <v>210.72465499863029</v>
      </c>
      <c r="F521" s="2">
        <v>9.3533157692290843</v>
      </c>
      <c r="G521" s="2">
        <v>0.81903177277650685</v>
      </c>
      <c r="H521" s="2">
        <v>50</v>
      </c>
      <c r="I521" s="2">
        <v>25</v>
      </c>
      <c r="J521" s="2">
        <f>(IF(A521='Hybrid Calculator'!$B$6,0,1))^2+((B521-'Hybrid Calculator'!$B$7)/1500)^2+((C521-'Hybrid Calculator'!$B$8)/1300)^2+((D521-'Hybrid Calculator'!$B$9)/800)^2+((E521-'Hybrid Calculator'!$B$10)/350)^2+((F521-'Hybrid Calculator'!$B$11)/30)^2+(G521-'Hybrid Calculator'!$B$12)^2+((H521-'Hybrid Calculator'!$E$14)/IF(A521="Lightning",100,30000))^2+((I521-'Hybrid Calculator'!$E$17)/IF(A521="Lightning",100,30000))^2</f>
        <v>0.15423022689647417</v>
      </c>
      <c r="K521" s="2">
        <f t="shared" si="32"/>
        <v>338</v>
      </c>
      <c r="L521" s="2">
        <f t="shared" si="33"/>
        <v>0</v>
      </c>
      <c r="M521" s="2">
        <f t="shared" si="34"/>
        <v>0</v>
      </c>
      <c r="N521" s="2">
        <v>5.0564113945830158E-3</v>
      </c>
      <c r="O521" s="2">
        <f t="shared" si="35"/>
        <v>0</v>
      </c>
      <c r="P521" s="2">
        <v>-0.89021340813193461</v>
      </c>
      <c r="Q521" s="2">
        <v>16.923855097249316</v>
      </c>
    </row>
    <row r="522" spans="1:17" ht="15">
      <c r="A522" s="2" t="s">
        <v>13</v>
      </c>
      <c r="B522" s="2">
        <v>1438.7666600989178</v>
      </c>
      <c r="C522" s="2">
        <v>644.68250387581065</v>
      </c>
      <c r="D522" s="2">
        <v>564.28188681602478</v>
      </c>
      <c r="E522" s="2">
        <v>112.54977049073204</v>
      </c>
      <c r="F522" s="2">
        <v>26.985390949063003</v>
      </c>
      <c r="G522" s="2">
        <v>0.80610949612921112</v>
      </c>
      <c r="H522" s="2">
        <v>55</v>
      </c>
      <c r="I522" s="2">
        <v>25</v>
      </c>
      <c r="J522" s="2">
        <f>(IF(A522='Hybrid Calculator'!$B$6,0,1))^2+((B522-'Hybrid Calculator'!$B$7)/1500)^2+((C522-'Hybrid Calculator'!$B$8)/1300)^2+((D522-'Hybrid Calculator'!$B$9)/800)^2+((E522-'Hybrid Calculator'!$B$10)/350)^2+((F522-'Hybrid Calculator'!$B$11)/30)^2+(G522-'Hybrid Calculator'!$B$12)^2+((H522-'Hybrid Calculator'!$E$14)/IF(A522="Lightning",100,30000))^2+((I522-'Hybrid Calculator'!$E$17)/IF(A522="Lightning",100,30000))^2</f>
        <v>0.12562883488655444</v>
      </c>
      <c r="K522" s="2">
        <f t="shared" si="32"/>
        <v>265</v>
      </c>
      <c r="L522" s="2">
        <f t="shared" si="33"/>
        <v>0</v>
      </c>
      <c r="M522" s="2">
        <f t="shared" si="34"/>
        <v>0</v>
      </c>
      <c r="N522" s="2">
        <v>-5.3216683004859711E-3</v>
      </c>
      <c r="O522" s="2">
        <f t="shared" si="35"/>
        <v>0</v>
      </c>
      <c r="P522" s="2">
        <v>-1.6248849672613801</v>
      </c>
      <c r="Q522" s="2">
        <v>-6.4354904844262819</v>
      </c>
    </row>
    <row r="523" spans="1:17" ht="15">
      <c r="A523" s="2" t="s">
        <v>13</v>
      </c>
      <c r="B523" s="2">
        <v>1487.6279079238884</v>
      </c>
      <c r="C523" s="2">
        <v>725.00456059351563</v>
      </c>
      <c r="D523" s="2">
        <v>700.56375628337264</v>
      </c>
      <c r="E523" s="2">
        <v>224.28423123899847</v>
      </c>
      <c r="F523" s="2">
        <v>9.6737676686607301</v>
      </c>
      <c r="G523" s="2">
        <v>0.85147964105941365</v>
      </c>
      <c r="H523" s="2">
        <v>45</v>
      </c>
      <c r="I523" s="2">
        <v>25</v>
      </c>
      <c r="J523" s="2">
        <f>(IF(A523='Hybrid Calculator'!$B$6,0,1))^2+((B523-'Hybrid Calculator'!$B$7)/1500)^2+((C523-'Hybrid Calculator'!$B$8)/1300)^2+((D523-'Hybrid Calculator'!$B$9)/800)^2+((E523-'Hybrid Calculator'!$B$10)/350)^2+((F523-'Hybrid Calculator'!$B$11)/30)^2+(G523-'Hybrid Calculator'!$B$12)^2+((H523-'Hybrid Calculator'!$E$14)/IF(A523="Lightning",100,30000))^2+((I523-'Hybrid Calculator'!$E$17)/IF(A523="Lightning",100,30000))^2</f>
        <v>0.20893621884961128</v>
      </c>
      <c r="K523" s="2">
        <f t="shared" si="32"/>
        <v>461</v>
      </c>
      <c r="L523" s="2">
        <f t="shared" si="33"/>
        <v>0</v>
      </c>
      <c r="M523" s="2">
        <f t="shared" si="34"/>
        <v>0</v>
      </c>
      <c r="N523" s="2">
        <v>5.1001504363701322E-4</v>
      </c>
      <c r="O523" s="2">
        <f t="shared" si="35"/>
        <v>0</v>
      </c>
      <c r="P523" s="2">
        <v>-0.92595902298823063</v>
      </c>
      <c r="Q523" s="2">
        <v>15.091403254023817</v>
      </c>
    </row>
    <row r="524" spans="1:17" ht="15">
      <c r="A524" s="2" t="s">
        <v>13</v>
      </c>
      <c r="B524" s="2">
        <v>1437.4101703986526</v>
      </c>
      <c r="C524" s="2">
        <v>813.60305662965402</v>
      </c>
      <c r="D524" s="2">
        <v>584.63425058871508</v>
      </c>
      <c r="E524" s="2">
        <v>248.9927313127555</v>
      </c>
      <c r="F524" s="2">
        <v>24.289271464571357</v>
      </c>
      <c r="G524" s="2">
        <v>0.80520292149158201</v>
      </c>
      <c r="H524" s="2">
        <v>45</v>
      </c>
      <c r="I524" s="2">
        <v>25</v>
      </c>
      <c r="J524" s="2">
        <f>(IF(A524='Hybrid Calculator'!$B$6,0,1))^2+((B524-'Hybrid Calculator'!$B$7)/1500)^2+((C524-'Hybrid Calculator'!$B$8)/1300)^2+((D524-'Hybrid Calculator'!$B$9)/800)^2+((E524-'Hybrid Calculator'!$B$10)/350)^2+((F524-'Hybrid Calculator'!$B$11)/30)^2+(G524-'Hybrid Calculator'!$B$12)^2+((H524-'Hybrid Calculator'!$E$14)/IF(A524="Lightning",100,30000))^2+((I524-'Hybrid Calculator'!$E$17)/IF(A524="Lightning",100,30000))^2</f>
        <v>0.13199943301600972</v>
      </c>
      <c r="K524" s="2">
        <f t="shared" si="32"/>
        <v>281</v>
      </c>
      <c r="L524" s="2">
        <f t="shared" si="33"/>
        <v>0</v>
      </c>
      <c r="M524" s="2">
        <f t="shared" si="34"/>
        <v>0</v>
      </c>
      <c r="N524" s="2">
        <v>-5.5045653739058675E-3</v>
      </c>
      <c r="O524" s="2">
        <f t="shared" si="35"/>
        <v>0</v>
      </c>
      <c r="P524" s="2">
        <v>-1.335967502932192</v>
      </c>
      <c r="Q524" s="2">
        <v>-11.828995260638521</v>
      </c>
    </row>
    <row r="525" spans="1:17" ht="15">
      <c r="A525" s="2" t="s">
        <v>13</v>
      </c>
      <c r="B525" s="2">
        <v>1432.7249739901163</v>
      </c>
      <c r="C525" s="2">
        <v>915.21140823606402</v>
      </c>
      <c r="D525" s="2">
        <v>363.99281034246087</v>
      </c>
      <c r="E525" s="2">
        <v>253.16404613666236</v>
      </c>
      <c r="F525" s="2">
        <v>24.976310659665614</v>
      </c>
      <c r="G525" s="2">
        <v>0.84311814871151003</v>
      </c>
      <c r="H525" s="2">
        <v>45</v>
      </c>
      <c r="I525" s="2">
        <v>25</v>
      </c>
      <c r="J525" s="2">
        <f>(IF(A525='Hybrid Calculator'!$B$6,0,1))^2+((B525-'Hybrid Calculator'!$B$7)/1500)^2+((C525-'Hybrid Calculator'!$B$8)/1300)^2+((D525-'Hybrid Calculator'!$B$9)/800)^2+((E525-'Hybrid Calculator'!$B$10)/350)^2+((F525-'Hybrid Calculator'!$B$11)/30)^2+(G525-'Hybrid Calculator'!$B$12)^2+((H525-'Hybrid Calculator'!$E$14)/IF(A525="Lightning",100,30000))^2+((I525-'Hybrid Calculator'!$E$17)/IF(A525="Lightning",100,30000))^2</f>
        <v>0.16796337070248035</v>
      </c>
      <c r="K525" s="2">
        <f t="shared" si="32"/>
        <v>378</v>
      </c>
      <c r="L525" s="2">
        <f t="shared" si="33"/>
        <v>0</v>
      </c>
      <c r="M525" s="2">
        <f t="shared" si="34"/>
        <v>0</v>
      </c>
      <c r="N525" s="2">
        <v>3.1532466485699739E-3</v>
      </c>
      <c r="O525" s="2">
        <f t="shared" si="35"/>
        <v>0</v>
      </c>
      <c r="P525" s="2">
        <v>0.2999400065931539</v>
      </c>
      <c r="Q525" s="2">
        <v>-0.55541211914896849</v>
      </c>
    </row>
    <row r="526" spans="1:17" ht="15">
      <c r="A526" s="2" t="s">
        <v>13</v>
      </c>
      <c r="B526" s="2">
        <v>1423.0102172819898</v>
      </c>
      <c r="C526" s="2">
        <v>891.76983298966661</v>
      </c>
      <c r="D526" s="2">
        <v>617.50849671661854</v>
      </c>
      <c r="E526" s="2">
        <v>251.82776163099334</v>
      </c>
      <c r="F526" s="2">
        <v>22.427232370711863</v>
      </c>
      <c r="G526" s="2">
        <v>0.8541306736203842</v>
      </c>
      <c r="H526" s="2">
        <v>40</v>
      </c>
      <c r="I526" s="2">
        <v>25</v>
      </c>
      <c r="J526" s="2">
        <f>(IF(A526='Hybrid Calculator'!$B$6,0,1))^2+((B526-'Hybrid Calculator'!$B$7)/1500)^2+((C526-'Hybrid Calculator'!$B$8)/1300)^2+((D526-'Hybrid Calculator'!$B$9)/800)^2+((E526-'Hybrid Calculator'!$B$10)/350)^2+((F526-'Hybrid Calculator'!$B$11)/30)^2+(G526-'Hybrid Calculator'!$B$12)^2+((H526-'Hybrid Calculator'!$E$14)/IF(A526="Lightning",100,30000))^2+((I526-'Hybrid Calculator'!$E$17)/IF(A526="Lightning",100,30000))^2</f>
        <v>0.1355552889316618</v>
      </c>
      <c r="K526" s="2">
        <f t="shared" si="32"/>
        <v>293</v>
      </c>
      <c r="L526" s="2">
        <f t="shared" si="33"/>
        <v>0</v>
      </c>
      <c r="M526" s="2">
        <f t="shared" si="34"/>
        <v>0</v>
      </c>
      <c r="N526" s="2">
        <v>1.1784809103104088E-2</v>
      </c>
      <c r="O526" s="2">
        <f t="shared" si="35"/>
        <v>0</v>
      </c>
      <c r="P526" s="2">
        <v>0.55034151153647315</v>
      </c>
      <c r="Q526" s="2">
        <v>-12.258140901340994</v>
      </c>
    </row>
    <row r="527" spans="1:17" ht="15">
      <c r="A527" s="2" t="s">
        <v>13</v>
      </c>
      <c r="B527" s="2">
        <v>1470.4251548624597</v>
      </c>
      <c r="C527" s="2">
        <v>670.66640420816839</v>
      </c>
      <c r="D527" s="2">
        <v>473.02079005166888</v>
      </c>
      <c r="E527" s="2">
        <v>126.86746455263346</v>
      </c>
      <c r="F527" s="2">
        <v>19.039728957694024</v>
      </c>
      <c r="G527" s="2">
        <v>0.83466254878789192</v>
      </c>
      <c r="H527" s="2">
        <v>60</v>
      </c>
      <c r="I527" s="2">
        <v>25</v>
      </c>
      <c r="J527" s="2">
        <f>(IF(A527='Hybrid Calculator'!$B$6,0,1))^2+((B527-'Hybrid Calculator'!$B$7)/1500)^2+((C527-'Hybrid Calculator'!$B$8)/1300)^2+((D527-'Hybrid Calculator'!$B$9)/800)^2+((E527-'Hybrid Calculator'!$B$10)/350)^2+((F527-'Hybrid Calculator'!$B$11)/30)^2+(G527-'Hybrid Calculator'!$B$12)^2+((H527-'Hybrid Calculator'!$E$14)/IF(A527="Lightning",100,30000))^2+((I527-'Hybrid Calculator'!$E$17)/IF(A527="Lightning",100,30000))^2</f>
        <v>3.59912443511844E-2</v>
      </c>
      <c r="K527" s="2">
        <f t="shared" si="32"/>
        <v>30</v>
      </c>
      <c r="L527" s="2">
        <f t="shared" si="33"/>
        <v>0</v>
      </c>
      <c r="M527" s="2">
        <f t="shared" si="34"/>
        <v>0</v>
      </c>
      <c r="N527" s="2">
        <v>-7.4914905679634991E-4</v>
      </c>
      <c r="O527" s="2">
        <f t="shared" si="35"/>
        <v>0</v>
      </c>
      <c r="P527" s="2">
        <v>3.887540194640593E-2</v>
      </c>
      <c r="Q527" s="2">
        <v>11.017633873271279</v>
      </c>
    </row>
    <row r="528" spans="1:17" ht="15">
      <c r="A528" s="2" t="s">
        <v>13</v>
      </c>
      <c r="B528" s="2">
        <v>1373.3814319130033</v>
      </c>
      <c r="C528" s="2">
        <v>657.91581374360248</v>
      </c>
      <c r="D528" s="2">
        <v>548.96353986114264</v>
      </c>
      <c r="E528" s="2">
        <v>255.38409848930314</v>
      </c>
      <c r="F528" s="2">
        <v>10.248831246048212</v>
      </c>
      <c r="G528" s="2">
        <v>0.81234693937236446</v>
      </c>
      <c r="H528" s="2">
        <v>55</v>
      </c>
      <c r="I528" s="2">
        <v>25</v>
      </c>
      <c r="J528" s="2">
        <f>(IF(A528='Hybrid Calculator'!$B$6,0,1))^2+((B528-'Hybrid Calculator'!$B$7)/1500)^2+((C528-'Hybrid Calculator'!$B$8)/1300)^2+((D528-'Hybrid Calculator'!$B$9)/800)^2+((E528-'Hybrid Calculator'!$B$10)/350)^2+((F528-'Hybrid Calculator'!$B$11)/30)^2+(G528-'Hybrid Calculator'!$B$12)^2+((H528-'Hybrid Calculator'!$E$14)/IF(A528="Lightning",100,30000))^2+((I528-'Hybrid Calculator'!$E$17)/IF(A528="Lightning",100,30000))^2</f>
        <v>0.19562700098810157</v>
      </c>
      <c r="K528" s="2">
        <f t="shared" si="32"/>
        <v>436</v>
      </c>
      <c r="L528" s="2">
        <f t="shared" si="33"/>
        <v>0</v>
      </c>
      <c r="M528" s="2">
        <f t="shared" si="34"/>
        <v>0</v>
      </c>
      <c r="N528" s="2">
        <v>2.7265524310784439E-3</v>
      </c>
      <c r="O528" s="2">
        <f t="shared" si="35"/>
        <v>0</v>
      </c>
      <c r="P528" s="2">
        <v>-0.52114774429701072</v>
      </c>
      <c r="Q528" s="2">
        <v>6.5988998026659829</v>
      </c>
    </row>
    <row r="529" spans="1:17" ht="15">
      <c r="A529" s="2" t="s">
        <v>13</v>
      </c>
      <c r="B529" s="2">
        <v>1384.347340289969</v>
      </c>
      <c r="C529" s="2">
        <v>1215.3608784778044</v>
      </c>
      <c r="D529" s="2">
        <v>392.88766132667661</v>
      </c>
      <c r="E529" s="2">
        <v>129.31060969829559</v>
      </c>
      <c r="F529" s="2">
        <v>12.543004284147173</v>
      </c>
      <c r="G529" s="2">
        <v>0.85808952651452275</v>
      </c>
      <c r="H529" s="2">
        <v>45</v>
      </c>
      <c r="I529" s="2">
        <v>25</v>
      </c>
      <c r="J529" s="2">
        <f>(IF(A529='Hybrid Calculator'!$B$6,0,1))^2+((B529-'Hybrid Calculator'!$B$7)/1500)^2+((C529-'Hybrid Calculator'!$B$8)/1300)^2+((D529-'Hybrid Calculator'!$B$9)/800)^2+((E529-'Hybrid Calculator'!$B$10)/350)^2+((F529-'Hybrid Calculator'!$B$11)/30)^2+(G529-'Hybrid Calculator'!$B$12)^2+((H529-'Hybrid Calculator'!$E$14)/IF(A529="Lightning",100,30000))^2+((I529-'Hybrid Calculator'!$E$17)/IF(A529="Lightning",100,30000))^2</f>
        <v>0.14452224125079549</v>
      </c>
      <c r="K529" s="2">
        <f t="shared" si="32"/>
        <v>314</v>
      </c>
      <c r="L529" s="2">
        <f t="shared" si="33"/>
        <v>0</v>
      </c>
      <c r="M529" s="2">
        <f t="shared" si="34"/>
        <v>0</v>
      </c>
      <c r="N529" s="2">
        <v>1.788171038273445E-3</v>
      </c>
      <c r="O529" s="2">
        <f t="shared" si="35"/>
        <v>0</v>
      </c>
      <c r="P529" s="2">
        <v>0.85588804370759419</v>
      </c>
      <c r="Q529" s="2">
        <v>1.1899871925129446</v>
      </c>
    </row>
    <row r="530" spans="1:17" ht="15">
      <c r="A530" s="2" t="s">
        <v>13</v>
      </c>
      <c r="B530" s="2">
        <v>1361.5440266439691</v>
      </c>
      <c r="C530" s="2">
        <v>844.22557736979797</v>
      </c>
      <c r="D530" s="2">
        <v>739.30193558335304</v>
      </c>
      <c r="E530" s="2">
        <v>141.72129366314039</v>
      </c>
      <c r="F530" s="2">
        <v>25.190943612717092</v>
      </c>
      <c r="G530" s="2">
        <v>0.85557871510973205</v>
      </c>
      <c r="H530" s="2">
        <v>45</v>
      </c>
      <c r="I530" s="2">
        <v>25</v>
      </c>
      <c r="J530" s="2">
        <f>(IF(A530='Hybrid Calculator'!$B$6,0,1))^2+((B530-'Hybrid Calculator'!$B$7)/1500)^2+((C530-'Hybrid Calculator'!$B$8)/1300)^2+((D530-'Hybrid Calculator'!$B$9)/800)^2+((E530-'Hybrid Calculator'!$B$10)/350)^2+((F530-'Hybrid Calculator'!$B$11)/30)^2+(G530-'Hybrid Calculator'!$B$12)^2+((H530-'Hybrid Calculator'!$E$14)/IF(A530="Lightning",100,30000))^2+((I530-'Hybrid Calculator'!$E$17)/IF(A530="Lightning",100,30000))^2</f>
        <v>0.14535493002293437</v>
      </c>
      <c r="K530" s="2">
        <f t="shared" si="32"/>
        <v>315</v>
      </c>
      <c r="L530" s="2">
        <f t="shared" si="33"/>
        <v>0</v>
      </c>
      <c r="M530" s="2">
        <f t="shared" si="34"/>
        <v>0</v>
      </c>
      <c r="N530" s="2">
        <v>5.9234483895782564E-3</v>
      </c>
      <c r="O530" s="2">
        <f t="shared" si="35"/>
        <v>0</v>
      </c>
      <c r="P530" s="2">
        <v>-0.65596029266364297</v>
      </c>
      <c r="Q530" s="2">
        <v>-13.399883323082577</v>
      </c>
    </row>
    <row r="531" spans="1:17" ht="15">
      <c r="A531" s="2" t="s">
        <v>13</v>
      </c>
      <c r="B531" s="2">
        <v>1396.3547985884361</v>
      </c>
      <c r="C531" s="2">
        <v>1061.6326542571187</v>
      </c>
      <c r="D531" s="2">
        <v>625.24400791153312</v>
      </c>
      <c r="E531" s="2">
        <v>221.68508362490684</v>
      </c>
      <c r="F531" s="2">
        <v>23.209721231367439</v>
      </c>
      <c r="G531" s="2">
        <v>0.80408316410146652</v>
      </c>
      <c r="H531" s="2">
        <v>35</v>
      </c>
      <c r="I531" s="2">
        <v>25</v>
      </c>
      <c r="J531" s="2">
        <f>(IF(A531='Hybrid Calculator'!$B$6,0,1))^2+((B531-'Hybrid Calculator'!$B$7)/1500)^2+((C531-'Hybrid Calculator'!$B$8)/1300)^2+((D531-'Hybrid Calculator'!$B$9)/800)^2+((E531-'Hybrid Calculator'!$B$10)/350)^2+((F531-'Hybrid Calculator'!$B$11)/30)^2+(G531-'Hybrid Calculator'!$B$12)^2+((H531-'Hybrid Calculator'!$E$14)/IF(A531="Lightning",100,30000))^2+((I531-'Hybrid Calculator'!$E$17)/IF(A531="Lightning",100,30000))^2</f>
        <v>0.14072457661110666</v>
      </c>
      <c r="K531" s="2">
        <f t="shared" si="32"/>
        <v>305</v>
      </c>
      <c r="L531" s="2">
        <f t="shared" si="33"/>
        <v>0</v>
      </c>
      <c r="M531" s="2">
        <f t="shared" si="34"/>
        <v>0</v>
      </c>
      <c r="N531" s="2">
        <v>1.0703564975365287E-2</v>
      </c>
      <c r="O531" s="2">
        <f t="shared" si="35"/>
        <v>0</v>
      </c>
      <c r="P531" s="2">
        <v>1.3480690591954811</v>
      </c>
      <c r="Q531" s="2">
        <v>-13.815040455987855</v>
      </c>
    </row>
    <row r="532" spans="1:17" ht="15">
      <c r="A532" s="2" t="s">
        <v>13</v>
      </c>
      <c r="B532" s="2">
        <v>1390.7025662250817</v>
      </c>
      <c r="C532" s="2">
        <v>1139.3093333928846</v>
      </c>
      <c r="D532" s="2">
        <v>640.22152218967676</v>
      </c>
      <c r="E532" s="2">
        <v>251.03122553089634</v>
      </c>
      <c r="F532" s="2">
        <v>13.253055142238736</v>
      </c>
      <c r="G532" s="2">
        <v>0.83074041470186788</v>
      </c>
      <c r="H532" s="2">
        <v>35</v>
      </c>
      <c r="I532" s="2">
        <v>25</v>
      </c>
      <c r="J532" s="2">
        <f>(IF(A532='Hybrid Calculator'!$B$6,0,1))^2+((B532-'Hybrid Calculator'!$B$7)/1500)^2+((C532-'Hybrid Calculator'!$B$8)/1300)^2+((D532-'Hybrid Calculator'!$B$9)/800)^2+((E532-'Hybrid Calculator'!$B$10)/350)^2+((F532-'Hybrid Calculator'!$B$11)/30)^2+(G532-'Hybrid Calculator'!$B$12)^2+((H532-'Hybrid Calculator'!$E$14)/IF(A532="Lightning",100,30000))^2+((I532-'Hybrid Calculator'!$E$17)/IF(A532="Lightning",100,30000))^2</f>
        <v>0.21730105236228164</v>
      </c>
      <c r="K532" s="2">
        <f t="shared" si="32"/>
        <v>483</v>
      </c>
      <c r="L532" s="2">
        <f t="shared" si="33"/>
        <v>0</v>
      </c>
      <c r="M532" s="2">
        <f t="shared" si="34"/>
        <v>0</v>
      </c>
      <c r="N532" s="2">
        <v>1.8359004071195617E-2</v>
      </c>
      <c r="O532" s="2">
        <f t="shared" si="35"/>
        <v>0</v>
      </c>
      <c r="P532" s="2">
        <v>0.66983146731944743</v>
      </c>
      <c r="Q532" s="2">
        <v>0.51474724414129014</v>
      </c>
    </row>
    <row r="533" spans="1:17" ht="15">
      <c r="A533" s="2" t="s">
        <v>13</v>
      </c>
      <c r="B533" s="2">
        <v>1452.1843537339009</v>
      </c>
      <c r="C533" s="2">
        <v>1236.1728419782594</v>
      </c>
      <c r="D533" s="2">
        <v>567.37725818529725</v>
      </c>
      <c r="E533" s="2">
        <v>314.44254440255463</v>
      </c>
      <c r="F533" s="2">
        <v>11.10100168036297</v>
      </c>
      <c r="G533" s="2">
        <v>0.84095841410104188</v>
      </c>
      <c r="H533" s="2">
        <v>35</v>
      </c>
      <c r="I533" s="2">
        <v>25</v>
      </c>
      <c r="J533" s="2">
        <f>(IF(A533='Hybrid Calculator'!$B$6,0,1))^2+((B533-'Hybrid Calculator'!$B$7)/1500)^2+((C533-'Hybrid Calculator'!$B$8)/1300)^2+((D533-'Hybrid Calculator'!$B$9)/800)^2+((E533-'Hybrid Calculator'!$B$10)/350)^2+((F533-'Hybrid Calculator'!$B$11)/30)^2+(G533-'Hybrid Calculator'!$B$12)^2+((H533-'Hybrid Calculator'!$E$14)/IF(A533="Lightning",100,30000))^2+((I533-'Hybrid Calculator'!$E$17)/IF(A533="Lightning",100,30000))^2</f>
        <v>0.40017694546159477</v>
      </c>
      <c r="K533" s="2">
        <f t="shared" si="32"/>
        <v>686</v>
      </c>
      <c r="L533" s="2">
        <f t="shared" si="33"/>
        <v>0</v>
      </c>
      <c r="M533" s="2">
        <f t="shared" si="34"/>
        <v>0</v>
      </c>
      <c r="N533" s="2">
        <v>2.2719121854435809E-2</v>
      </c>
      <c r="O533" s="2">
        <f t="shared" si="35"/>
        <v>0</v>
      </c>
      <c r="P533" s="2">
        <v>0.9188844400153684</v>
      </c>
      <c r="Q533" s="2">
        <v>-2.1437039310596901</v>
      </c>
    </row>
    <row r="534" spans="1:17" ht="15">
      <c r="A534" s="2" t="s">
        <v>13</v>
      </c>
      <c r="B534" s="2">
        <v>1350.0781137496233</v>
      </c>
      <c r="C534" s="2">
        <v>633.36357980733737</v>
      </c>
      <c r="D534" s="2">
        <v>729.15260959416628</v>
      </c>
      <c r="E534" s="2">
        <v>262.44494922691956</v>
      </c>
      <c r="F534" s="2">
        <v>28.955345971509814</v>
      </c>
      <c r="G534" s="2">
        <v>0.82323957246961077</v>
      </c>
      <c r="H534" s="2">
        <v>45</v>
      </c>
      <c r="I534" s="2">
        <v>25</v>
      </c>
      <c r="J534" s="2">
        <f>(IF(A534='Hybrid Calculator'!$B$6,0,1))^2+((B534-'Hybrid Calculator'!$B$7)/1500)^2+((C534-'Hybrid Calculator'!$B$8)/1300)^2+((D534-'Hybrid Calculator'!$B$9)/800)^2+((E534-'Hybrid Calculator'!$B$10)/350)^2+((F534-'Hybrid Calculator'!$B$11)/30)^2+(G534-'Hybrid Calculator'!$B$12)^2+((H534-'Hybrid Calculator'!$E$14)/IF(A534="Lightning",100,30000))^2+((I534-'Hybrid Calculator'!$E$17)/IF(A534="Lightning",100,30000))^2</f>
        <v>0.33949914871195547</v>
      </c>
      <c r="K534" s="2">
        <f t="shared" si="32"/>
        <v>639</v>
      </c>
      <c r="L534" s="2">
        <f t="shared" si="33"/>
        <v>0</v>
      </c>
      <c r="M534" s="2">
        <f t="shared" si="34"/>
        <v>0</v>
      </c>
      <c r="N534" s="2">
        <v>-1.4306156689476435E-3</v>
      </c>
      <c r="O534" s="2">
        <f t="shared" si="35"/>
        <v>0</v>
      </c>
      <c r="P534" s="2">
        <v>-1.7575087615314828</v>
      </c>
      <c r="Q534" s="2">
        <v>-20.916441285101428</v>
      </c>
    </row>
    <row r="535" spans="1:17" ht="15">
      <c r="A535" s="2" t="s">
        <v>13</v>
      </c>
      <c r="B535" s="2">
        <v>1368.5670937062241</v>
      </c>
      <c r="C535" s="2">
        <v>717.26671068463475</v>
      </c>
      <c r="D535" s="2">
        <v>642.33632246032357</v>
      </c>
      <c r="E535" s="2">
        <v>87.231537019833922</v>
      </c>
      <c r="F535" s="2">
        <v>19.71939403982833</v>
      </c>
      <c r="G535" s="2">
        <v>0.80768340208102019</v>
      </c>
      <c r="H535" s="2">
        <v>50</v>
      </c>
      <c r="I535" s="2">
        <v>25</v>
      </c>
      <c r="J535" s="2">
        <f>(IF(A535='Hybrid Calculator'!$B$6,0,1))^2+((B535-'Hybrid Calculator'!$B$7)/1500)^2+((C535-'Hybrid Calculator'!$B$8)/1300)^2+((D535-'Hybrid Calculator'!$B$9)/800)^2+((E535-'Hybrid Calculator'!$B$10)/350)^2+((F535-'Hybrid Calculator'!$B$11)/30)^2+(G535-'Hybrid Calculator'!$B$12)^2+((H535-'Hybrid Calculator'!$E$14)/IF(A535="Lightning",100,30000))^2+((I535-'Hybrid Calculator'!$E$17)/IF(A535="Lightning",100,30000))^2</f>
        <v>7.7462125905039009E-2</v>
      </c>
      <c r="K535" s="2">
        <f t="shared" si="32"/>
        <v>130</v>
      </c>
      <c r="L535" s="2">
        <f t="shared" si="33"/>
        <v>0</v>
      </c>
      <c r="M535" s="2">
        <f t="shared" si="34"/>
        <v>0</v>
      </c>
      <c r="N535" s="2">
        <v>-2.4673498440184183E-3</v>
      </c>
      <c r="O535" s="2">
        <f t="shared" si="35"/>
        <v>0</v>
      </c>
      <c r="P535" s="2">
        <v>3.1657954915033315E-2</v>
      </c>
      <c r="Q535" s="2">
        <v>5.8664188211071178</v>
      </c>
    </row>
    <row r="536" spans="1:17" ht="15">
      <c r="A536" s="2" t="s">
        <v>13</v>
      </c>
      <c r="B536" s="2">
        <v>1490.4753495706245</v>
      </c>
      <c r="C536" s="2">
        <v>1105.501705466304</v>
      </c>
      <c r="D536" s="2">
        <v>706.76029659807682</v>
      </c>
      <c r="E536" s="2">
        <v>159.4513143482618</v>
      </c>
      <c r="F536" s="2">
        <v>8.7068629646673799</v>
      </c>
      <c r="G536" s="2">
        <v>0.83540377664146948</v>
      </c>
      <c r="H536" s="2">
        <v>40</v>
      </c>
      <c r="I536" s="2">
        <v>25</v>
      </c>
      <c r="J536" s="2">
        <f>(IF(A536='Hybrid Calculator'!$B$6,0,1))^2+((B536-'Hybrid Calculator'!$B$7)/1500)^2+((C536-'Hybrid Calculator'!$B$8)/1300)^2+((D536-'Hybrid Calculator'!$B$9)/800)^2+((E536-'Hybrid Calculator'!$B$10)/350)^2+((F536-'Hybrid Calculator'!$B$11)/30)^2+(G536-'Hybrid Calculator'!$B$12)^2+((H536-'Hybrid Calculator'!$E$14)/IF(A536="Lightning",100,30000))^2+((I536-'Hybrid Calculator'!$E$17)/IF(A536="Lightning",100,30000))^2</f>
        <v>0.22485800198617867</v>
      </c>
      <c r="K536" s="2">
        <f t="shared" si="32"/>
        <v>495</v>
      </c>
      <c r="L536" s="2">
        <f t="shared" si="33"/>
        <v>0</v>
      </c>
      <c r="M536" s="2">
        <f t="shared" si="34"/>
        <v>0</v>
      </c>
      <c r="N536" s="2">
        <v>1.2150439090702569E-2</v>
      </c>
      <c r="O536" s="2">
        <f t="shared" si="35"/>
        <v>0</v>
      </c>
      <c r="P536" s="2">
        <v>0.43828578894063241</v>
      </c>
      <c r="Q536" s="2">
        <v>-0.86560324906417918</v>
      </c>
    </row>
    <row r="537" spans="1:17" ht="15">
      <c r="A537" s="2" t="s">
        <v>13</v>
      </c>
      <c r="B537" s="2">
        <v>1457.1942206821404</v>
      </c>
      <c r="C537" s="2">
        <v>1014.2282548826188</v>
      </c>
      <c r="D537" s="2">
        <v>405.01702977344394</v>
      </c>
      <c r="E537" s="2">
        <v>152.44426931720227</v>
      </c>
      <c r="F537" s="2">
        <v>17.363394420128316</v>
      </c>
      <c r="G537" s="2">
        <v>0.84501573473215108</v>
      </c>
      <c r="H537" s="2">
        <v>45</v>
      </c>
      <c r="I537" s="2">
        <v>25</v>
      </c>
      <c r="J537" s="2">
        <f>(IF(A537='Hybrid Calculator'!$B$6,0,1))^2+((B537-'Hybrid Calculator'!$B$7)/1500)^2+((C537-'Hybrid Calculator'!$B$8)/1300)^2+((D537-'Hybrid Calculator'!$B$9)/800)^2+((E537-'Hybrid Calculator'!$B$10)/350)^2+((F537-'Hybrid Calculator'!$B$11)/30)^2+(G537-'Hybrid Calculator'!$B$12)^2+((H537-'Hybrid Calculator'!$E$14)/IF(A537="Lightning",100,30000))^2+((I537-'Hybrid Calculator'!$E$17)/IF(A537="Lightning",100,30000))^2</f>
        <v>3.5126255328383059E-2</v>
      </c>
      <c r="K537" s="2">
        <f t="shared" si="32"/>
        <v>28</v>
      </c>
      <c r="L537" s="2">
        <f t="shared" si="33"/>
        <v>0</v>
      </c>
      <c r="M537" s="2">
        <f t="shared" si="34"/>
        <v>0</v>
      </c>
      <c r="N537" s="2">
        <v>-1.9236336128680698E-4</v>
      </c>
      <c r="O537" s="2">
        <f t="shared" si="35"/>
        <v>0</v>
      </c>
      <c r="P537" s="2">
        <v>1.3974803885478906</v>
      </c>
      <c r="Q537" s="2">
        <v>5.304403702458103</v>
      </c>
    </row>
    <row r="538" spans="1:17" ht="15">
      <c r="A538" s="2" t="s">
        <v>13</v>
      </c>
      <c r="B538" s="2">
        <v>1357.8889194410294</v>
      </c>
      <c r="C538" s="2">
        <v>769.18536023003981</v>
      </c>
      <c r="D538" s="2">
        <v>513.18836268037558</v>
      </c>
      <c r="E538" s="2">
        <v>82.386088308412582</v>
      </c>
      <c r="F538" s="2">
        <v>9.1139527224004269</v>
      </c>
      <c r="G538" s="2">
        <v>0.80065511036897086</v>
      </c>
      <c r="H538" s="2">
        <v>55</v>
      </c>
      <c r="I538" s="2">
        <v>25</v>
      </c>
      <c r="J538" s="2">
        <f>(IF(A538='Hybrid Calculator'!$B$6,0,1))^2+((B538-'Hybrid Calculator'!$B$7)/1500)^2+((C538-'Hybrid Calculator'!$B$8)/1300)^2+((D538-'Hybrid Calculator'!$B$9)/800)^2+((E538-'Hybrid Calculator'!$B$10)/350)^2+((F538-'Hybrid Calculator'!$B$11)/30)^2+(G538-'Hybrid Calculator'!$B$12)^2+((H538-'Hybrid Calculator'!$E$14)/IF(A538="Lightning",100,30000))^2+((I538-'Hybrid Calculator'!$E$17)/IF(A538="Lightning",100,30000))^2</f>
        <v>0.14421828360823083</v>
      </c>
      <c r="K538" s="2">
        <f t="shared" si="32"/>
        <v>313</v>
      </c>
      <c r="L538" s="2">
        <f t="shared" si="33"/>
        <v>0</v>
      </c>
      <c r="M538" s="2">
        <f t="shared" si="34"/>
        <v>0</v>
      </c>
      <c r="N538" s="2">
        <v>-3.7278943164336109E-3</v>
      </c>
      <c r="O538" s="2">
        <f t="shared" si="35"/>
        <v>0</v>
      </c>
      <c r="P538" s="2">
        <v>0.51186163264222273</v>
      </c>
      <c r="Q538" s="2">
        <v>18.670315841832689</v>
      </c>
    </row>
    <row r="539" spans="1:17" ht="15">
      <c r="A539" s="2" t="s">
        <v>13</v>
      </c>
      <c r="B539" s="2">
        <v>1450.1037288573571</v>
      </c>
      <c r="C539" s="2">
        <v>1010.3081154404208</v>
      </c>
      <c r="D539" s="2">
        <v>515.72163002565503</v>
      </c>
      <c r="E539" s="2">
        <v>261.65352661162615</v>
      </c>
      <c r="F539" s="2">
        <v>20.795218499843031</v>
      </c>
      <c r="G539" s="2">
        <v>0.81630392107646921</v>
      </c>
      <c r="H539" s="2">
        <v>40</v>
      </c>
      <c r="I539" s="2">
        <v>25</v>
      </c>
      <c r="J539" s="2">
        <f>(IF(A539='Hybrid Calculator'!$B$6,0,1))^2+((B539-'Hybrid Calculator'!$B$7)/1500)^2+((C539-'Hybrid Calculator'!$B$8)/1300)^2+((D539-'Hybrid Calculator'!$B$9)/800)^2+((E539-'Hybrid Calculator'!$B$10)/350)^2+((F539-'Hybrid Calculator'!$B$11)/30)^2+(G539-'Hybrid Calculator'!$B$12)^2+((H539-'Hybrid Calculator'!$E$14)/IF(A539="Lightning",100,30000))^2+((I539-'Hybrid Calculator'!$E$17)/IF(A539="Lightning",100,30000))^2</f>
        <v>0.13350707079099261</v>
      </c>
      <c r="K539" s="2">
        <f t="shared" si="32"/>
        <v>287</v>
      </c>
      <c r="L539" s="2">
        <f t="shared" si="33"/>
        <v>0</v>
      </c>
      <c r="M539" s="2">
        <f t="shared" si="34"/>
        <v>0</v>
      </c>
      <c r="N539" s="2">
        <v>-2.2856703457323491E-3</v>
      </c>
      <c r="O539" s="2">
        <f t="shared" si="35"/>
        <v>0</v>
      </c>
      <c r="P539" s="2">
        <v>0.57432878848767643</v>
      </c>
      <c r="Q539" s="2">
        <v>-0.6344753092278097</v>
      </c>
    </row>
    <row r="540" spans="1:17" ht="15">
      <c r="A540" s="2" t="s">
        <v>13</v>
      </c>
      <c r="B540" s="2">
        <v>1448.1206938857213</v>
      </c>
      <c r="C540" s="2">
        <v>744.73474650876597</v>
      </c>
      <c r="D540" s="2">
        <v>385.30872985720634</v>
      </c>
      <c r="E540" s="2">
        <v>303.74547220533714</v>
      </c>
      <c r="F540" s="2">
        <v>29.220283216796815</v>
      </c>
      <c r="G540" s="2">
        <v>0.83809297220548618</v>
      </c>
      <c r="H540" s="2">
        <v>50</v>
      </c>
      <c r="I540" s="2">
        <v>25</v>
      </c>
      <c r="J540" s="2">
        <f>(IF(A540='Hybrid Calculator'!$B$6,0,1))^2+((B540-'Hybrid Calculator'!$B$7)/1500)^2+((C540-'Hybrid Calculator'!$B$8)/1300)^2+((D540-'Hybrid Calculator'!$B$9)/800)^2+((E540-'Hybrid Calculator'!$B$10)/350)^2+((F540-'Hybrid Calculator'!$B$11)/30)^2+(G540-'Hybrid Calculator'!$B$12)^2+((H540-'Hybrid Calculator'!$E$14)/IF(A540="Lightning",100,30000))^2+((I540-'Hybrid Calculator'!$E$17)/IF(A540="Lightning",100,30000))^2</f>
        <v>0.34832930445665966</v>
      </c>
      <c r="K540" s="2">
        <f t="shared" si="32"/>
        <v>647</v>
      </c>
      <c r="L540" s="2">
        <f t="shared" si="33"/>
        <v>0</v>
      </c>
      <c r="M540" s="2">
        <f t="shared" si="34"/>
        <v>0</v>
      </c>
      <c r="N540" s="2">
        <v>-7.947784844115624E-3</v>
      </c>
      <c r="O540" s="2">
        <f t="shared" si="35"/>
        <v>0</v>
      </c>
      <c r="P540" s="2">
        <v>0.18101347441429994</v>
      </c>
      <c r="Q540" s="2">
        <v>-16.108963656568221</v>
      </c>
    </row>
    <row r="541" spans="1:17" ht="15">
      <c r="A541" s="2" t="s">
        <v>13</v>
      </c>
      <c r="B541" s="2">
        <v>1468.71094572125</v>
      </c>
      <c r="C541" s="2">
        <v>1130.126391723752</v>
      </c>
      <c r="D541" s="2">
        <v>741.15579118952155</v>
      </c>
      <c r="E541" s="2">
        <v>259.8480796860531</v>
      </c>
      <c r="F541" s="2">
        <v>24.179365025367588</v>
      </c>
      <c r="G541" s="2">
        <v>0.83697109895758337</v>
      </c>
      <c r="H541" s="2">
        <v>30</v>
      </c>
      <c r="I541" s="2">
        <v>25</v>
      </c>
      <c r="J541" s="2">
        <f>(IF(A541='Hybrid Calculator'!$B$6,0,1))^2+((B541-'Hybrid Calculator'!$B$7)/1500)^2+((C541-'Hybrid Calculator'!$B$8)/1300)^2+((D541-'Hybrid Calculator'!$B$9)/800)^2+((E541-'Hybrid Calculator'!$B$10)/350)^2+((F541-'Hybrid Calculator'!$B$11)/30)^2+(G541-'Hybrid Calculator'!$B$12)^2+((H541-'Hybrid Calculator'!$E$14)/IF(A541="Lightning",100,30000))^2+((I541-'Hybrid Calculator'!$E$17)/IF(A541="Lightning",100,30000))^2</f>
        <v>0.31278050738219709</v>
      </c>
      <c r="K541" s="2">
        <f t="shared" si="32"/>
        <v>613</v>
      </c>
      <c r="L541" s="2">
        <f t="shared" si="33"/>
        <v>0</v>
      </c>
      <c r="M541" s="2">
        <f t="shared" si="34"/>
        <v>0</v>
      </c>
      <c r="N541" s="2">
        <v>1.0447738301639919E-2</v>
      </c>
      <c r="O541" s="2">
        <f t="shared" si="35"/>
        <v>0</v>
      </c>
      <c r="P541" s="2">
        <v>0.25453037297722858</v>
      </c>
      <c r="Q541" s="2">
        <v>-29.483443070983867</v>
      </c>
    </row>
    <row r="542" spans="1:17" ht="15">
      <c r="A542" s="2" t="s">
        <v>13</v>
      </c>
      <c r="B542" s="2">
        <v>1495.8902637474239</v>
      </c>
      <c r="C542" s="2">
        <v>715.58896558126435</v>
      </c>
      <c r="D542" s="2">
        <v>489.30974546819925</v>
      </c>
      <c r="E542" s="2">
        <v>235.31415218720213</v>
      </c>
      <c r="F542" s="2">
        <v>16.640402832999825</v>
      </c>
      <c r="G542" s="2">
        <v>0.79546984593616799</v>
      </c>
      <c r="H542" s="2">
        <v>45</v>
      </c>
      <c r="I542" s="2">
        <v>25</v>
      </c>
      <c r="J542" s="2">
        <f>(IF(A542='Hybrid Calculator'!$B$6,0,1))^2+((B542-'Hybrid Calculator'!$B$7)/1500)^2+((C542-'Hybrid Calculator'!$B$8)/1300)^2+((D542-'Hybrid Calculator'!$B$9)/800)^2+((E542-'Hybrid Calculator'!$B$10)/350)^2+((F542-'Hybrid Calculator'!$B$11)/30)^2+(G542-'Hybrid Calculator'!$B$12)^2+((H542-'Hybrid Calculator'!$E$14)/IF(A542="Lightning",100,30000))^2+((I542-'Hybrid Calculator'!$E$17)/IF(A542="Lightning",100,30000))^2</f>
        <v>7.9462650338085E-2</v>
      </c>
      <c r="K542" s="2">
        <f t="shared" si="32"/>
        <v>137</v>
      </c>
      <c r="L542" s="2">
        <f t="shared" si="33"/>
        <v>0</v>
      </c>
      <c r="M542" s="2">
        <f t="shared" si="34"/>
        <v>0</v>
      </c>
      <c r="N542" s="2">
        <v>-6.582307282797295E-3</v>
      </c>
      <c r="O542" s="2">
        <f t="shared" si="35"/>
        <v>0</v>
      </c>
      <c r="P542" s="2">
        <v>-0.10920523170674556</v>
      </c>
      <c r="Q542" s="2">
        <v>6.6741953323758025</v>
      </c>
    </row>
    <row r="543" spans="1:17" ht="15">
      <c r="A543" s="2" t="s">
        <v>13</v>
      </c>
      <c r="B543" s="2">
        <v>1363.1227170699276</v>
      </c>
      <c r="C543" s="2">
        <v>1146.177741070278</v>
      </c>
      <c r="D543" s="2">
        <v>508.70719188824296</v>
      </c>
      <c r="E543" s="2">
        <v>194.37810421921313</v>
      </c>
      <c r="F543" s="2">
        <v>10.018938146997243</v>
      </c>
      <c r="G543" s="2">
        <v>0.82885835541877895</v>
      </c>
      <c r="H543" s="2">
        <v>40</v>
      </c>
      <c r="I543" s="2">
        <v>25</v>
      </c>
      <c r="J543" s="2">
        <f>(IF(A543='Hybrid Calculator'!$B$6,0,1))^2+((B543-'Hybrid Calculator'!$B$7)/1500)^2+((C543-'Hybrid Calculator'!$B$8)/1300)^2+((D543-'Hybrid Calculator'!$B$9)/800)^2+((E543-'Hybrid Calculator'!$B$10)/350)^2+((F543-'Hybrid Calculator'!$B$11)/30)^2+(G543-'Hybrid Calculator'!$B$12)^2+((H543-'Hybrid Calculator'!$E$14)/IF(A543="Lightning",100,30000))^2+((I543-'Hybrid Calculator'!$E$17)/IF(A543="Lightning",100,30000))^2</f>
        <v>0.15980200952378293</v>
      </c>
      <c r="K543" s="2">
        <f t="shared" si="32"/>
        <v>355</v>
      </c>
      <c r="L543" s="2">
        <f t="shared" si="33"/>
        <v>0</v>
      </c>
      <c r="M543" s="2">
        <f t="shared" si="34"/>
        <v>0</v>
      </c>
      <c r="N543" s="2">
        <v>6.9717400849571565E-3</v>
      </c>
      <c r="O543" s="2">
        <f t="shared" si="35"/>
        <v>0</v>
      </c>
      <c r="P543" s="2">
        <v>1.3229863330102489</v>
      </c>
      <c r="Q543" s="2">
        <v>-1.0729987597876516</v>
      </c>
    </row>
    <row r="544" spans="1:17" ht="15">
      <c r="A544" s="2" t="s">
        <v>13</v>
      </c>
      <c r="B544" s="2">
        <v>1418.9499113475904</v>
      </c>
      <c r="C544" s="2">
        <v>1191.9161898666061</v>
      </c>
      <c r="D544" s="2">
        <v>657.31193535029888</v>
      </c>
      <c r="E544" s="2">
        <v>138.51009086472914</v>
      </c>
      <c r="F544" s="2">
        <v>13.985197369940579</v>
      </c>
      <c r="G544" s="2">
        <v>0.83405448646051816</v>
      </c>
      <c r="H544" s="2">
        <v>35</v>
      </c>
      <c r="I544" s="2">
        <v>25</v>
      </c>
      <c r="J544" s="2">
        <f>(IF(A544='Hybrid Calculator'!$B$6,0,1))^2+((B544-'Hybrid Calculator'!$B$7)/1500)^2+((C544-'Hybrid Calculator'!$B$8)/1300)^2+((D544-'Hybrid Calculator'!$B$9)/800)^2+((E544-'Hybrid Calculator'!$B$10)/350)^2+((F544-'Hybrid Calculator'!$B$11)/30)^2+(G544-'Hybrid Calculator'!$B$12)^2+((H544-'Hybrid Calculator'!$E$14)/IF(A544="Lightning",100,30000))^2+((I544-'Hybrid Calculator'!$E$17)/IF(A544="Lightning",100,30000))^2</f>
        <v>0.15428257330812223</v>
      </c>
      <c r="K544" s="2">
        <f t="shared" si="32"/>
        <v>339</v>
      </c>
      <c r="L544" s="2">
        <f t="shared" si="33"/>
        <v>0</v>
      </c>
      <c r="M544" s="2">
        <f t="shared" si="34"/>
        <v>0</v>
      </c>
      <c r="N544" s="2">
        <v>1.8982349323620973E-2</v>
      </c>
      <c r="O544" s="2">
        <f t="shared" si="35"/>
        <v>0</v>
      </c>
      <c r="P544" s="2">
        <v>1.3280586188927188</v>
      </c>
      <c r="Q544" s="2">
        <v>-2.66452520688199</v>
      </c>
    </row>
    <row r="545" spans="1:17" ht="15">
      <c r="A545" s="2" t="s">
        <v>13</v>
      </c>
      <c r="B545" s="2">
        <v>1394.1494881524704</v>
      </c>
      <c r="C545" s="2">
        <v>1086.1011427361518</v>
      </c>
      <c r="D545" s="2">
        <v>662.65050796791911</v>
      </c>
      <c r="E545" s="2">
        <v>255.75155606027693</v>
      </c>
      <c r="F545" s="2">
        <v>22.772403858136386</v>
      </c>
      <c r="G545" s="2">
        <v>0.83685373594984414</v>
      </c>
      <c r="H545" s="2">
        <v>35</v>
      </c>
      <c r="I545" s="2">
        <v>25</v>
      </c>
      <c r="J545" s="2">
        <f>(IF(A545='Hybrid Calculator'!$B$6,0,1))^2+((B545-'Hybrid Calculator'!$B$7)/1500)^2+((C545-'Hybrid Calculator'!$B$8)/1300)^2+((D545-'Hybrid Calculator'!$B$9)/800)^2+((E545-'Hybrid Calculator'!$B$10)/350)^2+((F545-'Hybrid Calculator'!$B$11)/30)^2+(G545-'Hybrid Calculator'!$B$12)^2+((H545-'Hybrid Calculator'!$E$14)/IF(A545="Lightning",100,30000))^2+((I545-'Hybrid Calculator'!$E$17)/IF(A545="Lightning",100,30000))^2</f>
        <v>0.20910233516534343</v>
      </c>
      <c r="K545" s="2">
        <f t="shared" si="32"/>
        <v>462</v>
      </c>
      <c r="L545" s="2">
        <f t="shared" si="33"/>
        <v>0</v>
      </c>
      <c r="M545" s="2">
        <f t="shared" si="34"/>
        <v>0</v>
      </c>
      <c r="N545" s="2">
        <v>1.5143788237727884E-2</v>
      </c>
      <c r="O545" s="2">
        <f t="shared" si="35"/>
        <v>0</v>
      </c>
      <c r="P545" s="2">
        <v>-0.23625434206322637</v>
      </c>
      <c r="Q545" s="2">
        <v>-23.439803393207285</v>
      </c>
    </row>
    <row r="546" spans="1:17" ht="15">
      <c r="A546" s="2" t="s">
        <v>13</v>
      </c>
      <c r="B546" s="2">
        <v>1496.0428128484637</v>
      </c>
      <c r="C546" s="2">
        <v>1243.356067861896</v>
      </c>
      <c r="D546" s="2">
        <v>511.41661833971739</v>
      </c>
      <c r="E546" s="2">
        <v>136.91819201456383</v>
      </c>
      <c r="F546" s="2">
        <v>13.507043085992336</v>
      </c>
      <c r="G546" s="2">
        <v>0.81572883980581545</v>
      </c>
      <c r="H546" s="2">
        <v>35</v>
      </c>
      <c r="I546" s="2">
        <v>25</v>
      </c>
      <c r="J546" s="2">
        <f>(IF(A546='Hybrid Calculator'!$B$6,0,1))^2+((B546-'Hybrid Calculator'!$B$7)/1500)^2+((C546-'Hybrid Calculator'!$B$8)/1300)^2+((D546-'Hybrid Calculator'!$B$9)/800)^2+((E546-'Hybrid Calculator'!$B$10)/350)^2+((F546-'Hybrid Calculator'!$B$11)/30)^2+(G546-'Hybrid Calculator'!$B$12)^2+((H546-'Hybrid Calculator'!$E$14)/IF(A546="Lightning",100,30000))^2+((I546-'Hybrid Calculator'!$E$17)/IF(A546="Lightning",100,30000))^2</f>
        <v>0.1456172501837153</v>
      </c>
      <c r="K546" s="2">
        <f t="shared" si="32"/>
        <v>317</v>
      </c>
      <c r="L546" s="2">
        <f t="shared" si="33"/>
        <v>0</v>
      </c>
      <c r="M546" s="2">
        <f t="shared" si="34"/>
        <v>0</v>
      </c>
      <c r="N546" s="2">
        <v>1.1259576394432758E-2</v>
      </c>
      <c r="O546" s="2">
        <f t="shared" si="35"/>
        <v>0</v>
      </c>
      <c r="P546" s="2">
        <v>0.76014843344682959</v>
      </c>
      <c r="Q546" s="2">
        <v>-7.7516337018678314</v>
      </c>
    </row>
    <row r="547" spans="1:17" ht="15">
      <c r="A547" s="2" t="s">
        <v>13</v>
      </c>
      <c r="B547" s="2">
        <v>1411.0166951199062</v>
      </c>
      <c r="C547" s="2">
        <v>816.03685056325048</v>
      </c>
      <c r="D547" s="2">
        <v>375.92490883544087</v>
      </c>
      <c r="E547" s="2">
        <v>300.81656334921718</v>
      </c>
      <c r="F547" s="2">
        <v>29.923074705991894</v>
      </c>
      <c r="G547" s="2">
        <v>0.79355882087256768</v>
      </c>
      <c r="H547" s="2">
        <v>45</v>
      </c>
      <c r="I547" s="2">
        <v>25</v>
      </c>
      <c r="J547" s="2">
        <f>(IF(A547='Hybrid Calculator'!$B$6,0,1))^2+((B547-'Hybrid Calculator'!$B$7)/1500)^2+((C547-'Hybrid Calculator'!$B$8)/1300)^2+((D547-'Hybrid Calculator'!$B$9)/800)^2+((E547-'Hybrid Calculator'!$B$10)/350)^2+((F547-'Hybrid Calculator'!$B$11)/30)^2+(G547-'Hybrid Calculator'!$B$12)^2+((H547-'Hybrid Calculator'!$E$14)/IF(A547="Lightning",100,30000))^2+((I547-'Hybrid Calculator'!$E$17)/IF(A547="Lightning",100,30000))^2</f>
        <v>0.3586864980446085</v>
      </c>
      <c r="K547" s="2">
        <f t="shared" si="32"/>
        <v>657</v>
      </c>
      <c r="L547" s="2">
        <f t="shared" si="33"/>
        <v>0</v>
      </c>
      <c r="M547" s="2">
        <f t="shared" si="34"/>
        <v>0</v>
      </c>
      <c r="N547" s="2">
        <v>-1.6425777830895827E-2</v>
      </c>
      <c r="O547" s="2">
        <f t="shared" si="35"/>
        <v>0</v>
      </c>
      <c r="P547" s="2">
        <v>-0.79945297898520096</v>
      </c>
      <c r="Q547" s="2">
        <v>-14.212907167320736</v>
      </c>
    </row>
    <row r="548" spans="1:17" ht="15">
      <c r="A548" s="2" t="s">
        <v>13</v>
      </c>
      <c r="B548" s="2">
        <v>1389.7356437053531</v>
      </c>
      <c r="C548" s="2">
        <v>633.57834507478401</v>
      </c>
      <c r="D548" s="2">
        <v>718.17217674106359</v>
      </c>
      <c r="E548" s="2">
        <v>259.32319251121953</v>
      </c>
      <c r="F548" s="2">
        <v>29.650792319327593</v>
      </c>
      <c r="G548" s="2">
        <v>0.79725080415839333</v>
      </c>
      <c r="H548" s="2">
        <v>45</v>
      </c>
      <c r="I548" s="2">
        <v>25</v>
      </c>
      <c r="J548" s="2">
        <f>(IF(A548='Hybrid Calculator'!$B$6,0,1))^2+((B548-'Hybrid Calculator'!$B$7)/1500)^2+((C548-'Hybrid Calculator'!$B$8)/1300)^2+((D548-'Hybrid Calculator'!$B$9)/800)^2+((E548-'Hybrid Calculator'!$B$10)/350)^2+((F548-'Hybrid Calculator'!$B$11)/30)^2+(G548-'Hybrid Calculator'!$B$12)^2+((H548-'Hybrid Calculator'!$E$14)/IF(A548="Lightning",100,30000))^2+((I548-'Hybrid Calculator'!$E$17)/IF(A548="Lightning",100,30000))^2</f>
        <v>0.34137830959236126</v>
      </c>
      <c r="K548" s="2">
        <f t="shared" si="32"/>
        <v>641</v>
      </c>
      <c r="L548" s="2">
        <f t="shared" si="33"/>
        <v>0</v>
      </c>
      <c r="M548" s="2">
        <f t="shared" si="34"/>
        <v>0</v>
      </c>
      <c r="N548" s="2">
        <v>-3.3021802407844358E-3</v>
      </c>
      <c r="O548" s="2">
        <f t="shared" si="35"/>
        <v>0</v>
      </c>
      <c r="P548" s="2">
        <v>-0.6355005566848817</v>
      </c>
      <c r="Q548" s="2">
        <v>-18.254923394364141</v>
      </c>
    </row>
    <row r="549" spans="1:17" ht="15">
      <c r="A549" s="2" t="s">
        <v>13</v>
      </c>
      <c r="B549" s="2">
        <v>1419.3938979995437</v>
      </c>
      <c r="C549" s="2">
        <v>1091.7375077260658</v>
      </c>
      <c r="D549" s="2">
        <v>521.37963818386197</v>
      </c>
      <c r="E549" s="2">
        <v>196.67198874056339</v>
      </c>
      <c r="F549" s="2">
        <v>8.0946333953179419</v>
      </c>
      <c r="G549" s="2">
        <v>0.80541857227217406</v>
      </c>
      <c r="H549" s="2">
        <v>45</v>
      </c>
      <c r="I549" s="2">
        <v>25</v>
      </c>
      <c r="J549" s="2">
        <f>(IF(A549='Hybrid Calculator'!$B$6,0,1))^2+((B549-'Hybrid Calculator'!$B$7)/1500)^2+((C549-'Hybrid Calculator'!$B$8)/1300)^2+((D549-'Hybrid Calculator'!$B$9)/800)^2+((E549-'Hybrid Calculator'!$B$10)/350)^2+((F549-'Hybrid Calculator'!$B$11)/30)^2+(G549-'Hybrid Calculator'!$B$12)^2+((H549-'Hybrid Calculator'!$E$14)/IF(A549="Lightning",100,30000))^2+((I549-'Hybrid Calculator'!$E$17)/IF(A549="Lightning",100,30000))^2</f>
        <v>0.1761025784587649</v>
      </c>
      <c r="K549" s="2">
        <f t="shared" si="32"/>
        <v>394</v>
      </c>
      <c r="L549" s="2">
        <f t="shared" si="33"/>
        <v>0</v>
      </c>
      <c r="M549" s="2">
        <f t="shared" si="34"/>
        <v>0</v>
      </c>
      <c r="N549" s="2">
        <v>7.7118621926453024E-3</v>
      </c>
      <c r="O549" s="2">
        <f t="shared" si="35"/>
        <v>0</v>
      </c>
      <c r="P549" s="2">
        <v>7.4892491533773864E-2</v>
      </c>
      <c r="Q549" s="2">
        <v>1.8027991737724278</v>
      </c>
    </row>
    <row r="550" spans="1:17" ht="15">
      <c r="A550" s="2" t="s">
        <v>13</v>
      </c>
      <c r="B550" s="2">
        <v>1478.0879093566909</v>
      </c>
      <c r="C550" s="2">
        <v>871.83928164886311</v>
      </c>
      <c r="D550" s="2">
        <v>493.83431151509285</v>
      </c>
      <c r="E550" s="2">
        <v>268.62615566467866</v>
      </c>
      <c r="F550" s="2">
        <v>8.9481773367151618</v>
      </c>
      <c r="G550" s="2">
        <v>0.82842010838678115</v>
      </c>
      <c r="H550" s="2">
        <v>45</v>
      </c>
      <c r="I550" s="2">
        <v>25</v>
      </c>
      <c r="J550" s="2">
        <f>(IF(A550='Hybrid Calculator'!$B$6,0,1))^2+((B550-'Hybrid Calculator'!$B$7)/1500)^2+((C550-'Hybrid Calculator'!$B$8)/1300)^2+((D550-'Hybrid Calculator'!$B$9)/800)^2+((E550-'Hybrid Calculator'!$B$10)/350)^2+((F550-'Hybrid Calculator'!$B$11)/30)^2+(G550-'Hybrid Calculator'!$B$12)^2+((H550-'Hybrid Calculator'!$E$14)/IF(A550="Lightning",100,30000))^2+((I550-'Hybrid Calculator'!$E$17)/IF(A550="Lightning",100,30000))^2</f>
        <v>0.2204147191244325</v>
      </c>
      <c r="K550" s="2">
        <f t="shared" si="32"/>
        <v>488</v>
      </c>
      <c r="L550" s="2">
        <f t="shared" si="33"/>
        <v>0</v>
      </c>
      <c r="M550" s="2">
        <f t="shared" si="34"/>
        <v>0</v>
      </c>
      <c r="N550" s="2">
        <v>5.8996386880827423E-4</v>
      </c>
      <c r="O550" s="2">
        <f t="shared" si="35"/>
        <v>0</v>
      </c>
      <c r="P550" s="2">
        <v>0.38656498786035343</v>
      </c>
      <c r="Q550" s="2">
        <v>11.892802465780278</v>
      </c>
    </row>
    <row r="551" spans="1:17" ht="15">
      <c r="A551" s="2" t="s">
        <v>13</v>
      </c>
      <c r="B551" s="2">
        <v>1394.021707016509</v>
      </c>
      <c r="C551" s="2">
        <v>1108.2213526591659</v>
      </c>
      <c r="D551" s="2">
        <v>504.14103409275413</v>
      </c>
      <c r="E551" s="2">
        <v>142.000269186683</v>
      </c>
      <c r="F551" s="2">
        <v>13.023476192262024</v>
      </c>
      <c r="G551" s="2">
        <v>0.8310531556513161</v>
      </c>
      <c r="H551" s="2">
        <v>45</v>
      </c>
      <c r="I551" s="2">
        <v>25</v>
      </c>
      <c r="J551" s="2">
        <f>(IF(A551='Hybrid Calculator'!$B$6,0,1))^2+((B551-'Hybrid Calculator'!$B$7)/1500)^2+((C551-'Hybrid Calculator'!$B$8)/1300)^2+((D551-'Hybrid Calculator'!$B$9)/800)^2+((E551-'Hybrid Calculator'!$B$10)/350)^2+((F551-'Hybrid Calculator'!$B$11)/30)^2+(G551-'Hybrid Calculator'!$B$12)^2+((H551-'Hybrid Calculator'!$E$14)/IF(A551="Lightning",100,30000))^2+((I551-'Hybrid Calculator'!$E$17)/IF(A551="Lightning",100,30000))^2</f>
        <v>7.6377281328358484E-2</v>
      </c>
      <c r="K551" s="2">
        <f t="shared" si="32"/>
        <v>125</v>
      </c>
      <c r="L551" s="2">
        <f t="shared" si="33"/>
        <v>0</v>
      </c>
      <c r="M551" s="2">
        <f t="shared" si="34"/>
        <v>0</v>
      </c>
      <c r="N551" s="2">
        <v>3.6572698848349461E-3</v>
      </c>
      <c r="O551" s="2">
        <f t="shared" si="35"/>
        <v>0</v>
      </c>
      <c r="P551" s="2">
        <v>1.5227055475318991</v>
      </c>
      <c r="Q551" s="2">
        <v>-1.9403949663981166</v>
      </c>
    </row>
    <row r="552" spans="1:17" ht="15">
      <c r="A552" s="2" t="s">
        <v>13</v>
      </c>
      <c r="B552" s="2">
        <v>1393.1252592243254</v>
      </c>
      <c r="C552" s="2">
        <v>632.58912017336115</v>
      </c>
      <c r="D552" s="2">
        <v>632.27738235145807</v>
      </c>
      <c r="E552" s="2">
        <v>238.92859367886558</v>
      </c>
      <c r="F552" s="2">
        <v>23.524107011035085</v>
      </c>
      <c r="G552" s="2">
        <v>0.83905103183584295</v>
      </c>
      <c r="H552" s="2">
        <v>50</v>
      </c>
      <c r="I552" s="2">
        <v>25</v>
      </c>
      <c r="J552" s="2">
        <f>(IF(A552='Hybrid Calculator'!$B$6,0,1))^2+((B552-'Hybrid Calculator'!$B$7)/1500)^2+((C552-'Hybrid Calculator'!$B$8)/1300)^2+((D552-'Hybrid Calculator'!$B$9)/800)^2+((E552-'Hybrid Calculator'!$B$10)/350)^2+((F552-'Hybrid Calculator'!$B$11)/30)^2+(G552-'Hybrid Calculator'!$B$12)^2+((H552-'Hybrid Calculator'!$E$14)/IF(A552="Lightning",100,30000))^2+((I552-'Hybrid Calculator'!$E$17)/IF(A552="Lightning",100,30000))^2</f>
        <v>0.14872675433100999</v>
      </c>
      <c r="K552" s="2">
        <f t="shared" si="32"/>
        <v>322</v>
      </c>
      <c r="L552" s="2">
        <f t="shared" si="33"/>
        <v>0</v>
      </c>
      <c r="M552" s="2">
        <f t="shared" si="34"/>
        <v>0</v>
      </c>
      <c r="N552" s="2">
        <v>-1.3712998763061091E-2</v>
      </c>
      <c r="O552" s="2">
        <f t="shared" si="35"/>
        <v>0</v>
      </c>
      <c r="P552" s="2">
        <v>-1.1015940409085161</v>
      </c>
      <c r="Q552" s="2">
        <v>2.1621002393021627</v>
      </c>
    </row>
    <row r="553" spans="1:17" ht="15">
      <c r="A553" s="2" t="s">
        <v>13</v>
      </c>
      <c r="B553" s="2">
        <v>1489.8726548650302</v>
      </c>
      <c r="C553" s="2">
        <v>1103.7474447162822</v>
      </c>
      <c r="D553" s="2">
        <v>576.99110889807343</v>
      </c>
      <c r="E553" s="2">
        <v>123.72859676368535</v>
      </c>
      <c r="F553" s="2">
        <v>21.335965857375413</v>
      </c>
      <c r="G553" s="2">
        <v>0.82106168294791138</v>
      </c>
      <c r="H553" s="2">
        <v>35</v>
      </c>
      <c r="I553" s="2">
        <v>25</v>
      </c>
      <c r="J553" s="2">
        <f>(IF(A553='Hybrid Calculator'!$B$6,0,1))^2+((B553-'Hybrid Calculator'!$B$7)/1500)^2+((C553-'Hybrid Calculator'!$B$8)/1300)^2+((D553-'Hybrid Calculator'!$B$9)/800)^2+((E553-'Hybrid Calculator'!$B$10)/350)^2+((F553-'Hybrid Calculator'!$B$11)/30)^2+(G553-'Hybrid Calculator'!$B$12)^2+((H553-'Hybrid Calculator'!$E$14)/IF(A553="Lightning",100,30000))^2+((I553-'Hybrid Calculator'!$E$17)/IF(A553="Lightning",100,30000))^2</f>
        <v>8.6303259777264607E-2</v>
      </c>
      <c r="K553" s="2">
        <f t="shared" si="32"/>
        <v>157</v>
      </c>
      <c r="L553" s="2">
        <f t="shared" si="33"/>
        <v>0</v>
      </c>
      <c r="M553" s="2">
        <f t="shared" si="34"/>
        <v>0</v>
      </c>
      <c r="N553" s="2">
        <v>9.6021438336439946E-3</v>
      </c>
      <c r="O553" s="2">
        <f t="shared" si="35"/>
        <v>0</v>
      </c>
      <c r="P553" s="2">
        <v>1.0852561282481972</v>
      </c>
      <c r="Q553" s="2">
        <v>-13.685188869985723</v>
      </c>
    </row>
    <row r="554" spans="1:17" ht="15">
      <c r="A554" s="2" t="s">
        <v>13</v>
      </c>
      <c r="B554" s="2">
        <v>1488.2951469859108</v>
      </c>
      <c r="C554" s="2">
        <v>881.43664967501536</v>
      </c>
      <c r="D554" s="2">
        <v>499.38122294843197</v>
      </c>
      <c r="E554" s="2">
        <v>126.59714241279289</v>
      </c>
      <c r="F554" s="2">
        <v>22.739264962263405</v>
      </c>
      <c r="G554" s="2">
        <v>0.81610620376421139</v>
      </c>
      <c r="H554" s="2">
        <v>45</v>
      </c>
      <c r="I554" s="2">
        <v>25</v>
      </c>
      <c r="J554" s="2">
        <f>(IF(A554='Hybrid Calculator'!$B$6,0,1))^2+((B554-'Hybrid Calculator'!$B$7)/1500)^2+((C554-'Hybrid Calculator'!$B$8)/1300)^2+((D554-'Hybrid Calculator'!$B$9)/800)^2+((E554-'Hybrid Calculator'!$B$10)/350)^2+((F554-'Hybrid Calculator'!$B$11)/30)^2+(G554-'Hybrid Calculator'!$B$12)^2+((H554-'Hybrid Calculator'!$E$14)/IF(A554="Lightning",100,30000))^2+((I554-'Hybrid Calculator'!$E$17)/IF(A554="Lightning",100,30000))^2</f>
        <v>2.9320253181762568E-2</v>
      </c>
      <c r="K554" s="2">
        <f t="shared" si="32"/>
        <v>22</v>
      </c>
      <c r="L554" s="2">
        <f t="shared" si="33"/>
        <v>0</v>
      </c>
      <c r="M554" s="2">
        <f t="shared" si="34"/>
        <v>0</v>
      </c>
      <c r="N554" s="2">
        <v>1.2763168828489047E-3</v>
      </c>
      <c r="O554" s="2">
        <f t="shared" si="35"/>
        <v>0</v>
      </c>
      <c r="P554" s="2">
        <v>-0.88187513318771948</v>
      </c>
      <c r="Q554" s="2">
        <v>-7.7415766879710191</v>
      </c>
    </row>
    <row r="555" spans="1:17" ht="15">
      <c r="A555" s="2" t="s">
        <v>13</v>
      </c>
      <c r="B555" s="2">
        <v>1479.8626517294906</v>
      </c>
      <c r="C555" s="2">
        <v>885.04764721728861</v>
      </c>
      <c r="D555" s="2">
        <v>527.49448595568538</v>
      </c>
      <c r="E555" s="2">
        <v>144.78911021258682</v>
      </c>
      <c r="F555" s="2">
        <v>21.437036737333983</v>
      </c>
      <c r="G555" s="2">
        <v>0.82426406534388663</v>
      </c>
      <c r="H555" s="2">
        <v>45</v>
      </c>
      <c r="I555" s="2">
        <v>25</v>
      </c>
      <c r="J555" s="2">
        <f>(IF(A555='Hybrid Calculator'!$B$6,0,1))^2+((B555-'Hybrid Calculator'!$B$7)/1500)^2+((C555-'Hybrid Calculator'!$B$8)/1300)^2+((D555-'Hybrid Calculator'!$B$9)/800)^2+((E555-'Hybrid Calculator'!$B$10)/350)^2+((F555-'Hybrid Calculator'!$B$11)/30)^2+(G555-'Hybrid Calculator'!$B$12)^2+((H555-'Hybrid Calculator'!$E$14)/IF(A555="Lightning",100,30000))^2+((I555-'Hybrid Calculator'!$E$17)/IF(A555="Lightning",100,30000))^2</f>
        <v>1.5570224011163524E-2</v>
      </c>
      <c r="K555" s="2">
        <f t="shared" si="32"/>
        <v>5</v>
      </c>
      <c r="L555" s="2">
        <f t="shared" si="33"/>
        <v>1</v>
      </c>
      <c r="M555" s="2">
        <f t="shared" si="34"/>
        <v>64.221027151305961</v>
      </c>
      <c r="N555" s="2">
        <v>8.8573129540783224E-3</v>
      </c>
      <c r="O555" s="2">
        <f t="shared" si="35"/>
        <v>64.221027151305961</v>
      </c>
      <c r="P555" s="2">
        <v>-0.58813563082465947</v>
      </c>
      <c r="Q555" s="2">
        <v>6.0864845990217873</v>
      </c>
    </row>
    <row r="556" spans="1:17" ht="15">
      <c r="A556" s="2" t="s">
        <v>13</v>
      </c>
      <c r="B556" s="2">
        <v>1428.7980966735631</v>
      </c>
      <c r="C556" s="2">
        <v>978.19495386211202</v>
      </c>
      <c r="D556" s="2">
        <v>663.24400883167982</v>
      </c>
      <c r="E556" s="2">
        <v>191.39233811991289</v>
      </c>
      <c r="F556" s="2">
        <v>20.375091627240181</v>
      </c>
      <c r="G556" s="2">
        <v>0.82367740525165578</v>
      </c>
      <c r="H556" s="2">
        <v>40</v>
      </c>
      <c r="I556" s="2">
        <v>25</v>
      </c>
      <c r="J556" s="2">
        <f>(IF(A556='Hybrid Calculator'!$B$6,0,1))^2+((B556-'Hybrid Calculator'!$B$7)/1500)^2+((C556-'Hybrid Calculator'!$B$8)/1300)^2+((D556-'Hybrid Calculator'!$B$9)/800)^2+((E556-'Hybrid Calculator'!$B$10)/350)^2+((F556-'Hybrid Calculator'!$B$11)/30)^2+(G556-'Hybrid Calculator'!$B$12)^2+((H556-'Hybrid Calculator'!$E$14)/IF(A556="Lightning",100,30000))^2+((I556-'Hybrid Calculator'!$E$17)/IF(A556="Lightning",100,30000))^2</f>
        <v>7.9275574375619023E-2</v>
      </c>
      <c r="K556" s="2">
        <f t="shared" si="32"/>
        <v>136</v>
      </c>
      <c r="L556" s="2">
        <f t="shared" si="33"/>
        <v>0</v>
      </c>
      <c r="M556" s="2">
        <f t="shared" si="34"/>
        <v>0</v>
      </c>
      <c r="N556" s="2">
        <v>1.3016953248013996E-2</v>
      </c>
      <c r="O556" s="2">
        <f t="shared" si="35"/>
        <v>0</v>
      </c>
      <c r="P556" s="2">
        <v>0.64311880648326536</v>
      </c>
      <c r="Q556" s="2">
        <v>-9.5795021573012491</v>
      </c>
    </row>
    <row r="557" spans="1:17" ht="15">
      <c r="A557" s="2" t="s">
        <v>13</v>
      </c>
      <c r="B557" s="2">
        <v>1416.749448061455</v>
      </c>
      <c r="C557" s="2">
        <v>1078.5936539759859</v>
      </c>
      <c r="D557" s="2">
        <v>568.66372944787145</v>
      </c>
      <c r="E557" s="2">
        <v>166.67900459840894</v>
      </c>
      <c r="F557" s="2">
        <v>23.764862066600472</v>
      </c>
      <c r="G557" s="2">
        <v>0.80980651130434134</v>
      </c>
      <c r="H557" s="2">
        <v>40</v>
      </c>
      <c r="I557" s="2">
        <v>25</v>
      </c>
      <c r="J557" s="2">
        <f>(IF(A557='Hybrid Calculator'!$B$6,0,1))^2+((B557-'Hybrid Calculator'!$B$7)/1500)^2+((C557-'Hybrid Calculator'!$B$8)/1300)^2+((D557-'Hybrid Calculator'!$B$9)/800)^2+((E557-'Hybrid Calculator'!$B$10)/350)^2+((F557-'Hybrid Calculator'!$B$11)/30)^2+(G557-'Hybrid Calculator'!$B$12)^2+((H557-'Hybrid Calculator'!$E$14)/IF(A557="Lightning",100,30000))^2+((I557-'Hybrid Calculator'!$E$17)/IF(A557="Lightning",100,30000))^2</f>
        <v>8.1490613545653956E-2</v>
      </c>
      <c r="K557" s="2">
        <f t="shared" si="32"/>
        <v>144</v>
      </c>
      <c r="L557" s="2">
        <f t="shared" si="33"/>
        <v>0</v>
      </c>
      <c r="M557" s="2">
        <f t="shared" si="34"/>
        <v>0</v>
      </c>
      <c r="N557" s="2">
        <v>9.7930120175975244E-3</v>
      </c>
      <c r="O557" s="2">
        <f t="shared" si="35"/>
        <v>0</v>
      </c>
      <c r="P557" s="2">
        <v>-0.13582422621815482</v>
      </c>
      <c r="Q557" s="2">
        <v>-20.522585894042322</v>
      </c>
    </row>
    <row r="558" spans="1:17" ht="15">
      <c r="A558" s="2" t="s">
        <v>13</v>
      </c>
      <c r="B558" s="2">
        <v>1359.1874760808423</v>
      </c>
      <c r="C558" s="2">
        <v>682.47919325949624</v>
      </c>
      <c r="D558" s="2">
        <v>585.44888943433762</v>
      </c>
      <c r="E558" s="2">
        <v>240.69554997375235</v>
      </c>
      <c r="F558" s="2">
        <v>14.101660693995655</v>
      </c>
      <c r="G558" s="2">
        <v>0.80896417256211861</v>
      </c>
      <c r="H558" s="2">
        <v>50</v>
      </c>
      <c r="I558" s="2">
        <v>25</v>
      </c>
      <c r="J558" s="2">
        <f>(IF(A558='Hybrid Calculator'!$B$6,0,1))^2+((B558-'Hybrid Calculator'!$B$7)/1500)^2+((C558-'Hybrid Calculator'!$B$8)/1300)^2+((D558-'Hybrid Calculator'!$B$9)/800)^2+((E558-'Hybrid Calculator'!$B$10)/350)^2+((F558-'Hybrid Calculator'!$B$11)/30)^2+(G558-'Hybrid Calculator'!$B$12)^2+((H558-'Hybrid Calculator'!$E$14)/IF(A558="Lightning",100,30000))^2+((I558-'Hybrid Calculator'!$E$17)/IF(A558="Lightning",100,30000))^2</f>
        <v>0.1187041833210212</v>
      </c>
      <c r="K558" s="2">
        <f t="shared" si="32"/>
        <v>247</v>
      </c>
      <c r="L558" s="2">
        <f t="shared" si="33"/>
        <v>0</v>
      </c>
      <c r="M558" s="2">
        <f t="shared" si="34"/>
        <v>0</v>
      </c>
      <c r="N558" s="2">
        <v>1.2952221761980409E-2</v>
      </c>
      <c r="O558" s="2">
        <f t="shared" si="35"/>
        <v>0</v>
      </c>
      <c r="P558" s="2">
        <v>-1.670403263773558</v>
      </c>
      <c r="Q558" s="2">
        <v>9.3356906391286429</v>
      </c>
    </row>
    <row r="559" spans="1:17" ht="15">
      <c r="A559" s="2" t="s">
        <v>13</v>
      </c>
      <c r="B559" s="2">
        <v>1400.2811293001287</v>
      </c>
      <c r="C559" s="2">
        <v>956.02013459429145</v>
      </c>
      <c r="D559" s="2">
        <v>484.14138173684478</v>
      </c>
      <c r="E559" s="2">
        <v>191.16419418249279</v>
      </c>
      <c r="F559" s="2">
        <v>20.261797418352216</v>
      </c>
      <c r="G559" s="2">
        <v>0.8330858849454672</v>
      </c>
      <c r="H559" s="2">
        <v>45</v>
      </c>
      <c r="I559" s="2">
        <v>25</v>
      </c>
      <c r="J559" s="2">
        <f>(IF(A559='Hybrid Calculator'!$B$6,0,1))^2+((B559-'Hybrid Calculator'!$B$7)/1500)^2+((C559-'Hybrid Calculator'!$B$8)/1300)^2+((D559-'Hybrid Calculator'!$B$9)/800)^2+((E559-'Hybrid Calculator'!$B$10)/350)^2+((F559-'Hybrid Calculator'!$B$11)/30)^2+(G559-'Hybrid Calculator'!$B$12)^2+((H559-'Hybrid Calculator'!$E$14)/IF(A559="Lightning",100,30000))^2+((I559-'Hybrid Calculator'!$E$17)/IF(A559="Lightning",100,30000))^2</f>
        <v>2.7268204730818396E-2</v>
      </c>
      <c r="K559" s="2">
        <f t="shared" si="32"/>
        <v>20</v>
      </c>
      <c r="L559" s="2">
        <f t="shared" si="33"/>
        <v>0</v>
      </c>
      <c r="M559" s="2">
        <f t="shared" si="34"/>
        <v>0</v>
      </c>
      <c r="N559" s="2">
        <v>-2.6786811029881896E-3</v>
      </c>
      <c r="O559" s="2">
        <f t="shared" si="35"/>
        <v>0</v>
      </c>
      <c r="P559" s="2">
        <v>0.54495112411701285</v>
      </c>
      <c r="Q559" s="2">
        <v>-6.2053457598440218</v>
      </c>
    </row>
    <row r="560" spans="1:17" ht="15">
      <c r="A560" s="2" t="s">
        <v>13</v>
      </c>
      <c r="B560" s="2">
        <v>1411.8803724646568</v>
      </c>
      <c r="C560" s="2">
        <v>870.34335829084739</v>
      </c>
      <c r="D560" s="2">
        <v>585.01738775521517</v>
      </c>
      <c r="E560" s="2">
        <v>87.36277416581288</v>
      </c>
      <c r="F560" s="2">
        <v>15.100310174748302</v>
      </c>
      <c r="G560" s="2">
        <v>0.8122317401063629</v>
      </c>
      <c r="H560" s="2">
        <v>50</v>
      </c>
      <c r="I560" s="2">
        <v>25</v>
      </c>
      <c r="J560" s="2">
        <f>(IF(A560='Hybrid Calculator'!$B$6,0,1))^2+((B560-'Hybrid Calculator'!$B$7)/1500)^2+((C560-'Hybrid Calculator'!$B$8)/1300)^2+((D560-'Hybrid Calculator'!$B$9)/800)^2+((E560-'Hybrid Calculator'!$B$10)/350)^2+((F560-'Hybrid Calculator'!$B$11)/30)^2+(G560-'Hybrid Calculator'!$B$12)^2+((H560-'Hybrid Calculator'!$E$14)/IF(A560="Lightning",100,30000))^2+((I560-'Hybrid Calculator'!$E$17)/IF(A560="Lightning",100,30000))^2</f>
        <v>5.6545446459144881E-2</v>
      </c>
      <c r="K560" s="2">
        <f t="shared" si="32"/>
        <v>74</v>
      </c>
      <c r="L560" s="2">
        <f t="shared" si="33"/>
        <v>0</v>
      </c>
      <c r="M560" s="2">
        <f t="shared" si="34"/>
        <v>0</v>
      </c>
      <c r="N560" s="2">
        <v>-5.55768023749037E-3</v>
      </c>
      <c r="O560" s="2">
        <f t="shared" si="35"/>
        <v>0</v>
      </c>
      <c r="P560" s="2">
        <v>-0.73124591976661435</v>
      </c>
      <c r="Q560" s="2">
        <v>7.4092371932238166E-2</v>
      </c>
    </row>
    <row r="561" spans="1:17" ht="15">
      <c r="A561" s="2" t="s">
        <v>13</v>
      </c>
      <c r="B561" s="2">
        <v>1428.4106201143004</v>
      </c>
      <c r="C561" s="2">
        <v>1132.3757911333814</v>
      </c>
      <c r="D561" s="2">
        <v>452.88029173389077</v>
      </c>
      <c r="E561" s="2">
        <v>150.01596479676664</v>
      </c>
      <c r="F561" s="2">
        <v>19.688189145643264</v>
      </c>
      <c r="G561" s="2">
        <v>0.8098263776348904</v>
      </c>
      <c r="H561" s="2">
        <v>40</v>
      </c>
      <c r="I561" s="2">
        <v>25</v>
      </c>
      <c r="J561" s="2">
        <f>(IF(A561='Hybrid Calculator'!$B$6,0,1))^2+((B561-'Hybrid Calculator'!$B$7)/1500)^2+((C561-'Hybrid Calculator'!$B$8)/1300)^2+((D561-'Hybrid Calculator'!$B$9)/800)^2+((E561-'Hybrid Calculator'!$B$10)/350)^2+((F561-'Hybrid Calculator'!$B$11)/30)^2+(G561-'Hybrid Calculator'!$B$12)^2+((H561-'Hybrid Calculator'!$E$14)/IF(A561="Lightning",100,30000))^2+((I561-'Hybrid Calculator'!$E$17)/IF(A561="Lightning",100,30000))^2</f>
        <v>6.2327617838960382E-2</v>
      </c>
      <c r="K561" s="2">
        <f t="shared" si="32"/>
        <v>88</v>
      </c>
      <c r="L561" s="2">
        <f t="shared" si="33"/>
        <v>0</v>
      </c>
      <c r="M561" s="2">
        <f t="shared" si="34"/>
        <v>0</v>
      </c>
      <c r="N561" s="2">
        <v>-3.5581883665081193E-3</v>
      </c>
      <c r="O561" s="2">
        <f t="shared" si="35"/>
        <v>0</v>
      </c>
      <c r="P561" s="2">
        <v>1.5800079153700537</v>
      </c>
      <c r="Q561" s="2">
        <v>2.2372658613710428</v>
      </c>
    </row>
    <row r="562" spans="1:17" ht="15">
      <c r="A562" s="2" t="s">
        <v>13</v>
      </c>
      <c r="B562" s="2">
        <v>1465.6038112007082</v>
      </c>
      <c r="C562" s="2">
        <v>900.07923686644062</v>
      </c>
      <c r="D562" s="2">
        <v>531.65495041757822</v>
      </c>
      <c r="E562" s="2">
        <v>142.98188032815233</v>
      </c>
      <c r="F562" s="2">
        <v>27.656578565016389</v>
      </c>
      <c r="G562" s="2">
        <v>0.82063909325050188</v>
      </c>
      <c r="H562" s="2">
        <v>45</v>
      </c>
      <c r="I562" s="2">
        <v>25</v>
      </c>
      <c r="J562" s="2">
        <f>(IF(A562='Hybrid Calculator'!$B$6,0,1))^2+((B562-'Hybrid Calculator'!$B$7)/1500)^2+((C562-'Hybrid Calculator'!$B$8)/1300)^2+((D562-'Hybrid Calculator'!$B$9)/800)^2+((E562-'Hybrid Calculator'!$B$10)/350)^2+((F562-'Hybrid Calculator'!$B$11)/30)^2+(G562-'Hybrid Calculator'!$B$12)^2+((H562-'Hybrid Calculator'!$E$14)/IF(A562="Lightning",100,30000))^2+((I562-'Hybrid Calculator'!$E$17)/IF(A562="Lightning",100,30000))^2</f>
        <v>9.9843699474034167E-2</v>
      </c>
      <c r="K562" s="2">
        <f t="shared" si="32"/>
        <v>206</v>
      </c>
      <c r="L562" s="2">
        <f t="shared" si="33"/>
        <v>0</v>
      </c>
      <c r="M562" s="2">
        <f t="shared" si="34"/>
        <v>0</v>
      </c>
      <c r="N562" s="2">
        <v>-1.7968977027128963E-2</v>
      </c>
      <c r="O562" s="2">
        <f t="shared" si="35"/>
        <v>0</v>
      </c>
      <c r="P562" s="2">
        <v>-0.83058612926583208</v>
      </c>
      <c r="Q562" s="2">
        <v>-10.57863306088143</v>
      </c>
    </row>
    <row r="563" spans="1:17" ht="15">
      <c r="A563" s="2" t="s">
        <v>13</v>
      </c>
      <c r="B563" s="2">
        <v>1456.8322078906931</v>
      </c>
      <c r="C563" s="2">
        <v>887.08095804322511</v>
      </c>
      <c r="D563" s="2">
        <v>494.69605023041368</v>
      </c>
      <c r="E563" s="2">
        <v>259.64810528792441</v>
      </c>
      <c r="F563" s="2">
        <v>14.289481051731855</v>
      </c>
      <c r="G563" s="2">
        <v>0.84613086617086086</v>
      </c>
      <c r="H563" s="2">
        <v>45</v>
      </c>
      <c r="I563" s="2">
        <v>25</v>
      </c>
      <c r="J563" s="2">
        <f>(IF(A563='Hybrid Calculator'!$B$6,0,1))^2+((B563-'Hybrid Calculator'!$B$7)/1500)^2+((C563-'Hybrid Calculator'!$B$8)/1300)^2+((D563-'Hybrid Calculator'!$B$9)/800)^2+((E563-'Hybrid Calculator'!$B$10)/350)^2+((F563-'Hybrid Calculator'!$B$11)/30)^2+(G563-'Hybrid Calculator'!$B$12)^2+((H563-'Hybrid Calculator'!$E$14)/IF(A563="Lightning",100,30000))^2+((I563-'Hybrid Calculator'!$E$17)/IF(A563="Lightning",100,30000))^2</f>
        <v>0.12233358373980752</v>
      </c>
      <c r="K563" s="2">
        <f t="shared" si="32"/>
        <v>260</v>
      </c>
      <c r="L563" s="2">
        <f t="shared" si="33"/>
        <v>0</v>
      </c>
      <c r="M563" s="2">
        <f t="shared" si="34"/>
        <v>0</v>
      </c>
      <c r="N563" s="2">
        <v>-4.9675094026107036E-3</v>
      </c>
      <c r="O563" s="2">
        <f t="shared" si="35"/>
        <v>0</v>
      </c>
      <c r="P563" s="2">
        <v>-0.34804935226104305</v>
      </c>
      <c r="Q563" s="2">
        <v>6.3320037459664036</v>
      </c>
    </row>
    <row r="564" spans="1:17" ht="15">
      <c r="A564" s="2" t="s">
        <v>13</v>
      </c>
      <c r="B564" s="2">
        <v>1479.9835294252262</v>
      </c>
      <c r="C564" s="2">
        <v>1118.8157887780108</v>
      </c>
      <c r="D564" s="2">
        <v>629.54455427825451</v>
      </c>
      <c r="E564" s="2">
        <v>201.02325045270845</v>
      </c>
      <c r="F564" s="2">
        <v>11.077957321889699</v>
      </c>
      <c r="G564" s="2">
        <v>0.80306045316858221</v>
      </c>
      <c r="H564" s="2">
        <v>35</v>
      </c>
      <c r="I564" s="2">
        <v>25</v>
      </c>
      <c r="J564" s="2">
        <f>(IF(A564='Hybrid Calculator'!$B$6,0,1))^2+((B564-'Hybrid Calculator'!$B$7)/1500)^2+((C564-'Hybrid Calculator'!$B$8)/1300)^2+((D564-'Hybrid Calculator'!$B$9)/800)^2+((E564-'Hybrid Calculator'!$B$10)/350)^2+((F564-'Hybrid Calculator'!$B$11)/30)^2+(G564-'Hybrid Calculator'!$B$12)^2+((H564-'Hybrid Calculator'!$E$14)/IF(A564="Lightning",100,30000))^2+((I564-'Hybrid Calculator'!$E$17)/IF(A564="Lightning",100,30000))^2</f>
        <v>0.17557015526449649</v>
      </c>
      <c r="K564" s="2">
        <f t="shared" si="32"/>
        <v>392</v>
      </c>
      <c r="L564" s="2">
        <f t="shared" si="33"/>
        <v>0</v>
      </c>
      <c r="M564" s="2">
        <f t="shared" si="34"/>
        <v>0</v>
      </c>
      <c r="N564" s="2">
        <v>2.2056179642303331E-2</v>
      </c>
      <c r="O564" s="2">
        <f t="shared" si="35"/>
        <v>0</v>
      </c>
      <c r="P564" s="2">
        <v>0.97079709894764932</v>
      </c>
      <c r="Q564" s="2">
        <v>-1.8316705146803542</v>
      </c>
    </row>
    <row r="565" spans="1:17" ht="15">
      <c r="A565" s="2" t="s">
        <v>13</v>
      </c>
      <c r="B565" s="2">
        <v>1352.5741230114363</v>
      </c>
      <c r="C565" s="2">
        <v>1152.5684968102723</v>
      </c>
      <c r="D565" s="2">
        <v>707.29064671322703</v>
      </c>
      <c r="E565" s="2">
        <v>147.59220210369676</v>
      </c>
      <c r="F565" s="2">
        <v>27.291681117843837</v>
      </c>
      <c r="G565" s="2">
        <v>0.80497419131919745</v>
      </c>
      <c r="H565" s="2">
        <v>35</v>
      </c>
      <c r="I565" s="2">
        <v>25</v>
      </c>
      <c r="J565" s="2">
        <f>(IF(A565='Hybrid Calculator'!$B$6,0,1))^2+((B565-'Hybrid Calculator'!$B$7)/1500)^2+((C565-'Hybrid Calculator'!$B$8)/1300)^2+((D565-'Hybrid Calculator'!$B$9)/800)^2+((E565-'Hybrid Calculator'!$B$10)/350)^2+((F565-'Hybrid Calculator'!$B$11)/30)^2+(G565-'Hybrid Calculator'!$B$12)^2+((H565-'Hybrid Calculator'!$E$14)/IF(A565="Lightning",100,30000))^2+((I565-'Hybrid Calculator'!$E$17)/IF(A565="Lightning",100,30000))^2</f>
        <v>0.23229621956183122</v>
      </c>
      <c r="K565" s="2">
        <f t="shared" si="32"/>
        <v>507</v>
      </c>
      <c r="L565" s="2">
        <f t="shared" si="33"/>
        <v>0</v>
      </c>
      <c r="M565" s="2">
        <f t="shared" si="34"/>
        <v>0</v>
      </c>
      <c r="N565" s="2">
        <v>2.5619128710145933E-3</v>
      </c>
      <c r="O565" s="2">
        <f t="shared" si="35"/>
        <v>0</v>
      </c>
      <c r="P565" s="2">
        <v>3.0716891809490221E-3</v>
      </c>
      <c r="Q565" s="2">
        <v>-26.138791420913549</v>
      </c>
    </row>
    <row r="566" spans="1:17" ht="15">
      <c r="A566" s="2" t="s">
        <v>13</v>
      </c>
      <c r="B566" s="2">
        <v>1397.895989427343</v>
      </c>
      <c r="C566" s="2">
        <v>631.25089089153334</v>
      </c>
      <c r="D566" s="2">
        <v>653.14179193228483</v>
      </c>
      <c r="E566" s="2">
        <v>321.0270472173579</v>
      </c>
      <c r="F566" s="2">
        <v>17.221208997070789</v>
      </c>
      <c r="G566" s="2">
        <v>0.79031609663972635</v>
      </c>
      <c r="H566" s="2">
        <v>45</v>
      </c>
      <c r="I566" s="2">
        <v>25</v>
      </c>
      <c r="J566" s="2">
        <f>(IF(A566='Hybrid Calculator'!$B$6,0,1))^2+((B566-'Hybrid Calculator'!$B$7)/1500)^2+((C566-'Hybrid Calculator'!$B$8)/1300)^2+((D566-'Hybrid Calculator'!$B$9)/800)^2+((E566-'Hybrid Calculator'!$B$10)/350)^2+((F566-'Hybrid Calculator'!$B$11)/30)^2+(G566-'Hybrid Calculator'!$B$12)^2+((H566-'Hybrid Calculator'!$E$14)/IF(A566="Lightning",100,30000))^2+((I566-'Hybrid Calculator'!$E$17)/IF(A566="Lightning",100,30000))^2</f>
        <v>0.30926089210277485</v>
      </c>
      <c r="K566" s="2">
        <f t="shared" si="32"/>
        <v>606</v>
      </c>
      <c r="L566" s="2">
        <f t="shared" si="33"/>
        <v>0</v>
      </c>
      <c r="M566" s="2">
        <f t="shared" si="34"/>
        <v>0</v>
      </c>
      <c r="N566" s="2">
        <v>6.1349356284550183E-3</v>
      </c>
      <c r="O566" s="2">
        <f t="shared" si="35"/>
        <v>0</v>
      </c>
      <c r="P566" s="2">
        <v>-1.6558632201442123</v>
      </c>
      <c r="Q566" s="2">
        <v>5.1210402156996224</v>
      </c>
    </row>
    <row r="567" spans="1:17" ht="15">
      <c r="A567" s="2" t="s">
        <v>13</v>
      </c>
      <c r="B567" s="2">
        <v>1458.267339610029</v>
      </c>
      <c r="C567" s="2">
        <v>1158.4565110271797</v>
      </c>
      <c r="D567" s="2">
        <v>736.13027604296803</v>
      </c>
      <c r="E567" s="2">
        <v>325.09850656613708</v>
      </c>
      <c r="F567" s="2">
        <v>21.257991342339665</v>
      </c>
      <c r="G567" s="2">
        <v>0.85119464696850633</v>
      </c>
      <c r="H567" s="2">
        <v>30</v>
      </c>
      <c r="I567" s="2">
        <v>25</v>
      </c>
      <c r="J567" s="2">
        <f>(IF(A567='Hybrid Calculator'!$B$6,0,1))^2+((B567-'Hybrid Calculator'!$B$7)/1500)^2+((C567-'Hybrid Calculator'!$B$8)/1300)^2+((D567-'Hybrid Calculator'!$B$9)/800)^2+((E567-'Hybrid Calculator'!$B$10)/350)^2+((F567-'Hybrid Calculator'!$B$11)/30)^2+(G567-'Hybrid Calculator'!$B$12)^2+((H567-'Hybrid Calculator'!$E$14)/IF(A567="Lightning",100,30000))^2+((I567-'Hybrid Calculator'!$E$17)/IF(A567="Lightning",100,30000))^2</f>
        <v>0.44361836069914196</v>
      </c>
      <c r="K567" s="2">
        <f t="shared" si="32"/>
        <v>696</v>
      </c>
      <c r="L567" s="2">
        <f t="shared" si="33"/>
        <v>0</v>
      </c>
      <c r="M567" s="2">
        <f t="shared" si="34"/>
        <v>0</v>
      </c>
      <c r="N567" s="2">
        <v>7.300715367847932E-3</v>
      </c>
      <c r="O567" s="2">
        <f t="shared" si="35"/>
        <v>0</v>
      </c>
      <c r="P567" s="2">
        <v>1.6585766878236115</v>
      </c>
      <c r="Q567" s="2">
        <v>-16.653897083489028</v>
      </c>
    </row>
    <row r="568" spans="1:17" ht="15">
      <c r="A568" s="2" t="s">
        <v>13</v>
      </c>
      <c r="B568" s="2">
        <v>1451.0530482279137</v>
      </c>
      <c r="C568" s="2">
        <v>645.55097707780078</v>
      </c>
      <c r="D568" s="2">
        <v>561.4243745803833</v>
      </c>
      <c r="E568" s="2">
        <v>112.20350103219971</v>
      </c>
      <c r="F568" s="2">
        <v>16.058390158228576</v>
      </c>
      <c r="G568" s="2">
        <v>0.85068242989247667</v>
      </c>
      <c r="H568" s="2">
        <v>55</v>
      </c>
      <c r="I568" s="2">
        <v>25</v>
      </c>
      <c r="J568" s="2">
        <f>(IF(A568='Hybrid Calculator'!$B$6,0,1))^2+((B568-'Hybrid Calculator'!$B$7)/1500)^2+((C568-'Hybrid Calculator'!$B$8)/1300)^2+((D568-'Hybrid Calculator'!$B$9)/800)^2+((E568-'Hybrid Calculator'!$B$10)/350)^2+((F568-'Hybrid Calculator'!$B$11)/30)^2+(G568-'Hybrid Calculator'!$B$12)^2+((H568-'Hybrid Calculator'!$E$14)/IF(A568="Lightning",100,30000))^2+((I568-'Hybrid Calculator'!$E$17)/IF(A568="Lightning",100,30000))^2</f>
        <v>5.2657380417944731E-2</v>
      </c>
      <c r="K568" s="2">
        <f t="shared" si="32"/>
        <v>60</v>
      </c>
      <c r="L568" s="2">
        <f t="shared" si="33"/>
        <v>0</v>
      </c>
      <c r="M568" s="2">
        <f t="shared" si="34"/>
        <v>0</v>
      </c>
      <c r="N568" s="2">
        <v>-6.6150140936722668E-3</v>
      </c>
      <c r="O568" s="2">
        <f t="shared" si="35"/>
        <v>0</v>
      </c>
      <c r="P568" s="2">
        <v>-0.14144941904331176</v>
      </c>
      <c r="Q568" s="2">
        <v>7.6518931306875402</v>
      </c>
    </row>
    <row r="569" spans="1:17" ht="15">
      <c r="A569" s="2" t="s">
        <v>13</v>
      </c>
      <c r="B569" s="2">
        <v>1448.6850247601978</v>
      </c>
      <c r="C569" s="2">
        <v>930.4130450822413</v>
      </c>
      <c r="D569" s="2">
        <v>551.42135387286544</v>
      </c>
      <c r="E569" s="2">
        <v>188.42651280108839</v>
      </c>
      <c r="F569" s="2">
        <v>25.620875788386911</v>
      </c>
      <c r="G569" s="2">
        <v>0.83920732767321171</v>
      </c>
      <c r="H569" s="2">
        <v>45</v>
      </c>
      <c r="I569" s="2">
        <v>25</v>
      </c>
      <c r="J569" s="2">
        <f>(IF(A569='Hybrid Calculator'!$B$6,0,1))^2+((B569-'Hybrid Calculator'!$B$7)/1500)^2+((C569-'Hybrid Calculator'!$B$8)/1300)^2+((D569-'Hybrid Calculator'!$B$9)/800)^2+((E569-'Hybrid Calculator'!$B$10)/350)^2+((F569-'Hybrid Calculator'!$B$11)/30)^2+(G569-'Hybrid Calculator'!$B$12)^2+((H569-'Hybrid Calculator'!$E$14)/IF(A569="Lightning",100,30000))^2+((I569-'Hybrid Calculator'!$E$17)/IF(A569="Lightning",100,30000))^2</f>
        <v>7.9470748307611916E-2</v>
      </c>
      <c r="K569" s="2">
        <f t="shared" si="32"/>
        <v>138</v>
      </c>
      <c r="L569" s="2">
        <f t="shared" si="33"/>
        <v>0</v>
      </c>
      <c r="M569" s="2">
        <f t="shared" si="34"/>
        <v>0</v>
      </c>
      <c r="N569" s="2">
        <v>3.0279060286098058E-3</v>
      </c>
      <c r="O569" s="2">
        <f t="shared" si="35"/>
        <v>0</v>
      </c>
      <c r="P569" s="2">
        <v>0.39905764591667747</v>
      </c>
      <c r="Q569" s="2">
        <v>-13.325070524293551</v>
      </c>
    </row>
    <row r="570" spans="1:17" ht="15">
      <c r="A570" s="2" t="s">
        <v>13</v>
      </c>
      <c r="B570" s="2">
        <v>1382.8759549185634</v>
      </c>
      <c r="C570" s="2">
        <v>748.5077429912053</v>
      </c>
      <c r="D570" s="2">
        <v>352.67484206706285</v>
      </c>
      <c r="E570" s="2">
        <v>102.44929183507338</v>
      </c>
      <c r="F570" s="2">
        <v>27.052771648392081</v>
      </c>
      <c r="G570" s="2">
        <v>0.80884124846430494</v>
      </c>
      <c r="H570" s="2">
        <v>60</v>
      </c>
      <c r="I570" s="2">
        <v>25</v>
      </c>
      <c r="J570" s="2">
        <f>(IF(A570='Hybrid Calculator'!$B$6,0,1))^2+((B570-'Hybrid Calculator'!$B$7)/1500)^2+((C570-'Hybrid Calculator'!$B$8)/1300)^2+((D570-'Hybrid Calculator'!$B$9)/800)^2+((E570-'Hybrid Calculator'!$B$10)/350)^2+((F570-'Hybrid Calculator'!$B$11)/30)^2+(G570-'Hybrid Calculator'!$B$12)^2+((H570-'Hybrid Calculator'!$E$14)/IF(A570="Lightning",100,30000))^2+((I570-'Hybrid Calculator'!$E$17)/IF(A570="Lightning",100,30000))^2</f>
        <v>0.15065721148492664</v>
      </c>
      <c r="K570" s="2">
        <f t="shared" si="32"/>
        <v>328</v>
      </c>
      <c r="L570" s="2">
        <f t="shared" si="33"/>
        <v>0</v>
      </c>
      <c r="M570" s="2">
        <f t="shared" si="34"/>
        <v>0</v>
      </c>
      <c r="N570" s="2">
        <v>-4.1653158380317024E-3</v>
      </c>
      <c r="O570" s="2">
        <f t="shared" si="35"/>
        <v>0</v>
      </c>
      <c r="P570" s="2">
        <v>0.23484863316556215</v>
      </c>
      <c r="Q570" s="2">
        <v>-3.993575854973642</v>
      </c>
    </row>
    <row r="571" spans="1:17" ht="15">
      <c r="A571" s="2" t="s">
        <v>13</v>
      </c>
      <c r="B571" s="2">
        <v>1497.3018583492376</v>
      </c>
      <c r="C571" s="2">
        <v>865.10882938746363</v>
      </c>
      <c r="D571" s="2">
        <v>736.26483092084527</v>
      </c>
      <c r="E571" s="2">
        <v>306.32231819443405</v>
      </c>
      <c r="F571" s="2">
        <v>26.982443351764232</v>
      </c>
      <c r="G571" s="2">
        <v>0.80499778878409423</v>
      </c>
      <c r="H571" s="2">
        <v>35</v>
      </c>
      <c r="I571" s="2">
        <v>25</v>
      </c>
      <c r="J571" s="2">
        <f>(IF(A571='Hybrid Calculator'!$B$6,0,1))^2+((B571-'Hybrid Calculator'!$B$7)/1500)^2+((C571-'Hybrid Calculator'!$B$8)/1300)^2+((D571-'Hybrid Calculator'!$B$9)/800)^2+((E571-'Hybrid Calculator'!$B$10)/350)^2+((F571-'Hybrid Calculator'!$B$11)/30)^2+(G571-'Hybrid Calculator'!$B$12)^2+((H571-'Hybrid Calculator'!$E$14)/IF(A571="Lightning",100,30000))^2+((I571-'Hybrid Calculator'!$E$17)/IF(A571="Lightning",100,30000))^2</f>
        <v>0.39183341510419734</v>
      </c>
      <c r="K571" s="2">
        <f t="shared" si="32"/>
        <v>680</v>
      </c>
      <c r="L571" s="2">
        <f t="shared" si="33"/>
        <v>0</v>
      </c>
      <c r="M571" s="2">
        <f t="shared" si="34"/>
        <v>0</v>
      </c>
      <c r="N571" s="2">
        <v>3.6850219944588591E-3</v>
      </c>
      <c r="O571" s="2">
        <f t="shared" si="35"/>
        <v>0</v>
      </c>
      <c r="P571" s="2">
        <v>0.42956891815186538</v>
      </c>
      <c r="Q571" s="2">
        <v>-24.488702391899324</v>
      </c>
    </row>
    <row r="572" spans="1:17" ht="15">
      <c r="A572" s="2" t="s">
        <v>13</v>
      </c>
      <c r="B572" s="2">
        <v>1486.3328560022637</v>
      </c>
      <c r="C572" s="2">
        <v>741.03857713053003</v>
      </c>
      <c r="D572" s="2">
        <v>713.71838636696339</v>
      </c>
      <c r="E572" s="2">
        <v>105.93416179297492</v>
      </c>
      <c r="F572" s="2">
        <v>18.531439141370356</v>
      </c>
      <c r="G572" s="2">
        <v>0.81205090648261835</v>
      </c>
      <c r="H572" s="2">
        <v>45</v>
      </c>
      <c r="I572" s="2">
        <v>25</v>
      </c>
      <c r="J572" s="2">
        <f>(IF(A572='Hybrid Calculator'!$B$6,0,1))^2+((B572-'Hybrid Calculator'!$B$7)/1500)^2+((C572-'Hybrid Calculator'!$B$8)/1300)^2+((D572-'Hybrid Calculator'!$B$9)/800)^2+((E572-'Hybrid Calculator'!$B$10)/350)^2+((F572-'Hybrid Calculator'!$B$11)/30)^2+(G572-'Hybrid Calculator'!$B$12)^2+((H572-'Hybrid Calculator'!$E$14)/IF(A572="Lightning",100,30000))^2+((I572-'Hybrid Calculator'!$E$17)/IF(A572="Lightning",100,30000))^2</f>
        <v>9.8480821551578224E-2</v>
      </c>
      <c r="K572" s="2">
        <f t="shared" si="32"/>
        <v>198</v>
      </c>
      <c r="L572" s="2">
        <f t="shared" si="33"/>
        <v>0</v>
      </c>
      <c r="M572" s="2">
        <f t="shared" si="34"/>
        <v>0</v>
      </c>
      <c r="N572" s="2">
        <v>-9.035435596496777E-3</v>
      </c>
      <c r="O572" s="2">
        <f t="shared" si="35"/>
        <v>0</v>
      </c>
      <c r="P572" s="2">
        <v>-1.1247508009795126</v>
      </c>
      <c r="Q572" s="2">
        <v>-3.5267239303111637</v>
      </c>
    </row>
    <row r="573" spans="1:17" ht="15">
      <c r="A573" s="2" t="s">
        <v>13</v>
      </c>
      <c r="B573" s="2">
        <v>1498.0857773101889</v>
      </c>
      <c r="C573" s="2">
        <v>876.8455648329109</v>
      </c>
      <c r="D573" s="2">
        <v>545.22934360429645</v>
      </c>
      <c r="E573" s="2">
        <v>215.99383167456836</v>
      </c>
      <c r="F573" s="2">
        <v>24.868289161007851</v>
      </c>
      <c r="G573" s="2">
        <v>0.84793843362480403</v>
      </c>
      <c r="H573" s="2">
        <v>45</v>
      </c>
      <c r="I573" s="2">
        <v>25</v>
      </c>
      <c r="J573" s="2">
        <f>(IF(A573='Hybrid Calculator'!$B$6,0,1))^2+((B573-'Hybrid Calculator'!$B$7)/1500)^2+((C573-'Hybrid Calculator'!$B$8)/1300)^2+((D573-'Hybrid Calculator'!$B$9)/800)^2+((E573-'Hybrid Calculator'!$B$10)/350)^2+((F573-'Hybrid Calculator'!$B$11)/30)^2+(G573-'Hybrid Calculator'!$B$12)^2+((H573-'Hybrid Calculator'!$E$14)/IF(A573="Lightning",100,30000))^2+((I573-'Hybrid Calculator'!$E$17)/IF(A573="Lightning",100,30000))^2</f>
        <v>8.9891173475238284E-2</v>
      </c>
      <c r="K573" s="2">
        <f t="shared" si="32"/>
        <v>172</v>
      </c>
      <c r="L573" s="2">
        <f t="shared" si="33"/>
        <v>0</v>
      </c>
      <c r="M573" s="2">
        <f t="shared" si="34"/>
        <v>0</v>
      </c>
      <c r="N573" s="2">
        <v>-1.3811660299472894E-2</v>
      </c>
      <c r="O573" s="2">
        <f t="shared" si="35"/>
        <v>0</v>
      </c>
      <c r="P573" s="2">
        <v>-1.0115194576331774</v>
      </c>
      <c r="Q573" s="2">
        <v>-15.935228278621935</v>
      </c>
    </row>
    <row r="574" spans="1:17" ht="15">
      <c r="A574" s="2" t="s">
        <v>13</v>
      </c>
      <c r="B574" s="2">
        <v>1373.9349616225809</v>
      </c>
      <c r="C574" s="2">
        <v>935.42176362825558</v>
      </c>
      <c r="D574" s="2">
        <v>697.41384889930487</v>
      </c>
      <c r="E574" s="2">
        <v>287.04144035698846</v>
      </c>
      <c r="F574" s="2">
        <v>26.702394429594278</v>
      </c>
      <c r="G574" s="2">
        <v>0.83544086851412436</v>
      </c>
      <c r="H574" s="2">
        <v>35</v>
      </c>
      <c r="I574" s="2">
        <v>25</v>
      </c>
      <c r="J574" s="2">
        <f>(IF(A574='Hybrid Calculator'!$B$6,0,1))^2+((B574-'Hybrid Calculator'!$B$7)/1500)^2+((C574-'Hybrid Calculator'!$B$8)/1300)^2+((D574-'Hybrid Calculator'!$B$9)/800)^2+((E574-'Hybrid Calculator'!$B$10)/350)^2+((F574-'Hybrid Calculator'!$B$11)/30)^2+(G574-'Hybrid Calculator'!$B$12)^2+((H574-'Hybrid Calculator'!$E$14)/IF(A574="Lightning",100,30000))^2+((I574-'Hybrid Calculator'!$E$17)/IF(A574="Lightning",100,30000))^2</f>
        <v>0.31717293660279039</v>
      </c>
      <c r="K574" s="2">
        <f t="shared" si="32"/>
        <v>619</v>
      </c>
      <c r="L574" s="2">
        <f t="shared" si="33"/>
        <v>0</v>
      </c>
      <c r="M574" s="2">
        <f t="shared" si="34"/>
        <v>0</v>
      </c>
      <c r="N574" s="2">
        <v>-5.310682625845331E-4</v>
      </c>
      <c r="O574" s="2">
        <f t="shared" si="35"/>
        <v>0</v>
      </c>
      <c r="P574" s="2">
        <v>-0.63984280212951461</v>
      </c>
      <c r="Q574" s="2">
        <v>-10.827797549361321</v>
      </c>
    </row>
    <row r="575" spans="1:17" ht="15">
      <c r="A575" s="2" t="s">
        <v>13</v>
      </c>
      <c r="B575" s="2">
        <v>1472.8083660942502</v>
      </c>
      <c r="C575" s="2">
        <v>734.26065377425402</v>
      </c>
      <c r="D575" s="2">
        <v>730.4109369404614</v>
      </c>
      <c r="E575" s="2">
        <v>85.77375665307045</v>
      </c>
      <c r="F575" s="2">
        <v>18.675275186542422</v>
      </c>
      <c r="G575" s="2">
        <v>0.85880164749454713</v>
      </c>
      <c r="H575" s="2">
        <v>50</v>
      </c>
      <c r="I575" s="2">
        <v>25</v>
      </c>
      <c r="J575" s="2">
        <f>(IF(A575='Hybrid Calculator'!$B$6,0,1))^2+((B575-'Hybrid Calculator'!$B$7)/1500)^2+((C575-'Hybrid Calculator'!$B$8)/1300)^2+((D575-'Hybrid Calculator'!$B$9)/800)^2+((E575-'Hybrid Calculator'!$B$10)/350)^2+((F575-'Hybrid Calculator'!$B$11)/30)^2+(G575-'Hybrid Calculator'!$B$12)^2+((H575-'Hybrid Calculator'!$E$14)/IF(A575="Lightning",100,30000))^2+((I575-'Hybrid Calculator'!$E$17)/IF(A575="Lightning",100,30000))^2</f>
        <v>0.1271073595258643</v>
      </c>
      <c r="K575" s="2">
        <f t="shared" si="32"/>
        <v>270</v>
      </c>
      <c r="L575" s="2">
        <f t="shared" si="33"/>
        <v>0</v>
      </c>
      <c r="M575" s="2">
        <f t="shared" si="34"/>
        <v>0</v>
      </c>
      <c r="N575" s="2">
        <v>3.8380535325668319E-3</v>
      </c>
      <c r="O575" s="2">
        <f t="shared" si="35"/>
        <v>0</v>
      </c>
      <c r="P575" s="2">
        <v>-0.99890801151197195</v>
      </c>
      <c r="Q575" s="2">
        <v>1.0123211463251209</v>
      </c>
    </row>
    <row r="576" spans="1:17" ht="15">
      <c r="A576" s="2" t="s">
        <v>13</v>
      </c>
      <c r="B576" s="2">
        <v>1360.5928082484752</v>
      </c>
      <c r="C576" s="2">
        <v>1161.4266194286756</v>
      </c>
      <c r="D576" s="2">
        <v>686.70689146965742</v>
      </c>
      <c r="E576" s="2">
        <v>288.09420041041449</v>
      </c>
      <c r="F576" s="2">
        <v>13.100052177906036</v>
      </c>
      <c r="G576" s="2">
        <v>0.81400657778838648</v>
      </c>
      <c r="H576" s="2">
        <v>35</v>
      </c>
      <c r="I576" s="2">
        <v>25</v>
      </c>
      <c r="J576" s="2">
        <f>(IF(A576='Hybrid Calculator'!$B$6,0,1))^2+((B576-'Hybrid Calculator'!$B$7)/1500)^2+((C576-'Hybrid Calculator'!$B$8)/1300)^2+((D576-'Hybrid Calculator'!$B$9)/800)^2+((E576-'Hybrid Calculator'!$B$10)/350)^2+((F576-'Hybrid Calculator'!$B$11)/30)^2+(G576-'Hybrid Calculator'!$B$12)^2+((H576-'Hybrid Calculator'!$E$14)/IF(A576="Lightning",100,30000))^2+((I576-'Hybrid Calculator'!$E$17)/IF(A576="Lightning",100,30000))^2</f>
        <v>0.32430891024751018</v>
      </c>
      <c r="K576" s="2">
        <f t="shared" si="32"/>
        <v>629</v>
      </c>
      <c r="L576" s="2">
        <f t="shared" si="33"/>
        <v>0</v>
      </c>
      <c r="M576" s="2">
        <f t="shared" si="34"/>
        <v>0</v>
      </c>
      <c r="N576" s="2">
        <v>2.7375855026930518E-2</v>
      </c>
      <c r="O576" s="2">
        <f t="shared" si="35"/>
        <v>0</v>
      </c>
      <c r="P576" s="2">
        <v>0.72154619640551942</v>
      </c>
      <c r="Q576" s="2">
        <v>-8.5848039505308407</v>
      </c>
    </row>
    <row r="577" spans="1:17" ht="15">
      <c r="A577" s="2" t="s">
        <v>13</v>
      </c>
      <c r="B577" s="2">
        <v>1487.9835472558625</v>
      </c>
      <c r="C577" s="2">
        <v>1030.7604620000347</v>
      </c>
      <c r="D577" s="2">
        <v>726.27987088635564</v>
      </c>
      <c r="E577" s="2">
        <v>171.57143766060472</v>
      </c>
      <c r="F577" s="2">
        <v>8.5534329921938479</v>
      </c>
      <c r="G577" s="2">
        <v>0.79714263094123461</v>
      </c>
      <c r="H577" s="2">
        <v>35</v>
      </c>
      <c r="I577" s="2">
        <v>25</v>
      </c>
      <c r="J577" s="2">
        <f>(IF(A577='Hybrid Calculator'!$B$6,0,1))^2+((B577-'Hybrid Calculator'!$B$7)/1500)^2+((C577-'Hybrid Calculator'!$B$8)/1300)^2+((D577-'Hybrid Calculator'!$B$9)/800)^2+((E577-'Hybrid Calculator'!$B$10)/350)^2+((F577-'Hybrid Calculator'!$B$11)/30)^2+(G577-'Hybrid Calculator'!$B$12)^2+((H577-'Hybrid Calculator'!$E$14)/IF(A577="Lightning",100,30000))^2+((I577-'Hybrid Calculator'!$E$17)/IF(A577="Lightning",100,30000))^2</f>
        <v>0.23784897174205108</v>
      </c>
      <c r="K577" s="2">
        <f t="shared" si="32"/>
        <v>517</v>
      </c>
      <c r="L577" s="2">
        <f t="shared" si="33"/>
        <v>0</v>
      </c>
      <c r="M577" s="2">
        <f t="shared" si="34"/>
        <v>0</v>
      </c>
      <c r="N577" s="2">
        <v>9.992152150994027E-3</v>
      </c>
      <c r="O577" s="2">
        <f t="shared" si="35"/>
        <v>0</v>
      </c>
      <c r="P577" s="2">
        <v>-0.48427198146175954</v>
      </c>
      <c r="Q577" s="2">
        <v>-4.0803681972838604</v>
      </c>
    </row>
    <row r="578" spans="1:17" ht="15">
      <c r="A578" s="2" t="s">
        <v>13</v>
      </c>
      <c r="B578" s="2">
        <v>1398.9964702399448</v>
      </c>
      <c r="C578" s="2">
        <v>1185.157473210711</v>
      </c>
      <c r="D578" s="2">
        <v>747.87091761827469</v>
      </c>
      <c r="E578" s="2">
        <v>194.73484238376841</v>
      </c>
      <c r="F578" s="2">
        <v>14.383153508417308</v>
      </c>
      <c r="G578" s="2">
        <v>0.79568620729958639</v>
      </c>
      <c r="H578" s="2">
        <v>35</v>
      </c>
      <c r="I578" s="2">
        <v>25</v>
      </c>
      <c r="J578" s="2">
        <f>(IF(A578='Hybrid Calculator'!$B$6,0,1))^2+((B578-'Hybrid Calculator'!$B$7)/1500)^2+((C578-'Hybrid Calculator'!$B$8)/1300)^2+((D578-'Hybrid Calculator'!$B$9)/800)^2+((E578-'Hybrid Calculator'!$B$10)/350)^2+((F578-'Hybrid Calculator'!$B$11)/30)^2+(G578-'Hybrid Calculator'!$B$12)^2+((H578-'Hybrid Calculator'!$E$14)/IF(A578="Lightning",100,30000))^2+((I578-'Hybrid Calculator'!$E$17)/IF(A578="Lightning",100,30000))^2</f>
        <v>0.2210274039435432</v>
      </c>
      <c r="K578" s="2">
        <f t="shared" ref="K578:K641" si="36">RANK(J578,$J$2:$J$1401,1)</f>
        <v>490</v>
      </c>
      <c r="L578" s="2">
        <f t="shared" ref="L578:L641" si="37">IF(K578&lt;=7,1,0)</f>
        <v>0</v>
      </c>
      <c r="M578" s="2">
        <f t="shared" ref="M578:M641" si="38">IF(L578=1,1/(J578+0.000001),0)</f>
        <v>0</v>
      </c>
      <c r="N578" s="2">
        <v>6.8723299749975375E-3</v>
      </c>
      <c r="O578" s="2">
        <f t="shared" ref="O578:O641" si="39">M578</f>
        <v>0</v>
      </c>
      <c r="P578" s="2">
        <v>0.87169070429441575</v>
      </c>
      <c r="Q578" s="2">
        <v>-12.617638575019782</v>
      </c>
    </row>
    <row r="579" spans="1:17" ht="15">
      <c r="A579" s="2" t="s">
        <v>13</v>
      </c>
      <c r="B579" s="2">
        <v>1389.9662486161105</v>
      </c>
      <c r="C579" s="2">
        <v>623.34768502041698</v>
      </c>
      <c r="D579" s="2">
        <v>416.98633348569274</v>
      </c>
      <c r="E579" s="2">
        <v>155.73278865311295</v>
      </c>
      <c r="F579" s="2">
        <v>23.75638381158933</v>
      </c>
      <c r="G579" s="2">
        <v>0.84713743996806445</v>
      </c>
      <c r="H579" s="2">
        <v>60</v>
      </c>
      <c r="I579" s="2">
        <v>25</v>
      </c>
      <c r="J579" s="2">
        <f>(IF(A579='Hybrid Calculator'!$B$6,0,1))^2+((B579-'Hybrid Calculator'!$B$7)/1500)^2+((C579-'Hybrid Calculator'!$B$8)/1300)^2+((D579-'Hybrid Calculator'!$B$9)/800)^2+((E579-'Hybrid Calculator'!$B$10)/350)^2+((F579-'Hybrid Calculator'!$B$11)/30)^2+(G579-'Hybrid Calculator'!$B$12)^2+((H579-'Hybrid Calculator'!$E$14)/IF(A579="Lightning",100,30000))^2+((I579-'Hybrid Calculator'!$E$17)/IF(A579="Lightning",100,30000))^2</f>
        <v>8.3414553186305529E-2</v>
      </c>
      <c r="K579" s="2">
        <f t="shared" si="36"/>
        <v>150</v>
      </c>
      <c r="L579" s="2">
        <f t="shared" si="37"/>
        <v>0</v>
      </c>
      <c r="M579" s="2">
        <f t="shared" si="38"/>
        <v>0</v>
      </c>
      <c r="N579" s="2">
        <v>-1.7751596681318205E-2</v>
      </c>
      <c r="O579" s="2">
        <f t="shared" si="39"/>
        <v>0</v>
      </c>
      <c r="P579" s="2">
        <v>0.15424219475929135</v>
      </c>
      <c r="Q579" s="2">
        <v>6.1936793692336778</v>
      </c>
    </row>
    <row r="580" spans="1:17" ht="15">
      <c r="A580" s="2" t="s">
        <v>13</v>
      </c>
      <c r="B580" s="2">
        <v>1415.9273039549589</v>
      </c>
      <c r="C580" s="2">
        <v>951.11190363531932</v>
      </c>
      <c r="D580" s="2">
        <v>469.90323830395937</v>
      </c>
      <c r="E580" s="2">
        <v>100.10317944223061</v>
      </c>
      <c r="F580" s="2">
        <v>12.732470346614718</v>
      </c>
      <c r="G580" s="2">
        <v>0.79126379993977025</v>
      </c>
      <c r="H580" s="2">
        <v>50</v>
      </c>
      <c r="I580" s="2">
        <v>25</v>
      </c>
      <c r="J580" s="2">
        <f>(IF(A580='Hybrid Calculator'!$B$6,0,1))^2+((B580-'Hybrid Calculator'!$B$7)/1500)^2+((C580-'Hybrid Calculator'!$B$8)/1300)^2+((D580-'Hybrid Calculator'!$B$9)/800)^2+((E580-'Hybrid Calculator'!$B$10)/350)^2+((F580-'Hybrid Calculator'!$B$11)/30)^2+(G580-'Hybrid Calculator'!$B$12)^2+((H580-'Hybrid Calculator'!$E$14)/IF(A580="Lightning",100,30000))^2+((I580-'Hybrid Calculator'!$E$17)/IF(A580="Lightning",100,30000))^2</f>
        <v>6.561163131165243E-2</v>
      </c>
      <c r="K580" s="2">
        <f t="shared" si="36"/>
        <v>94</v>
      </c>
      <c r="L580" s="2">
        <f t="shared" si="37"/>
        <v>0</v>
      </c>
      <c r="M580" s="2">
        <f t="shared" si="38"/>
        <v>0</v>
      </c>
      <c r="N580" s="2">
        <v>-8.2946126629874772E-3</v>
      </c>
      <c r="O580" s="2">
        <f t="shared" si="39"/>
        <v>0</v>
      </c>
      <c r="P580" s="2">
        <v>0.58937399542850955</v>
      </c>
      <c r="Q580" s="2">
        <v>4.5998991409560404</v>
      </c>
    </row>
    <row r="581" spans="1:17" ht="15">
      <c r="A581" s="2" t="s">
        <v>13</v>
      </c>
      <c r="B581" s="2">
        <v>1433.0205249250866</v>
      </c>
      <c r="C581" s="2">
        <v>706.86487837228924</v>
      </c>
      <c r="D581" s="2">
        <v>605.45650282874703</v>
      </c>
      <c r="E581" s="2">
        <v>223.62388080917299</v>
      </c>
      <c r="F581" s="2">
        <v>16.731437605340034</v>
      </c>
      <c r="G581" s="2">
        <v>0.84527939461637291</v>
      </c>
      <c r="H581" s="2">
        <v>50</v>
      </c>
      <c r="I581" s="2">
        <v>25</v>
      </c>
      <c r="J581" s="2">
        <f>(IF(A581='Hybrid Calculator'!$B$6,0,1))^2+((B581-'Hybrid Calculator'!$B$7)/1500)^2+((C581-'Hybrid Calculator'!$B$8)/1300)^2+((D581-'Hybrid Calculator'!$B$9)/800)^2+((E581-'Hybrid Calculator'!$B$10)/350)^2+((F581-'Hybrid Calculator'!$B$11)/30)^2+(G581-'Hybrid Calculator'!$B$12)^2+((H581-'Hybrid Calculator'!$E$14)/IF(A581="Lightning",100,30000))^2+((I581-'Hybrid Calculator'!$E$17)/IF(A581="Lightning",100,30000))^2</f>
        <v>7.7891323990469385E-2</v>
      </c>
      <c r="K581" s="2">
        <f t="shared" si="36"/>
        <v>133</v>
      </c>
      <c r="L581" s="2">
        <f t="shared" si="37"/>
        <v>0</v>
      </c>
      <c r="M581" s="2">
        <f t="shared" si="38"/>
        <v>0</v>
      </c>
      <c r="N581" s="2">
        <v>-1.1765079585931426E-2</v>
      </c>
      <c r="O581" s="2">
        <f t="shared" si="39"/>
        <v>0</v>
      </c>
      <c r="P581" s="2">
        <v>-0.58521021860893541</v>
      </c>
      <c r="Q581" s="2">
        <v>7.5955812374309062</v>
      </c>
    </row>
    <row r="582" spans="1:17" ht="15">
      <c r="A582" s="2" t="s">
        <v>13</v>
      </c>
      <c r="B582" s="2">
        <v>1453.009442682378</v>
      </c>
      <c r="C582" s="2">
        <v>1154.6280183480121</v>
      </c>
      <c r="D582" s="2">
        <v>722.72917367517948</v>
      </c>
      <c r="E582" s="2">
        <v>281.39929204015061</v>
      </c>
      <c r="F582" s="2">
        <v>26.97281099203974</v>
      </c>
      <c r="G582" s="2">
        <v>0.81994097384391351</v>
      </c>
      <c r="H582" s="2">
        <v>30</v>
      </c>
      <c r="I582" s="2">
        <v>25</v>
      </c>
      <c r="J582" s="2">
        <f>(IF(A582='Hybrid Calculator'!$B$6,0,1))^2+((B582-'Hybrid Calculator'!$B$7)/1500)^2+((C582-'Hybrid Calculator'!$B$8)/1300)^2+((D582-'Hybrid Calculator'!$B$9)/800)^2+((E582-'Hybrid Calculator'!$B$10)/350)^2+((F582-'Hybrid Calculator'!$B$11)/30)^2+(G582-'Hybrid Calculator'!$B$12)^2+((H582-'Hybrid Calculator'!$E$14)/IF(A582="Lightning",100,30000))^2+((I582-'Hybrid Calculator'!$E$17)/IF(A582="Lightning",100,30000))^2</f>
        <v>0.39348194546890758</v>
      </c>
      <c r="K582" s="2">
        <f t="shared" si="36"/>
        <v>683</v>
      </c>
      <c r="L582" s="2">
        <f t="shared" si="37"/>
        <v>0</v>
      </c>
      <c r="M582" s="2">
        <f t="shared" si="38"/>
        <v>0</v>
      </c>
      <c r="N582" s="2">
        <v>6.4369102688759394E-3</v>
      </c>
      <c r="O582" s="2">
        <f t="shared" si="39"/>
        <v>0</v>
      </c>
      <c r="P582" s="2">
        <v>-0.2139065041089907</v>
      </c>
      <c r="Q582" s="2">
        <v>-24.306407680896427</v>
      </c>
    </row>
    <row r="583" spans="1:17" ht="15">
      <c r="A583" s="2" t="s">
        <v>13</v>
      </c>
      <c r="B583" s="2">
        <v>1366.2220973870717</v>
      </c>
      <c r="C583" s="2">
        <v>695.60811626724899</v>
      </c>
      <c r="D583" s="2">
        <v>444.26087690517306</v>
      </c>
      <c r="E583" s="2">
        <v>130.34860770683736</v>
      </c>
      <c r="F583" s="2">
        <v>14.622899066191167</v>
      </c>
      <c r="G583" s="2">
        <v>0.80992342308163645</v>
      </c>
      <c r="H583" s="2">
        <v>60</v>
      </c>
      <c r="I583" s="2">
        <v>25</v>
      </c>
      <c r="J583" s="2">
        <f>(IF(A583='Hybrid Calculator'!$B$6,0,1))^2+((B583-'Hybrid Calculator'!$B$7)/1500)^2+((C583-'Hybrid Calculator'!$B$8)/1300)^2+((D583-'Hybrid Calculator'!$B$9)/800)^2+((E583-'Hybrid Calculator'!$B$10)/350)^2+((F583-'Hybrid Calculator'!$B$11)/30)^2+(G583-'Hybrid Calculator'!$B$12)^2+((H583-'Hybrid Calculator'!$E$14)/IF(A583="Lightning",100,30000))^2+((I583-'Hybrid Calculator'!$E$17)/IF(A583="Lightning",100,30000))^2</f>
        <v>5.0450713890669394E-2</v>
      </c>
      <c r="K583" s="2">
        <f t="shared" si="36"/>
        <v>53</v>
      </c>
      <c r="L583" s="2">
        <f t="shared" si="37"/>
        <v>0</v>
      </c>
      <c r="M583" s="2">
        <f t="shared" si="38"/>
        <v>0</v>
      </c>
      <c r="N583" s="2">
        <v>5.7424347704086998E-3</v>
      </c>
      <c r="O583" s="2">
        <f t="shared" si="39"/>
        <v>0</v>
      </c>
      <c r="P583" s="2">
        <v>-1.2651788496461478</v>
      </c>
      <c r="Q583" s="2">
        <v>11.367919875023063</v>
      </c>
    </row>
    <row r="584" spans="1:17" ht="15">
      <c r="A584" s="2" t="s">
        <v>13</v>
      </c>
      <c r="B584" s="2">
        <v>1383.7689395528287</v>
      </c>
      <c r="C584" s="2">
        <v>944.58392829401419</v>
      </c>
      <c r="D584" s="2">
        <v>514.11555465310812</v>
      </c>
      <c r="E584" s="2">
        <v>166.27259620698169</v>
      </c>
      <c r="F584" s="2">
        <v>25.795220907777548</v>
      </c>
      <c r="G584" s="2">
        <v>0.83860231671715157</v>
      </c>
      <c r="H584" s="2">
        <v>45</v>
      </c>
      <c r="I584" s="2">
        <v>25</v>
      </c>
      <c r="J584" s="2">
        <f>(IF(A584='Hybrid Calculator'!$B$6,0,1))^2+((B584-'Hybrid Calculator'!$B$7)/1500)^2+((C584-'Hybrid Calculator'!$B$8)/1300)^2+((D584-'Hybrid Calculator'!$B$9)/800)^2+((E584-'Hybrid Calculator'!$B$10)/350)^2+((F584-'Hybrid Calculator'!$B$11)/30)^2+(G584-'Hybrid Calculator'!$B$12)^2+((H584-'Hybrid Calculator'!$E$14)/IF(A584="Lightning",100,30000))^2+((I584-'Hybrid Calculator'!$E$17)/IF(A584="Lightning",100,30000))^2</f>
        <v>7.0501710423202898E-2</v>
      </c>
      <c r="K584" s="2">
        <f t="shared" si="36"/>
        <v>113</v>
      </c>
      <c r="L584" s="2">
        <f t="shared" si="37"/>
        <v>0</v>
      </c>
      <c r="M584" s="2">
        <f t="shared" si="38"/>
        <v>0</v>
      </c>
      <c r="N584" s="2">
        <v>-1.1010934803140859E-2</v>
      </c>
      <c r="O584" s="2">
        <f t="shared" si="39"/>
        <v>0</v>
      </c>
      <c r="P584" s="2">
        <v>-0.17981821511357765</v>
      </c>
      <c r="Q584" s="2">
        <v>-2.1053738246030207</v>
      </c>
    </row>
    <row r="585" spans="1:17" ht="15">
      <c r="A585" s="2" t="s">
        <v>13</v>
      </c>
      <c r="B585" s="2">
        <v>1445.3527700272389</v>
      </c>
      <c r="C585" s="2">
        <v>621.40573810320348</v>
      </c>
      <c r="D585" s="2">
        <v>435.94487207010388</v>
      </c>
      <c r="E585" s="2">
        <v>256.63104925304651</v>
      </c>
      <c r="F585" s="2">
        <v>17.352193000260741</v>
      </c>
      <c r="G585" s="2">
        <v>0.80987762767355898</v>
      </c>
      <c r="H585" s="2">
        <v>55</v>
      </c>
      <c r="I585" s="2">
        <v>25</v>
      </c>
      <c r="J585" s="2">
        <f>(IF(A585='Hybrid Calculator'!$B$6,0,1))^2+((B585-'Hybrid Calculator'!$B$7)/1500)^2+((C585-'Hybrid Calculator'!$B$8)/1300)^2+((D585-'Hybrid Calculator'!$B$9)/800)^2+((E585-'Hybrid Calculator'!$B$10)/350)^2+((F585-'Hybrid Calculator'!$B$11)/30)^2+(G585-'Hybrid Calculator'!$B$12)^2+((H585-'Hybrid Calculator'!$E$14)/IF(A585="Lightning",100,30000))^2+((I585-'Hybrid Calculator'!$E$17)/IF(A585="Lightning",100,30000))^2</f>
        <v>0.1343995616083565</v>
      </c>
      <c r="K585" s="2">
        <f t="shared" si="36"/>
        <v>289</v>
      </c>
      <c r="L585" s="2">
        <f t="shared" si="37"/>
        <v>0</v>
      </c>
      <c r="M585" s="2">
        <f t="shared" si="38"/>
        <v>0</v>
      </c>
      <c r="N585" s="2">
        <v>5.1279797523959836E-3</v>
      </c>
      <c r="O585" s="2">
        <f t="shared" si="39"/>
        <v>0</v>
      </c>
      <c r="P585" s="2">
        <v>2.6803096978440522E-2</v>
      </c>
      <c r="Q585" s="2">
        <v>20.289422020000075</v>
      </c>
    </row>
    <row r="586" spans="1:17" ht="15">
      <c r="A586" s="2" t="s">
        <v>13</v>
      </c>
      <c r="B586" s="2">
        <v>1446.1963095003739</v>
      </c>
      <c r="C586" s="2">
        <v>1022.4189917673357</v>
      </c>
      <c r="D586" s="2">
        <v>365.82505032420158</v>
      </c>
      <c r="E586" s="2">
        <v>133.94880048697814</v>
      </c>
      <c r="F586" s="2">
        <v>24.380987084470689</v>
      </c>
      <c r="G586" s="2">
        <v>0.82092814447125428</v>
      </c>
      <c r="H586" s="2">
        <v>50</v>
      </c>
      <c r="I586" s="2">
        <v>25</v>
      </c>
      <c r="J586" s="2">
        <f>(IF(A586='Hybrid Calculator'!$B$6,0,1))^2+((B586-'Hybrid Calculator'!$B$7)/1500)^2+((C586-'Hybrid Calculator'!$B$8)/1300)^2+((D586-'Hybrid Calculator'!$B$9)/800)^2+((E586-'Hybrid Calculator'!$B$10)/350)^2+((F586-'Hybrid Calculator'!$B$11)/30)^2+(G586-'Hybrid Calculator'!$B$12)^2+((H586-'Hybrid Calculator'!$E$14)/IF(A586="Lightning",100,30000))^2+((I586-'Hybrid Calculator'!$E$17)/IF(A586="Lightning",100,30000))^2</f>
        <v>8.6452907115334265E-2</v>
      </c>
      <c r="K586" s="2">
        <f t="shared" si="36"/>
        <v>159</v>
      </c>
      <c r="L586" s="2">
        <f t="shared" si="37"/>
        <v>0</v>
      </c>
      <c r="M586" s="2">
        <f t="shared" si="38"/>
        <v>0</v>
      </c>
      <c r="N586" s="2">
        <v>-9.9156637447535001E-3</v>
      </c>
      <c r="O586" s="2">
        <f t="shared" si="39"/>
        <v>0</v>
      </c>
      <c r="P586" s="2">
        <v>0.41036768139430535</v>
      </c>
      <c r="Q586" s="2">
        <v>-0.50113027439397229</v>
      </c>
    </row>
    <row r="587" spans="1:17" ht="15">
      <c r="A587" s="2" t="s">
        <v>13</v>
      </c>
      <c r="B587" s="2">
        <v>1376.8891343730502</v>
      </c>
      <c r="C587" s="2">
        <v>911.14415489137173</v>
      </c>
      <c r="D587" s="2">
        <v>582.53214946016669</v>
      </c>
      <c r="E587" s="2">
        <v>124.06710818875581</v>
      </c>
      <c r="F587" s="2">
        <v>17.880189613904804</v>
      </c>
      <c r="G587" s="2">
        <v>0.83394275548867891</v>
      </c>
      <c r="H587" s="2">
        <v>45</v>
      </c>
      <c r="I587" s="2">
        <v>25</v>
      </c>
      <c r="J587" s="2">
        <f>(IF(A587='Hybrid Calculator'!$B$6,0,1))^2+((B587-'Hybrid Calculator'!$B$7)/1500)^2+((C587-'Hybrid Calculator'!$B$8)/1300)^2+((D587-'Hybrid Calculator'!$B$9)/800)^2+((E587-'Hybrid Calculator'!$B$10)/350)^2+((F587-'Hybrid Calculator'!$B$11)/30)^2+(G587-'Hybrid Calculator'!$B$12)^2+((H587-'Hybrid Calculator'!$E$14)/IF(A587="Lightning",100,30000))^2+((I587-'Hybrid Calculator'!$E$17)/IF(A587="Lightning",100,30000))^2</f>
        <v>2.249515309890094E-2</v>
      </c>
      <c r="K587" s="2">
        <f t="shared" si="36"/>
        <v>11</v>
      </c>
      <c r="L587" s="2">
        <f t="shared" si="37"/>
        <v>0</v>
      </c>
      <c r="M587" s="2">
        <f t="shared" si="38"/>
        <v>0</v>
      </c>
      <c r="N587" s="2">
        <v>1.0922941662389052E-2</v>
      </c>
      <c r="O587" s="2">
        <f t="shared" si="39"/>
        <v>0</v>
      </c>
      <c r="P587" s="2">
        <v>-5.9585487338047471E-2</v>
      </c>
      <c r="Q587" s="2">
        <v>0.65347556557162534</v>
      </c>
    </row>
    <row r="588" spans="1:17" ht="15">
      <c r="A588" s="2" t="s">
        <v>13</v>
      </c>
      <c r="B588" s="2">
        <v>1467.2699782066047</v>
      </c>
      <c r="C588" s="2">
        <v>1015.4996934696101</v>
      </c>
      <c r="D588" s="2">
        <v>368.9025754109025</v>
      </c>
      <c r="E588" s="2">
        <v>269.8518885136582</v>
      </c>
      <c r="F588" s="2">
        <v>10.089576730504632</v>
      </c>
      <c r="G588" s="2">
        <v>0.79604812289820992</v>
      </c>
      <c r="H588" s="2">
        <v>40</v>
      </c>
      <c r="I588" s="2">
        <v>25</v>
      </c>
      <c r="J588" s="2">
        <f>(IF(A588='Hybrid Calculator'!$B$6,0,1))^2+((B588-'Hybrid Calculator'!$B$7)/1500)^2+((C588-'Hybrid Calculator'!$B$8)/1300)^2+((D588-'Hybrid Calculator'!$B$9)/800)^2+((E588-'Hybrid Calculator'!$B$10)/350)^2+((F588-'Hybrid Calculator'!$B$11)/30)^2+(G588-'Hybrid Calculator'!$B$12)^2+((H588-'Hybrid Calculator'!$E$14)/IF(A588="Lightning",100,30000))^2+((I588-'Hybrid Calculator'!$E$17)/IF(A588="Lightning",100,30000))^2</f>
        <v>0.25028466329723009</v>
      </c>
      <c r="K588" s="2">
        <f t="shared" si="36"/>
        <v>544</v>
      </c>
      <c r="L588" s="2">
        <f t="shared" si="37"/>
        <v>0</v>
      </c>
      <c r="M588" s="2">
        <f t="shared" si="38"/>
        <v>0</v>
      </c>
      <c r="N588" s="2">
        <v>-2.1830789134422712E-3</v>
      </c>
      <c r="O588" s="2">
        <f t="shared" si="39"/>
        <v>0</v>
      </c>
      <c r="P588" s="2">
        <v>0.87590818615723265</v>
      </c>
      <c r="Q588" s="2">
        <v>8.107369020349779</v>
      </c>
    </row>
    <row r="589" spans="1:17" ht="15">
      <c r="A589" s="2" t="s">
        <v>13</v>
      </c>
      <c r="B589" s="2">
        <v>1408.9234945946373</v>
      </c>
      <c r="C589" s="2">
        <v>882.75144987273961</v>
      </c>
      <c r="D589" s="2">
        <v>479.56529492512345</v>
      </c>
      <c r="E589" s="2">
        <v>309.35151890851557</v>
      </c>
      <c r="F589" s="2">
        <v>20.850480728317052</v>
      </c>
      <c r="G589" s="2">
        <v>0.8269975370028988</v>
      </c>
      <c r="H589" s="2">
        <v>45</v>
      </c>
      <c r="I589" s="2">
        <v>25</v>
      </c>
      <c r="J589" s="2">
        <f>(IF(A589='Hybrid Calculator'!$B$6,0,1))^2+((B589-'Hybrid Calculator'!$B$7)/1500)^2+((C589-'Hybrid Calculator'!$B$8)/1300)^2+((D589-'Hybrid Calculator'!$B$9)/800)^2+((E589-'Hybrid Calculator'!$B$10)/350)^2+((F589-'Hybrid Calculator'!$B$11)/30)^2+(G589-'Hybrid Calculator'!$B$12)^2+((H589-'Hybrid Calculator'!$E$14)/IF(A589="Lightning",100,30000))^2+((I589-'Hybrid Calculator'!$E$17)/IF(A589="Lightning",100,30000))^2</f>
        <v>0.21737866200345951</v>
      </c>
      <c r="K589" s="2">
        <f t="shared" si="36"/>
        <v>484</v>
      </c>
      <c r="L589" s="2">
        <f t="shared" si="37"/>
        <v>0</v>
      </c>
      <c r="M589" s="2">
        <f t="shared" si="38"/>
        <v>0</v>
      </c>
      <c r="N589" s="2">
        <v>-1.198308905719947E-2</v>
      </c>
      <c r="O589" s="2">
        <f t="shared" si="39"/>
        <v>0</v>
      </c>
      <c r="P589" s="2">
        <v>-3.4274268079478531E-2</v>
      </c>
      <c r="Q589" s="2">
        <v>-10.684056712411802</v>
      </c>
    </row>
    <row r="590" spans="1:17" ht="15">
      <c r="A590" s="2" t="s">
        <v>13</v>
      </c>
      <c r="B590" s="2">
        <v>1485.9054828062654</v>
      </c>
      <c r="C590" s="2">
        <v>1073.1059439829551</v>
      </c>
      <c r="D590" s="2">
        <v>580.67840654402971</v>
      </c>
      <c r="E590" s="2">
        <v>123.1749313720502</v>
      </c>
      <c r="F590" s="2">
        <v>13.425996845588088</v>
      </c>
      <c r="G590" s="2">
        <v>0.81734103881986819</v>
      </c>
      <c r="H590" s="2">
        <v>40</v>
      </c>
      <c r="I590" s="2">
        <v>25</v>
      </c>
      <c r="J590" s="2">
        <f>(IF(A590='Hybrid Calculator'!$B$6,0,1))^2+((B590-'Hybrid Calculator'!$B$7)/1500)^2+((C590-'Hybrid Calculator'!$B$8)/1300)^2+((D590-'Hybrid Calculator'!$B$9)/800)^2+((E590-'Hybrid Calculator'!$B$10)/350)^2+((F590-'Hybrid Calculator'!$B$11)/30)^2+(G590-'Hybrid Calculator'!$B$12)^2+((H590-'Hybrid Calculator'!$E$14)/IF(A590="Lightning",100,30000))^2+((I590-'Hybrid Calculator'!$E$17)/IF(A590="Lightning",100,30000))^2</f>
        <v>8.5759734873658344E-2</v>
      </c>
      <c r="K590" s="2">
        <f t="shared" si="36"/>
        <v>154</v>
      </c>
      <c r="L590" s="2">
        <f t="shared" si="37"/>
        <v>0</v>
      </c>
      <c r="M590" s="2">
        <f t="shared" si="38"/>
        <v>0</v>
      </c>
      <c r="N590" s="2">
        <v>1.7801289305925394E-2</v>
      </c>
      <c r="O590" s="2">
        <f t="shared" si="39"/>
        <v>0</v>
      </c>
      <c r="P590" s="2">
        <v>1.1560502005456428</v>
      </c>
      <c r="Q590" s="2">
        <v>2.0264432064923312</v>
      </c>
    </row>
    <row r="591" spans="1:17" ht="15">
      <c r="A591" s="2" t="s">
        <v>13</v>
      </c>
      <c r="B591" s="2">
        <v>1450.9558715508319</v>
      </c>
      <c r="C591" s="2">
        <v>1065.8478260273114</v>
      </c>
      <c r="D591" s="2">
        <v>722.96141097322106</v>
      </c>
      <c r="E591" s="2">
        <v>134.39211870543659</v>
      </c>
      <c r="F591" s="2">
        <v>16.835654084105045</v>
      </c>
      <c r="G591" s="2">
        <v>0.84825221930164851</v>
      </c>
      <c r="H591" s="2">
        <v>40</v>
      </c>
      <c r="I591" s="2">
        <v>25</v>
      </c>
      <c r="J591" s="2">
        <f>(IF(A591='Hybrid Calculator'!$B$6,0,1))^2+((B591-'Hybrid Calculator'!$B$7)/1500)^2+((C591-'Hybrid Calculator'!$B$8)/1300)^2+((D591-'Hybrid Calculator'!$B$9)/800)^2+((E591-'Hybrid Calculator'!$B$10)/350)^2+((F591-'Hybrid Calculator'!$B$11)/30)^2+(G591-'Hybrid Calculator'!$B$12)^2+((H591-'Hybrid Calculator'!$E$14)/IF(A591="Lightning",100,30000))^2+((I591-'Hybrid Calculator'!$E$17)/IF(A591="Lightning",100,30000))^2</f>
        <v>0.12140695226524201</v>
      </c>
      <c r="K591" s="2">
        <f t="shared" si="36"/>
        <v>256</v>
      </c>
      <c r="L591" s="2">
        <f t="shared" si="37"/>
        <v>0</v>
      </c>
      <c r="M591" s="2">
        <f t="shared" si="38"/>
        <v>0</v>
      </c>
      <c r="N591" s="2">
        <v>1.2192201177008366E-2</v>
      </c>
      <c r="O591" s="2">
        <f t="shared" si="39"/>
        <v>0</v>
      </c>
      <c r="P591" s="2">
        <v>0.87040353642046853</v>
      </c>
      <c r="Q591" s="2">
        <v>-12.546067129229414</v>
      </c>
    </row>
    <row r="592" spans="1:17" ht="15">
      <c r="A592" s="2" t="s">
        <v>13</v>
      </c>
      <c r="B592" s="2">
        <v>1432.7865461586043</v>
      </c>
      <c r="C592" s="2">
        <v>1081.671002751682</v>
      </c>
      <c r="D592" s="2">
        <v>368.03041584789753</v>
      </c>
      <c r="E592" s="2">
        <v>187.72900673327968</v>
      </c>
      <c r="F592" s="2">
        <v>24.187574089504778</v>
      </c>
      <c r="G592" s="2">
        <v>0.84394718109397227</v>
      </c>
      <c r="H592" s="2">
        <v>45</v>
      </c>
      <c r="I592" s="2">
        <v>25</v>
      </c>
      <c r="J592" s="2">
        <f>(IF(A592='Hybrid Calculator'!$B$6,0,1))^2+((B592-'Hybrid Calculator'!$B$7)/1500)^2+((C592-'Hybrid Calculator'!$B$8)/1300)^2+((D592-'Hybrid Calculator'!$B$9)/800)^2+((E592-'Hybrid Calculator'!$B$10)/350)^2+((F592-'Hybrid Calculator'!$B$11)/30)^2+(G592-'Hybrid Calculator'!$B$12)^2+((H592-'Hybrid Calculator'!$E$14)/IF(A592="Lightning",100,30000))^2+((I592-'Hybrid Calculator'!$E$17)/IF(A592="Lightning",100,30000))^2</f>
        <v>0.10963413055805077</v>
      </c>
      <c r="K592" s="2">
        <f t="shared" si="36"/>
        <v>226</v>
      </c>
      <c r="L592" s="2">
        <f t="shared" si="37"/>
        <v>0</v>
      </c>
      <c r="M592" s="2">
        <f t="shared" si="38"/>
        <v>0</v>
      </c>
      <c r="N592" s="2">
        <v>-6.1513160077459883E-3</v>
      </c>
      <c r="O592" s="2">
        <f t="shared" si="39"/>
        <v>0</v>
      </c>
      <c r="P592" s="2">
        <v>-0.17698384490235952</v>
      </c>
      <c r="Q592" s="2">
        <v>-12.667170917500925</v>
      </c>
    </row>
    <row r="593" spans="1:17" ht="15">
      <c r="A593" s="2" t="s">
        <v>13</v>
      </c>
      <c r="B593" s="2">
        <v>1468.9637655741535</v>
      </c>
      <c r="C593" s="2">
        <v>804.97755981050432</v>
      </c>
      <c r="D593" s="2">
        <v>489.19246895238757</v>
      </c>
      <c r="E593" s="2">
        <v>229.25635128747672</v>
      </c>
      <c r="F593" s="2">
        <v>28.868652674835175</v>
      </c>
      <c r="G593" s="2">
        <v>0.80682251270860439</v>
      </c>
      <c r="H593" s="2">
        <v>40</v>
      </c>
      <c r="I593" s="2">
        <v>25</v>
      </c>
      <c r="J593" s="2">
        <f>(IF(A593='Hybrid Calculator'!$B$6,0,1))^2+((B593-'Hybrid Calculator'!$B$7)/1500)^2+((C593-'Hybrid Calculator'!$B$8)/1300)^2+((D593-'Hybrid Calculator'!$B$9)/800)^2+((E593-'Hybrid Calculator'!$B$10)/350)^2+((F593-'Hybrid Calculator'!$B$11)/30)^2+(G593-'Hybrid Calculator'!$B$12)^2+((H593-'Hybrid Calculator'!$E$14)/IF(A593="Lightning",100,30000))^2+((I593-'Hybrid Calculator'!$E$17)/IF(A593="Lightning",100,30000))^2</f>
        <v>0.18314711266010592</v>
      </c>
      <c r="K593" s="2">
        <f t="shared" si="36"/>
        <v>408</v>
      </c>
      <c r="L593" s="2">
        <f t="shared" si="37"/>
        <v>0</v>
      </c>
      <c r="M593" s="2">
        <f t="shared" si="38"/>
        <v>0</v>
      </c>
      <c r="N593" s="2">
        <v>-6.3278631574923416E-3</v>
      </c>
      <c r="O593" s="2">
        <f t="shared" si="39"/>
        <v>0</v>
      </c>
      <c r="P593" s="2">
        <v>-1.2764947849691026</v>
      </c>
      <c r="Q593" s="2">
        <v>-8.2185694947172578</v>
      </c>
    </row>
    <row r="594" spans="1:17" ht="15">
      <c r="A594" s="2" t="s">
        <v>13</v>
      </c>
      <c r="B594" s="2">
        <v>1499.6549227740616</v>
      </c>
      <c r="C594" s="2">
        <v>1231.5429932321422</v>
      </c>
      <c r="D594" s="2">
        <v>506.46394696086645</v>
      </c>
      <c r="E594" s="2">
        <v>233.58889085473493</v>
      </c>
      <c r="F594" s="2">
        <v>17.465893436223269</v>
      </c>
      <c r="G594" s="2">
        <v>0.85193544298643253</v>
      </c>
      <c r="H594" s="2">
        <v>35</v>
      </c>
      <c r="I594" s="2">
        <v>25</v>
      </c>
      <c r="J594" s="2">
        <f>(IF(A594='Hybrid Calculator'!$B$6,0,1))^2+((B594-'Hybrid Calculator'!$B$7)/1500)^2+((C594-'Hybrid Calculator'!$B$8)/1300)^2+((D594-'Hybrid Calculator'!$B$9)/800)^2+((E594-'Hybrid Calculator'!$B$10)/350)^2+((F594-'Hybrid Calculator'!$B$11)/30)^2+(G594-'Hybrid Calculator'!$B$12)^2+((H594-'Hybrid Calculator'!$E$14)/IF(A594="Lightning",100,30000))^2+((I594-'Hybrid Calculator'!$E$17)/IF(A594="Lightning",100,30000))^2</f>
        <v>0.17042706066175201</v>
      </c>
      <c r="K594" s="2">
        <f t="shared" si="36"/>
        <v>382</v>
      </c>
      <c r="L594" s="2">
        <f t="shared" si="37"/>
        <v>0</v>
      </c>
      <c r="M594" s="2">
        <f t="shared" si="38"/>
        <v>0</v>
      </c>
      <c r="N594" s="2">
        <v>1.5392050877685248E-2</v>
      </c>
      <c r="O594" s="2">
        <f t="shared" si="39"/>
        <v>0</v>
      </c>
      <c r="P594" s="2">
        <v>0.42816018199063421</v>
      </c>
      <c r="Q594" s="2">
        <v>-3.3904714833690832</v>
      </c>
    </row>
    <row r="595" spans="1:17" ht="15">
      <c r="A595" s="2" t="s">
        <v>13</v>
      </c>
      <c r="B595" s="2">
        <v>1417.0211644959636</v>
      </c>
      <c r="C595" s="2">
        <v>1203.385638887994</v>
      </c>
      <c r="D595" s="2">
        <v>678.62413572147489</v>
      </c>
      <c r="E595" s="2">
        <v>319.96186070144176</v>
      </c>
      <c r="F595" s="2">
        <v>14.617693329695612</v>
      </c>
      <c r="G595" s="2">
        <v>0.81921897679101674</v>
      </c>
      <c r="H595" s="2">
        <v>35</v>
      </c>
      <c r="I595" s="2">
        <v>25</v>
      </c>
      <c r="J595" s="2">
        <f>(IF(A595='Hybrid Calculator'!$B$6,0,1))^2+((B595-'Hybrid Calculator'!$B$7)/1500)^2+((C595-'Hybrid Calculator'!$B$8)/1300)^2+((D595-'Hybrid Calculator'!$B$9)/800)^2+((E595-'Hybrid Calculator'!$B$10)/350)^2+((F595-'Hybrid Calculator'!$B$11)/30)^2+(G595-'Hybrid Calculator'!$B$12)^2+((H595-'Hybrid Calculator'!$E$14)/IF(A595="Lightning",100,30000))^2+((I595-'Hybrid Calculator'!$E$17)/IF(A595="Lightning",100,30000))^2</f>
        <v>0.39883679246243076</v>
      </c>
      <c r="K595" s="2">
        <f t="shared" si="36"/>
        <v>685</v>
      </c>
      <c r="L595" s="2">
        <f t="shared" si="37"/>
        <v>0</v>
      </c>
      <c r="M595" s="2">
        <f t="shared" si="38"/>
        <v>0</v>
      </c>
      <c r="N595" s="2">
        <v>8.8746784035900195E-3</v>
      </c>
      <c r="O595" s="2">
        <f t="shared" si="39"/>
        <v>0</v>
      </c>
      <c r="P595" s="2">
        <v>0.23618249424936266</v>
      </c>
      <c r="Q595" s="2">
        <v>-4.9997908034961256</v>
      </c>
    </row>
    <row r="596" spans="1:17" ht="15">
      <c r="A596" s="2" t="s">
        <v>13</v>
      </c>
      <c r="B596" s="2">
        <v>1434.9231666186824</v>
      </c>
      <c r="C596" s="2">
        <v>900.41335272835568</v>
      </c>
      <c r="D596" s="2">
        <v>374.2426760494709</v>
      </c>
      <c r="E596" s="2">
        <v>226.73652168130502</v>
      </c>
      <c r="F596" s="2">
        <v>22.763633935712278</v>
      </c>
      <c r="G596" s="2">
        <v>0.799451071897056</v>
      </c>
      <c r="H596" s="2">
        <v>50</v>
      </c>
      <c r="I596" s="2">
        <v>25</v>
      </c>
      <c r="J596" s="2">
        <f>(IF(A596='Hybrid Calculator'!$B$6,0,1))^2+((B596-'Hybrid Calculator'!$B$7)/1500)^2+((C596-'Hybrid Calculator'!$B$8)/1300)^2+((D596-'Hybrid Calculator'!$B$9)/800)^2+((E596-'Hybrid Calculator'!$B$10)/350)^2+((F596-'Hybrid Calculator'!$B$11)/30)^2+(G596-'Hybrid Calculator'!$B$12)^2+((H596-'Hybrid Calculator'!$E$14)/IF(A596="Lightning",100,30000))^2+((I596-'Hybrid Calculator'!$E$17)/IF(A596="Lightning",100,30000))^2</f>
        <v>9.4948413402817067E-2</v>
      </c>
      <c r="K596" s="2">
        <f t="shared" si="36"/>
        <v>188</v>
      </c>
      <c r="L596" s="2">
        <f t="shared" si="37"/>
        <v>0</v>
      </c>
      <c r="M596" s="2">
        <f t="shared" si="38"/>
        <v>0</v>
      </c>
      <c r="N596" s="2">
        <v>-3.6705082928292221E-3</v>
      </c>
      <c r="O596" s="2">
        <f t="shared" si="39"/>
        <v>0</v>
      </c>
      <c r="P596" s="2">
        <v>0.79848647460516986</v>
      </c>
      <c r="Q596" s="2">
        <v>2.7472264794746479</v>
      </c>
    </row>
    <row r="597" spans="1:17" ht="15">
      <c r="A597" s="2" t="s">
        <v>13</v>
      </c>
      <c r="B597" s="2">
        <v>1364.5051076891832</v>
      </c>
      <c r="C597" s="2">
        <v>1249.0749789401889</v>
      </c>
      <c r="D597" s="2">
        <v>524.00898477062583</v>
      </c>
      <c r="E597" s="2">
        <v>329.87657193560153</v>
      </c>
      <c r="F597" s="2">
        <v>17.672792830970138</v>
      </c>
      <c r="G597" s="2">
        <v>0.85580148263834421</v>
      </c>
      <c r="H597" s="2">
        <v>40</v>
      </c>
      <c r="I597" s="2">
        <v>25</v>
      </c>
      <c r="J597" s="2">
        <f>(IF(A597='Hybrid Calculator'!$B$6,0,1))^2+((B597-'Hybrid Calculator'!$B$7)/1500)^2+((C597-'Hybrid Calculator'!$B$8)/1300)^2+((D597-'Hybrid Calculator'!$B$9)/800)^2+((E597-'Hybrid Calculator'!$B$10)/350)^2+((F597-'Hybrid Calculator'!$B$11)/30)^2+(G597-'Hybrid Calculator'!$B$12)^2+((H597-'Hybrid Calculator'!$E$14)/IF(A597="Lightning",100,30000))^2+((I597-'Hybrid Calculator'!$E$17)/IF(A597="Lightning",100,30000))^2</f>
        <v>0.37293360078170051</v>
      </c>
      <c r="K597" s="2">
        <f t="shared" si="36"/>
        <v>671</v>
      </c>
      <c r="L597" s="2">
        <f t="shared" si="37"/>
        <v>0</v>
      </c>
      <c r="M597" s="2">
        <f t="shared" si="38"/>
        <v>0</v>
      </c>
      <c r="N597" s="2">
        <v>2.4547510462605393E-2</v>
      </c>
      <c r="O597" s="2">
        <f t="shared" si="39"/>
        <v>0</v>
      </c>
      <c r="P597" s="2">
        <v>0.35676181894912418</v>
      </c>
      <c r="Q597" s="2">
        <v>-11.848459775860874</v>
      </c>
    </row>
    <row r="598" spans="1:17" ht="15">
      <c r="A598" s="2" t="s">
        <v>13</v>
      </c>
      <c r="B598" s="2">
        <v>1376.6684697009623</v>
      </c>
      <c r="C598" s="2">
        <v>1119.7364908992313</v>
      </c>
      <c r="D598" s="2">
        <v>525.97429249435663</v>
      </c>
      <c r="E598" s="2">
        <v>144.77584881940857</v>
      </c>
      <c r="F598" s="2">
        <v>14.932034494355321</v>
      </c>
      <c r="G598" s="2">
        <v>0.82789612970547755</v>
      </c>
      <c r="H598" s="2">
        <v>40</v>
      </c>
      <c r="I598" s="2">
        <v>25</v>
      </c>
      <c r="J598" s="2">
        <f>(IF(A598='Hybrid Calculator'!$B$6,0,1))^2+((B598-'Hybrid Calculator'!$B$7)/1500)^2+((C598-'Hybrid Calculator'!$B$8)/1300)^2+((D598-'Hybrid Calculator'!$B$9)/800)^2+((E598-'Hybrid Calculator'!$B$10)/350)^2+((F598-'Hybrid Calculator'!$B$11)/30)^2+(G598-'Hybrid Calculator'!$B$12)^2+((H598-'Hybrid Calculator'!$E$14)/IF(A598="Lightning",100,30000))^2+((I598-'Hybrid Calculator'!$E$17)/IF(A598="Lightning",100,30000))^2</f>
        <v>6.9574297010630198E-2</v>
      </c>
      <c r="K598" s="2">
        <f t="shared" si="36"/>
        <v>111</v>
      </c>
      <c r="L598" s="2">
        <f t="shared" si="37"/>
        <v>0</v>
      </c>
      <c r="M598" s="2">
        <f t="shared" si="38"/>
        <v>0</v>
      </c>
      <c r="N598" s="2">
        <v>1.0862552345940912E-2</v>
      </c>
      <c r="O598" s="2">
        <f t="shared" si="39"/>
        <v>0</v>
      </c>
      <c r="P598" s="2">
        <v>1.3486254095477079</v>
      </c>
      <c r="Q598" s="2">
        <v>1.6251127630757765</v>
      </c>
    </row>
    <row r="599" spans="1:17" ht="15">
      <c r="A599" s="2" t="s">
        <v>13</v>
      </c>
      <c r="B599" s="2">
        <v>1395.9274816908874</v>
      </c>
      <c r="C599" s="2">
        <v>1149.7774542542174</v>
      </c>
      <c r="D599" s="2">
        <v>577.99180531874299</v>
      </c>
      <c r="E599" s="2">
        <v>176.35960613377392</v>
      </c>
      <c r="F599" s="2">
        <v>10.852679566014558</v>
      </c>
      <c r="G599" s="2">
        <v>0.83342582295183099</v>
      </c>
      <c r="H599" s="2">
        <v>40</v>
      </c>
      <c r="I599" s="2">
        <v>25</v>
      </c>
      <c r="J599" s="2">
        <f>(IF(A599='Hybrid Calculator'!$B$6,0,1))^2+((B599-'Hybrid Calculator'!$B$7)/1500)^2+((C599-'Hybrid Calculator'!$B$8)/1300)^2+((D599-'Hybrid Calculator'!$B$9)/800)^2+((E599-'Hybrid Calculator'!$B$10)/350)^2+((F599-'Hybrid Calculator'!$B$11)/30)^2+(G599-'Hybrid Calculator'!$B$12)^2+((H599-'Hybrid Calculator'!$E$14)/IF(A599="Lightning",100,30000))^2+((I599-'Hybrid Calculator'!$E$17)/IF(A599="Lightning",100,30000))^2</f>
        <v>0.14388713918316084</v>
      </c>
      <c r="K599" s="2">
        <f t="shared" si="36"/>
        <v>312</v>
      </c>
      <c r="L599" s="2">
        <f t="shared" si="37"/>
        <v>0</v>
      </c>
      <c r="M599" s="2">
        <f t="shared" si="38"/>
        <v>0</v>
      </c>
      <c r="N599" s="2">
        <v>2.0148668642121503E-2</v>
      </c>
      <c r="O599" s="2">
        <f t="shared" si="39"/>
        <v>0</v>
      </c>
      <c r="P599" s="2">
        <v>0.37074112653420599</v>
      </c>
      <c r="Q599" s="2">
        <v>3.170147711299478</v>
      </c>
    </row>
    <row r="600" spans="1:17" ht="15">
      <c r="A600" s="2" t="s">
        <v>13</v>
      </c>
      <c r="B600" s="2">
        <v>1350.8919203421101</v>
      </c>
      <c r="C600" s="2">
        <v>1072.8431358584203</v>
      </c>
      <c r="D600" s="2">
        <v>580.25164268910885</v>
      </c>
      <c r="E600" s="2">
        <v>148.73392377747223</v>
      </c>
      <c r="F600" s="2">
        <v>20.627356735058129</v>
      </c>
      <c r="G600" s="2">
        <v>0.85415473920060325</v>
      </c>
      <c r="H600" s="2">
        <v>45</v>
      </c>
      <c r="I600" s="2">
        <v>25</v>
      </c>
      <c r="J600" s="2">
        <f>(IF(A600='Hybrid Calculator'!$B$6,0,1))^2+((B600-'Hybrid Calculator'!$B$7)/1500)^2+((C600-'Hybrid Calculator'!$B$8)/1300)^2+((D600-'Hybrid Calculator'!$B$9)/800)^2+((E600-'Hybrid Calculator'!$B$10)/350)^2+((F600-'Hybrid Calculator'!$B$11)/30)^2+(G600-'Hybrid Calculator'!$B$12)^2+((H600-'Hybrid Calculator'!$E$14)/IF(A600="Lightning",100,30000))^2+((I600-'Hybrid Calculator'!$E$17)/IF(A600="Lightning",100,30000))^2</f>
        <v>5.0596090706803584E-2</v>
      </c>
      <c r="K600" s="2">
        <f t="shared" si="36"/>
        <v>54</v>
      </c>
      <c r="L600" s="2">
        <f t="shared" si="37"/>
        <v>0</v>
      </c>
      <c r="M600" s="2">
        <f t="shared" si="38"/>
        <v>0</v>
      </c>
      <c r="N600" s="2">
        <v>-4.2752658695222046E-3</v>
      </c>
      <c r="O600" s="2">
        <f t="shared" si="39"/>
        <v>0</v>
      </c>
      <c r="P600" s="2">
        <v>0.44138143834497612</v>
      </c>
      <c r="Q600" s="2">
        <v>-5.4354578539725935</v>
      </c>
    </row>
    <row r="601" spans="1:17" ht="15">
      <c r="A601" s="2" t="s">
        <v>13</v>
      </c>
      <c r="B601" s="2">
        <v>1436.4712712704204</v>
      </c>
      <c r="C601" s="2">
        <v>938.9602339360863</v>
      </c>
      <c r="D601" s="2">
        <v>434.20716701075435</v>
      </c>
      <c r="E601" s="2">
        <v>223.18485313560814</v>
      </c>
      <c r="F601" s="2">
        <v>14.748063638340682</v>
      </c>
      <c r="G601" s="2">
        <v>0.80852169590070844</v>
      </c>
      <c r="H601" s="2">
        <v>45</v>
      </c>
      <c r="I601" s="2">
        <v>25</v>
      </c>
      <c r="J601" s="2">
        <f>(IF(A601='Hybrid Calculator'!$B$6,0,1))^2+((B601-'Hybrid Calculator'!$B$7)/1500)^2+((C601-'Hybrid Calculator'!$B$8)/1300)^2+((D601-'Hybrid Calculator'!$B$9)/800)^2+((E601-'Hybrid Calculator'!$B$10)/350)^2+((F601-'Hybrid Calculator'!$B$11)/30)^2+(G601-'Hybrid Calculator'!$B$12)^2+((H601-'Hybrid Calculator'!$E$14)/IF(A601="Lightning",100,30000))^2+((I601-'Hybrid Calculator'!$E$17)/IF(A601="Lightning",100,30000))^2</f>
        <v>7.3500394639178498E-2</v>
      </c>
      <c r="K601" s="2">
        <f t="shared" si="36"/>
        <v>119</v>
      </c>
      <c r="L601" s="2">
        <f t="shared" si="37"/>
        <v>0</v>
      </c>
      <c r="M601" s="2">
        <f t="shared" si="38"/>
        <v>0</v>
      </c>
      <c r="N601" s="2">
        <v>-8.0653661084495454E-4</v>
      </c>
      <c r="O601" s="2">
        <f t="shared" si="39"/>
        <v>0</v>
      </c>
      <c r="P601" s="2">
        <v>0.82036031037046087</v>
      </c>
      <c r="Q601" s="2">
        <v>0.32753400070873795</v>
      </c>
    </row>
    <row r="602" spans="1:17" ht="15">
      <c r="A602" s="2" t="s">
        <v>13</v>
      </c>
      <c r="B602" s="2">
        <v>1474.4706020224839</v>
      </c>
      <c r="C602" s="2">
        <v>1095.0472410651855</v>
      </c>
      <c r="D602" s="2">
        <v>357.61736016720533</v>
      </c>
      <c r="E602" s="2">
        <v>193.03719162242487</v>
      </c>
      <c r="F602" s="2">
        <v>11.555403277277946</v>
      </c>
      <c r="G602" s="2">
        <v>0.84992511151591321</v>
      </c>
      <c r="H602" s="2">
        <v>45</v>
      </c>
      <c r="I602" s="2">
        <v>25</v>
      </c>
      <c r="J602" s="2">
        <f>(IF(A602='Hybrid Calculator'!$B$6,0,1))^2+((B602-'Hybrid Calculator'!$B$7)/1500)^2+((C602-'Hybrid Calculator'!$B$8)/1300)^2+((D602-'Hybrid Calculator'!$B$9)/800)^2+((E602-'Hybrid Calculator'!$B$10)/350)^2+((F602-'Hybrid Calculator'!$B$11)/30)^2+(G602-'Hybrid Calculator'!$B$12)^2+((H602-'Hybrid Calculator'!$E$14)/IF(A602="Lightning",100,30000))^2+((I602-'Hybrid Calculator'!$E$17)/IF(A602="Lightning",100,30000))^2</f>
        <v>0.14039696942983693</v>
      </c>
      <c r="K602" s="2">
        <f t="shared" si="36"/>
        <v>304</v>
      </c>
      <c r="L602" s="2">
        <f t="shared" si="37"/>
        <v>0</v>
      </c>
      <c r="M602" s="2">
        <f t="shared" si="38"/>
        <v>0</v>
      </c>
      <c r="N602" s="2">
        <v>-1.1398223320224776E-3</v>
      </c>
      <c r="O602" s="2">
        <f t="shared" si="39"/>
        <v>0</v>
      </c>
      <c r="P602" s="2">
        <v>1.143752153434356</v>
      </c>
      <c r="Q602" s="2">
        <v>0.79674950696062297</v>
      </c>
    </row>
    <row r="603" spans="1:17" ht="15">
      <c r="A603" s="2" t="s">
        <v>13</v>
      </c>
      <c r="B603" s="2">
        <v>1392.7085426752456</v>
      </c>
      <c r="C603" s="2">
        <v>1130.4290724685416</v>
      </c>
      <c r="D603" s="2">
        <v>384.02761938050389</v>
      </c>
      <c r="E603" s="2">
        <v>278.485326487571</v>
      </c>
      <c r="F603" s="2">
        <v>16.543807125184685</v>
      </c>
      <c r="G603" s="2">
        <v>0.83374536549206824</v>
      </c>
      <c r="H603" s="2">
        <v>40</v>
      </c>
      <c r="I603" s="2">
        <v>25</v>
      </c>
      <c r="J603" s="2">
        <f>(IF(A603='Hybrid Calculator'!$B$6,0,1))^2+((B603-'Hybrid Calculator'!$B$7)/1500)^2+((C603-'Hybrid Calculator'!$B$8)/1300)^2+((D603-'Hybrid Calculator'!$B$9)/800)^2+((E603-'Hybrid Calculator'!$B$10)/350)^2+((F603-'Hybrid Calculator'!$B$11)/30)^2+(G603-'Hybrid Calculator'!$B$12)^2+((H603-'Hybrid Calculator'!$E$14)/IF(A603="Lightning",100,30000))^2+((I603-'Hybrid Calculator'!$E$17)/IF(A603="Lightning",100,30000))^2</f>
        <v>0.21721515606912925</v>
      </c>
      <c r="K603" s="2">
        <f t="shared" si="36"/>
        <v>482</v>
      </c>
      <c r="L603" s="2">
        <f t="shared" si="37"/>
        <v>0</v>
      </c>
      <c r="M603" s="2">
        <f t="shared" si="38"/>
        <v>0</v>
      </c>
      <c r="N603" s="2">
        <v>-1.4752856075199716E-3</v>
      </c>
      <c r="O603" s="2">
        <f t="shared" si="39"/>
        <v>0</v>
      </c>
      <c r="P603" s="2">
        <v>0.74018450107318756</v>
      </c>
      <c r="Q603" s="2">
        <v>1.8660730839596908</v>
      </c>
    </row>
    <row r="604" spans="1:17" ht="15">
      <c r="A604" s="2" t="s">
        <v>13</v>
      </c>
      <c r="B604" s="2">
        <v>1492.0084081124514</v>
      </c>
      <c r="C604" s="2">
        <v>1167.3354879836552</v>
      </c>
      <c r="D604" s="2">
        <v>477.12626215070486</v>
      </c>
      <c r="E604" s="2">
        <v>164.9584944662638</v>
      </c>
      <c r="F604" s="2">
        <v>16.537623684853315</v>
      </c>
      <c r="G604" s="2">
        <v>0.84491030957782642</v>
      </c>
      <c r="H604" s="2">
        <v>40</v>
      </c>
      <c r="I604" s="2">
        <v>25</v>
      </c>
      <c r="J604" s="2">
        <f>(IF(A604='Hybrid Calculator'!$B$6,0,1))^2+((B604-'Hybrid Calculator'!$B$7)/1500)^2+((C604-'Hybrid Calculator'!$B$8)/1300)^2+((D604-'Hybrid Calculator'!$B$9)/800)^2+((E604-'Hybrid Calculator'!$B$10)/350)^2+((F604-'Hybrid Calculator'!$B$11)/30)^2+(G604-'Hybrid Calculator'!$B$12)^2+((H604-'Hybrid Calculator'!$E$14)/IF(A604="Lightning",100,30000))^2+((I604-'Hybrid Calculator'!$E$17)/IF(A604="Lightning",100,30000))^2</f>
        <v>7.9125903727551933E-2</v>
      </c>
      <c r="K604" s="2">
        <f t="shared" si="36"/>
        <v>135</v>
      </c>
      <c r="L604" s="2">
        <f t="shared" si="37"/>
        <v>0</v>
      </c>
      <c r="M604" s="2">
        <f t="shared" si="38"/>
        <v>0</v>
      </c>
      <c r="N604" s="2">
        <v>9.1189798046031889E-3</v>
      </c>
      <c r="O604" s="2">
        <f t="shared" si="39"/>
        <v>0</v>
      </c>
      <c r="P604" s="2">
        <v>0.31341839965674723</v>
      </c>
      <c r="Q604" s="2">
        <v>2.6818607882366905</v>
      </c>
    </row>
    <row r="605" spans="1:17" ht="15">
      <c r="A605" s="2" t="s">
        <v>13</v>
      </c>
      <c r="B605" s="2">
        <v>1398.0148129281588</v>
      </c>
      <c r="C605" s="2">
        <v>998.2309042243287</v>
      </c>
      <c r="D605" s="2">
        <v>749.5681126601994</v>
      </c>
      <c r="E605" s="2">
        <v>84.470567218959332</v>
      </c>
      <c r="F605" s="2">
        <v>23.832707571331412</v>
      </c>
      <c r="G605" s="2">
        <v>0.82424802761059257</v>
      </c>
      <c r="H605" s="2">
        <v>40</v>
      </c>
      <c r="I605" s="2">
        <v>25</v>
      </c>
      <c r="J605" s="2">
        <f>(IF(A605='Hybrid Calculator'!$B$6,0,1))^2+((B605-'Hybrid Calculator'!$B$7)/1500)^2+((C605-'Hybrid Calculator'!$B$8)/1300)^2+((D605-'Hybrid Calculator'!$B$9)/800)^2+((E605-'Hybrid Calculator'!$B$10)/350)^2+((F605-'Hybrid Calculator'!$B$11)/30)^2+(G605-'Hybrid Calculator'!$B$12)^2+((H605-'Hybrid Calculator'!$E$14)/IF(A605="Lightning",100,30000))^2+((I605-'Hybrid Calculator'!$E$17)/IF(A605="Lightning",100,30000))^2</f>
        <v>0.18731369385529303</v>
      </c>
      <c r="K605" s="2">
        <f t="shared" si="36"/>
        <v>419</v>
      </c>
      <c r="L605" s="2">
        <f t="shared" si="37"/>
        <v>0</v>
      </c>
      <c r="M605" s="2">
        <f t="shared" si="38"/>
        <v>0</v>
      </c>
      <c r="N605" s="2">
        <v>4.7912908768312779E-3</v>
      </c>
      <c r="O605" s="2">
        <f t="shared" si="39"/>
        <v>0</v>
      </c>
      <c r="P605" s="2">
        <v>0.82439260150119509</v>
      </c>
      <c r="Q605" s="2">
        <v>-6.1919660699779797</v>
      </c>
    </row>
    <row r="606" spans="1:17" ht="15">
      <c r="A606" s="2" t="s">
        <v>13</v>
      </c>
      <c r="B606" s="2">
        <v>1441.0357807064429</v>
      </c>
      <c r="C606" s="2">
        <v>679.25921372370794</v>
      </c>
      <c r="D606" s="2">
        <v>686.10316142439842</v>
      </c>
      <c r="E606" s="2">
        <v>210.7482099509798</v>
      </c>
      <c r="F606" s="2">
        <v>27.640337011776865</v>
      </c>
      <c r="G606" s="2">
        <v>0.83186643773457036</v>
      </c>
      <c r="H606" s="2">
        <v>45</v>
      </c>
      <c r="I606" s="2">
        <v>25</v>
      </c>
      <c r="J606" s="2">
        <f>(IF(A606='Hybrid Calculator'!$B$6,0,1))^2+((B606-'Hybrid Calculator'!$B$7)/1500)^2+((C606-'Hybrid Calculator'!$B$8)/1300)^2+((D606-'Hybrid Calculator'!$B$9)/800)^2+((E606-'Hybrid Calculator'!$B$10)/350)^2+((F606-'Hybrid Calculator'!$B$11)/30)^2+(G606-'Hybrid Calculator'!$B$12)^2+((H606-'Hybrid Calculator'!$E$14)/IF(A606="Lightning",100,30000))^2+((I606-'Hybrid Calculator'!$E$17)/IF(A606="Lightning",100,30000))^2</f>
        <v>0.19707516752666251</v>
      </c>
      <c r="K606" s="2">
        <f t="shared" si="36"/>
        <v>440</v>
      </c>
      <c r="L606" s="2">
        <f t="shared" si="37"/>
        <v>0</v>
      </c>
      <c r="M606" s="2">
        <f t="shared" si="38"/>
        <v>0</v>
      </c>
      <c r="N606" s="2">
        <v>-1.2368133933518433E-2</v>
      </c>
      <c r="O606" s="2">
        <f t="shared" si="39"/>
        <v>0</v>
      </c>
      <c r="P606" s="2">
        <v>-0.19873940189280148</v>
      </c>
      <c r="Q606" s="2">
        <v>-17.04262188486814</v>
      </c>
    </row>
    <row r="607" spans="1:17" ht="15">
      <c r="A607" s="2" t="s">
        <v>13</v>
      </c>
      <c r="B607" s="2">
        <v>1424.4108697283082</v>
      </c>
      <c r="C607" s="2">
        <v>766.16040170192719</v>
      </c>
      <c r="D607" s="2">
        <v>378.36128165945411</v>
      </c>
      <c r="E607" s="2">
        <v>177.98836999107152</v>
      </c>
      <c r="F607" s="2">
        <v>21.250721575226635</v>
      </c>
      <c r="G607" s="2">
        <v>0.84893840755335992</v>
      </c>
      <c r="H607" s="2">
        <v>55</v>
      </c>
      <c r="I607" s="2">
        <v>25</v>
      </c>
      <c r="J607" s="2">
        <f>(IF(A607='Hybrid Calculator'!$B$6,0,1))^2+((B607-'Hybrid Calculator'!$B$7)/1500)^2+((C607-'Hybrid Calculator'!$B$8)/1300)^2+((D607-'Hybrid Calculator'!$B$9)/800)^2+((E607-'Hybrid Calculator'!$B$10)/350)^2+((F607-'Hybrid Calculator'!$B$11)/30)^2+(G607-'Hybrid Calculator'!$B$12)^2+((H607-'Hybrid Calculator'!$E$14)/IF(A607="Lightning",100,30000))^2+((I607-'Hybrid Calculator'!$E$17)/IF(A607="Lightning",100,30000))^2</f>
        <v>4.5417391405266919E-2</v>
      </c>
      <c r="K607" s="2">
        <f t="shared" si="36"/>
        <v>44</v>
      </c>
      <c r="L607" s="2">
        <f t="shared" si="37"/>
        <v>0</v>
      </c>
      <c r="M607" s="2">
        <f t="shared" si="38"/>
        <v>0</v>
      </c>
      <c r="N607" s="2">
        <v>-1.1136536733522773E-2</v>
      </c>
      <c r="O607" s="2">
        <f t="shared" si="39"/>
        <v>0</v>
      </c>
      <c r="P607" s="2">
        <v>-0.42161977154560759</v>
      </c>
      <c r="Q607" s="2">
        <v>2.0740574270369052</v>
      </c>
    </row>
    <row r="608" spans="1:17" ht="15">
      <c r="A608" s="2" t="s">
        <v>13</v>
      </c>
      <c r="B608" s="2">
        <v>1365.4822706244886</v>
      </c>
      <c r="C608" s="2">
        <v>868.32616546889767</v>
      </c>
      <c r="D608" s="2">
        <v>727.85926107317209</v>
      </c>
      <c r="E608" s="2">
        <v>255.60313182184473</v>
      </c>
      <c r="F608" s="2">
        <v>17.857121938839555</v>
      </c>
      <c r="G608" s="2">
        <v>0.81255508917616681</v>
      </c>
      <c r="H608" s="2">
        <v>40</v>
      </c>
      <c r="I608" s="2">
        <v>25</v>
      </c>
      <c r="J608" s="2">
        <f>(IF(A608='Hybrid Calculator'!$B$6,0,1))^2+((B608-'Hybrid Calculator'!$B$7)/1500)^2+((C608-'Hybrid Calculator'!$B$8)/1300)^2+((D608-'Hybrid Calculator'!$B$9)/800)^2+((E608-'Hybrid Calculator'!$B$10)/350)^2+((F608-'Hybrid Calculator'!$B$11)/30)^2+(G608-'Hybrid Calculator'!$B$12)^2+((H608-'Hybrid Calculator'!$E$14)/IF(A608="Lightning",100,30000))^2+((I608-'Hybrid Calculator'!$E$17)/IF(A608="Lightning",100,30000))^2</f>
        <v>0.18444941361884865</v>
      </c>
      <c r="K608" s="2">
        <f t="shared" si="36"/>
        <v>411</v>
      </c>
      <c r="L608" s="2">
        <f t="shared" si="37"/>
        <v>0</v>
      </c>
      <c r="M608" s="2">
        <f t="shared" si="38"/>
        <v>0</v>
      </c>
      <c r="N608" s="2">
        <v>-3.0402660512756086E-3</v>
      </c>
      <c r="O608" s="2">
        <f t="shared" si="39"/>
        <v>0</v>
      </c>
      <c r="P608" s="2">
        <v>0.57481586804268403</v>
      </c>
      <c r="Q608" s="2">
        <v>-0.76838083324423678</v>
      </c>
    </row>
    <row r="609" spans="1:17" ht="15">
      <c r="A609" s="2" t="s">
        <v>13</v>
      </c>
      <c r="B609" s="2">
        <v>1395.6355908536352</v>
      </c>
      <c r="C609" s="2">
        <v>1108.1953200744465</v>
      </c>
      <c r="D609" s="2">
        <v>638.36375409737229</v>
      </c>
      <c r="E609" s="2">
        <v>312.63507359661162</v>
      </c>
      <c r="F609" s="2">
        <v>26.030794598627836</v>
      </c>
      <c r="G609" s="2">
        <v>0.80773156127426782</v>
      </c>
      <c r="H609" s="2">
        <v>35</v>
      </c>
      <c r="I609" s="2">
        <v>25</v>
      </c>
      <c r="J609" s="2">
        <f>(IF(A609='Hybrid Calculator'!$B$6,0,1))^2+((B609-'Hybrid Calculator'!$B$7)/1500)^2+((C609-'Hybrid Calculator'!$B$8)/1300)^2+((D609-'Hybrid Calculator'!$B$9)/800)^2+((E609-'Hybrid Calculator'!$B$10)/350)^2+((F609-'Hybrid Calculator'!$B$11)/30)^2+(G609-'Hybrid Calculator'!$B$12)^2+((H609-'Hybrid Calculator'!$E$14)/IF(A609="Lightning",100,30000))^2+((I609-'Hybrid Calculator'!$E$17)/IF(A609="Lightning",100,30000))^2</f>
        <v>0.37132774068926749</v>
      </c>
      <c r="K609" s="2">
        <f t="shared" si="36"/>
        <v>669</v>
      </c>
      <c r="L609" s="2">
        <f t="shared" si="37"/>
        <v>0</v>
      </c>
      <c r="M609" s="2">
        <f t="shared" si="38"/>
        <v>0</v>
      </c>
      <c r="N609" s="2">
        <v>1.1403722756258672E-2</v>
      </c>
      <c r="O609" s="2">
        <f t="shared" si="39"/>
        <v>0</v>
      </c>
      <c r="P609" s="2">
        <v>-9.8956243322454895E-2</v>
      </c>
      <c r="Q609" s="2">
        <v>-16.191393067471608</v>
      </c>
    </row>
    <row r="610" spans="1:17" ht="15">
      <c r="A610" s="2" t="s">
        <v>13</v>
      </c>
      <c r="B610" s="2">
        <v>1372.7899871533737</v>
      </c>
      <c r="C610" s="2">
        <v>1201.3655492686667</v>
      </c>
      <c r="D610" s="2">
        <v>654.2096059769392</v>
      </c>
      <c r="E610" s="2">
        <v>198.00997116370127</v>
      </c>
      <c r="F610" s="2">
        <v>17.351606269367039</v>
      </c>
      <c r="G610" s="2">
        <v>0.85242413409752771</v>
      </c>
      <c r="H610" s="2">
        <v>35</v>
      </c>
      <c r="I610" s="2">
        <v>25</v>
      </c>
      <c r="J610" s="2">
        <f>(IF(A610='Hybrid Calculator'!$B$6,0,1))^2+((B610-'Hybrid Calculator'!$B$7)/1500)^2+((C610-'Hybrid Calculator'!$B$8)/1300)^2+((D610-'Hybrid Calculator'!$B$9)/800)^2+((E610-'Hybrid Calculator'!$B$10)/350)^2+((F610-'Hybrid Calculator'!$B$11)/30)^2+(G610-'Hybrid Calculator'!$B$12)^2+((H610-'Hybrid Calculator'!$E$14)/IF(A610="Lightning",100,30000))^2+((I610-'Hybrid Calculator'!$E$17)/IF(A610="Lightning",100,30000))^2</f>
        <v>0.15525326386210239</v>
      </c>
      <c r="K610" s="2">
        <f t="shared" si="36"/>
        <v>342</v>
      </c>
      <c r="L610" s="2">
        <f t="shared" si="37"/>
        <v>0</v>
      </c>
      <c r="M610" s="2">
        <f t="shared" si="38"/>
        <v>0</v>
      </c>
      <c r="N610" s="2">
        <v>5.7956347914085438E-3</v>
      </c>
      <c r="O610" s="2">
        <f t="shared" si="39"/>
        <v>0</v>
      </c>
      <c r="P610" s="2">
        <v>1.6897117297642765</v>
      </c>
      <c r="Q610" s="2">
        <v>-1.8333788511522471</v>
      </c>
    </row>
    <row r="611" spans="1:17" ht="15">
      <c r="A611" s="2" t="s">
        <v>13</v>
      </c>
      <c r="B611" s="2">
        <v>1389.571908430662</v>
      </c>
      <c r="C611" s="2">
        <v>670.59322227723897</v>
      </c>
      <c r="D611" s="2">
        <v>711.08012525364757</v>
      </c>
      <c r="E611" s="2">
        <v>198.69688553269953</v>
      </c>
      <c r="F611" s="2">
        <v>29.331931270193309</v>
      </c>
      <c r="G611" s="2">
        <v>0.79028958974406127</v>
      </c>
      <c r="H611" s="2">
        <v>45</v>
      </c>
      <c r="I611" s="2">
        <v>25</v>
      </c>
      <c r="J611" s="2">
        <f>(IF(A611='Hybrid Calculator'!$B$6,0,1))^2+((B611-'Hybrid Calculator'!$B$7)/1500)^2+((C611-'Hybrid Calculator'!$B$8)/1300)^2+((D611-'Hybrid Calculator'!$B$9)/800)^2+((E611-'Hybrid Calculator'!$B$10)/350)^2+((F611-'Hybrid Calculator'!$B$11)/30)^2+(G611-'Hybrid Calculator'!$B$12)^2+((H611-'Hybrid Calculator'!$E$14)/IF(A611="Lightning",100,30000))^2+((I611-'Hybrid Calculator'!$E$17)/IF(A611="Lightning",100,30000))^2</f>
        <v>0.24232863872064089</v>
      </c>
      <c r="K611" s="2">
        <f t="shared" si="36"/>
        <v>525</v>
      </c>
      <c r="L611" s="2">
        <f t="shared" si="37"/>
        <v>0</v>
      </c>
      <c r="M611" s="2">
        <f t="shared" si="38"/>
        <v>0</v>
      </c>
      <c r="N611" s="2">
        <v>-9.6639893154613077E-3</v>
      </c>
      <c r="O611" s="2">
        <f t="shared" si="39"/>
        <v>0</v>
      </c>
      <c r="P611" s="2">
        <v>-0.10844607183283017</v>
      </c>
      <c r="Q611" s="2">
        <v>-17.718431065803316</v>
      </c>
    </row>
    <row r="612" spans="1:17" ht="15">
      <c r="A612" s="2" t="s">
        <v>13</v>
      </c>
      <c r="B612" s="2">
        <v>1384.4513206277043</v>
      </c>
      <c r="C612" s="2">
        <v>1119.4714432465844</v>
      </c>
      <c r="D612" s="2">
        <v>631.54720198363066</v>
      </c>
      <c r="E612" s="2">
        <v>111.75561997340992</v>
      </c>
      <c r="F612" s="2">
        <v>15.24708453565836</v>
      </c>
      <c r="G612" s="2">
        <v>0.81093703860649846</v>
      </c>
      <c r="H612" s="2">
        <v>40</v>
      </c>
      <c r="I612" s="2">
        <v>25</v>
      </c>
      <c r="J612" s="2">
        <f>(IF(A612='Hybrid Calculator'!$B$6,0,1))^2+((B612-'Hybrid Calculator'!$B$7)/1500)^2+((C612-'Hybrid Calculator'!$B$8)/1300)^2+((D612-'Hybrid Calculator'!$B$9)/800)^2+((E612-'Hybrid Calculator'!$B$10)/350)^2+((F612-'Hybrid Calculator'!$B$11)/30)^2+(G612-'Hybrid Calculator'!$B$12)^2+((H612-'Hybrid Calculator'!$E$14)/IF(A612="Lightning",100,30000))^2+((I612-'Hybrid Calculator'!$E$17)/IF(A612="Lightning",100,30000))^2</f>
        <v>0.10451583865367445</v>
      </c>
      <c r="K612" s="2">
        <f t="shared" si="36"/>
        <v>216</v>
      </c>
      <c r="L612" s="2">
        <f t="shared" si="37"/>
        <v>0</v>
      </c>
      <c r="M612" s="2">
        <f t="shared" si="38"/>
        <v>0</v>
      </c>
      <c r="N612" s="2">
        <v>1.1886201941597063E-2</v>
      </c>
      <c r="O612" s="2">
        <f t="shared" si="39"/>
        <v>0</v>
      </c>
      <c r="P612" s="2">
        <v>1.4580909448718842</v>
      </c>
      <c r="Q612" s="2">
        <v>-7.1353976950488232</v>
      </c>
    </row>
    <row r="613" spans="1:17" ht="15">
      <c r="A613" s="2" t="s">
        <v>13</v>
      </c>
      <c r="B613" s="2">
        <v>1496.7136073042639</v>
      </c>
      <c r="C613" s="2">
        <v>1044.6360781555995</v>
      </c>
      <c r="D613" s="2">
        <v>640.11454256251454</v>
      </c>
      <c r="E613" s="2">
        <v>207.1162866614759</v>
      </c>
      <c r="F613" s="2">
        <v>12.054352401290089</v>
      </c>
      <c r="G613" s="2">
        <v>0.82221353159751742</v>
      </c>
      <c r="H613" s="2">
        <v>35</v>
      </c>
      <c r="I613" s="2">
        <v>25</v>
      </c>
      <c r="J613" s="2">
        <f>(IF(A613='Hybrid Calculator'!$B$6,0,1))^2+((B613-'Hybrid Calculator'!$B$7)/1500)^2+((C613-'Hybrid Calculator'!$B$8)/1300)^2+((D613-'Hybrid Calculator'!$B$9)/800)^2+((E613-'Hybrid Calculator'!$B$10)/350)^2+((F613-'Hybrid Calculator'!$B$11)/30)^2+(G613-'Hybrid Calculator'!$B$12)^2+((H613-'Hybrid Calculator'!$E$14)/IF(A613="Lightning",100,30000))^2+((I613-'Hybrid Calculator'!$E$17)/IF(A613="Lightning",100,30000))^2</f>
        <v>0.15067525010550425</v>
      </c>
      <c r="K613" s="2">
        <f t="shared" si="36"/>
        <v>329</v>
      </c>
      <c r="L613" s="2">
        <f t="shared" si="37"/>
        <v>0</v>
      </c>
      <c r="M613" s="2">
        <f t="shared" si="38"/>
        <v>0</v>
      </c>
      <c r="N613" s="2">
        <v>1.2605395348791015E-2</v>
      </c>
      <c r="O613" s="2">
        <f t="shared" si="39"/>
        <v>0</v>
      </c>
      <c r="P613" s="2">
        <v>0.89542212149993361</v>
      </c>
      <c r="Q613" s="2">
        <v>-0.18225799602896586</v>
      </c>
    </row>
    <row r="614" spans="1:17" ht="15">
      <c r="A614" s="2" t="s">
        <v>13</v>
      </c>
      <c r="B614" s="2">
        <v>1486.170971696265</v>
      </c>
      <c r="C614" s="2">
        <v>1128.9826598134823</v>
      </c>
      <c r="D614" s="2">
        <v>390.16628861427307</v>
      </c>
      <c r="E614" s="2">
        <v>258.73928876360878</v>
      </c>
      <c r="F614" s="2">
        <v>14.480869042687118</v>
      </c>
      <c r="G614" s="2">
        <v>0.8082533723837696</v>
      </c>
      <c r="H614" s="2">
        <v>40</v>
      </c>
      <c r="I614" s="2">
        <v>25</v>
      </c>
      <c r="J614" s="2">
        <f>(IF(A614='Hybrid Calculator'!$B$6,0,1))^2+((B614-'Hybrid Calculator'!$B$7)/1500)^2+((C614-'Hybrid Calculator'!$B$8)/1300)^2+((D614-'Hybrid Calculator'!$B$9)/800)^2+((E614-'Hybrid Calculator'!$B$10)/350)^2+((F614-'Hybrid Calculator'!$B$11)/30)^2+(G614-'Hybrid Calculator'!$B$12)^2+((H614-'Hybrid Calculator'!$E$14)/IF(A614="Lightning",100,30000))^2+((I614-'Hybrid Calculator'!$E$17)/IF(A614="Lightning",100,30000))^2</f>
        <v>0.19117680190706809</v>
      </c>
      <c r="K614" s="2">
        <f t="shared" si="36"/>
        <v>427</v>
      </c>
      <c r="L614" s="2">
        <f t="shared" si="37"/>
        <v>0</v>
      </c>
      <c r="M614" s="2">
        <f t="shared" si="38"/>
        <v>0</v>
      </c>
      <c r="N614" s="2">
        <v>1.7825292351653532E-2</v>
      </c>
      <c r="O614" s="2">
        <f t="shared" si="39"/>
        <v>0</v>
      </c>
      <c r="P614" s="2">
        <v>1.5206499164380318</v>
      </c>
      <c r="Q614" s="2">
        <v>-2.9272841617698759</v>
      </c>
    </row>
    <row r="615" spans="1:17" ht="15">
      <c r="A615" s="2" t="s">
        <v>13</v>
      </c>
      <c r="B615" s="2">
        <v>1372.1465834300034</v>
      </c>
      <c r="C615" s="2">
        <v>717.84076327458024</v>
      </c>
      <c r="D615" s="2">
        <v>657.65157109126449</v>
      </c>
      <c r="E615" s="2">
        <v>221.12367259804159</v>
      </c>
      <c r="F615" s="2">
        <v>24.733045858796686</v>
      </c>
      <c r="G615" s="2">
        <v>0.81020966486074031</v>
      </c>
      <c r="H615" s="2">
        <v>45</v>
      </c>
      <c r="I615" s="2">
        <v>25</v>
      </c>
      <c r="J615" s="2">
        <f>(IF(A615='Hybrid Calculator'!$B$6,0,1))^2+((B615-'Hybrid Calculator'!$B$7)/1500)^2+((C615-'Hybrid Calculator'!$B$8)/1300)^2+((D615-'Hybrid Calculator'!$B$9)/800)^2+((E615-'Hybrid Calculator'!$B$10)/350)^2+((F615-'Hybrid Calculator'!$B$11)/30)^2+(G615-'Hybrid Calculator'!$B$12)^2+((H615-'Hybrid Calculator'!$E$14)/IF(A615="Lightning",100,30000))^2+((I615-'Hybrid Calculator'!$E$17)/IF(A615="Lightning",100,30000))^2</f>
        <v>0.13746887838726091</v>
      </c>
      <c r="K615" s="2">
        <f t="shared" si="36"/>
        <v>297</v>
      </c>
      <c r="L615" s="2">
        <f t="shared" si="37"/>
        <v>0</v>
      </c>
      <c r="M615" s="2">
        <f t="shared" si="38"/>
        <v>0</v>
      </c>
      <c r="N615" s="2">
        <v>-7.240842977567663E-3</v>
      </c>
      <c r="O615" s="2">
        <f t="shared" si="39"/>
        <v>0</v>
      </c>
      <c r="P615" s="2">
        <v>-1.0402780513379142</v>
      </c>
      <c r="Q615" s="2">
        <v>-2.7547007258410758</v>
      </c>
    </row>
    <row r="616" spans="1:17" ht="15">
      <c r="A616" s="2" t="s">
        <v>13</v>
      </c>
      <c r="B616" s="2">
        <v>1482.7574422582984</v>
      </c>
      <c r="C616" s="2">
        <v>890.26915695285425</v>
      </c>
      <c r="D616" s="2">
        <v>640.41300434619188</v>
      </c>
      <c r="E616" s="2">
        <v>205.30408386373892</v>
      </c>
      <c r="F616" s="2">
        <v>15.850504925474524</v>
      </c>
      <c r="G616" s="2">
        <v>0.80560545281739904</v>
      </c>
      <c r="H616" s="2">
        <v>40</v>
      </c>
      <c r="I616" s="2">
        <v>25</v>
      </c>
      <c r="J616" s="2">
        <f>(IF(A616='Hybrid Calculator'!$B$6,0,1))^2+((B616-'Hybrid Calculator'!$B$7)/1500)^2+((C616-'Hybrid Calculator'!$B$8)/1300)^2+((D616-'Hybrid Calculator'!$B$9)/800)^2+((E616-'Hybrid Calculator'!$B$10)/350)^2+((F616-'Hybrid Calculator'!$B$11)/30)^2+(G616-'Hybrid Calculator'!$B$12)^2+((H616-'Hybrid Calculator'!$E$14)/IF(A616="Lightning",100,30000))^2+((I616-'Hybrid Calculator'!$E$17)/IF(A616="Lightning",100,30000))^2</f>
        <v>7.6222812449798616E-2</v>
      </c>
      <c r="K616" s="2">
        <f t="shared" si="36"/>
        <v>124</v>
      </c>
      <c r="L616" s="2">
        <f t="shared" si="37"/>
        <v>0</v>
      </c>
      <c r="M616" s="2">
        <f t="shared" si="38"/>
        <v>0</v>
      </c>
      <c r="N616" s="2">
        <v>-1.5723826235256588E-3</v>
      </c>
      <c r="O616" s="2">
        <f t="shared" si="39"/>
        <v>0</v>
      </c>
      <c r="P616" s="2">
        <v>-0.81404927957801476</v>
      </c>
      <c r="Q616" s="2">
        <v>-2.8531054704151302</v>
      </c>
    </row>
    <row r="617" spans="1:17" ht="15">
      <c r="A617" s="2" t="s">
        <v>13</v>
      </c>
      <c r="B617" s="2">
        <v>1374.6722836629488</v>
      </c>
      <c r="C617" s="2">
        <v>896.28848473075777</v>
      </c>
      <c r="D617" s="2">
        <v>376.76347503438592</v>
      </c>
      <c r="E617" s="2">
        <v>184.81800022535026</v>
      </c>
      <c r="F617" s="2">
        <v>29.194104303140193</v>
      </c>
      <c r="G617" s="2">
        <v>0.85891398128587759</v>
      </c>
      <c r="H617" s="2">
        <v>50</v>
      </c>
      <c r="I617" s="2">
        <v>25</v>
      </c>
      <c r="J617" s="2">
        <f>(IF(A617='Hybrid Calculator'!$B$6,0,1))^2+((B617-'Hybrid Calculator'!$B$7)/1500)^2+((C617-'Hybrid Calculator'!$B$8)/1300)^2+((D617-'Hybrid Calculator'!$B$9)/800)^2+((E617-'Hybrid Calculator'!$B$10)/350)^2+((F617-'Hybrid Calculator'!$B$11)/30)^2+(G617-'Hybrid Calculator'!$B$12)^2+((H617-'Hybrid Calculator'!$E$14)/IF(A617="Lightning",100,30000))^2+((I617-'Hybrid Calculator'!$E$17)/IF(A617="Lightning",100,30000))^2</f>
        <v>0.16460514458544812</v>
      </c>
      <c r="K617" s="2">
        <f t="shared" si="36"/>
        <v>364</v>
      </c>
      <c r="L617" s="2">
        <f t="shared" si="37"/>
        <v>0</v>
      </c>
      <c r="M617" s="2">
        <f t="shared" si="38"/>
        <v>0</v>
      </c>
      <c r="N617" s="2">
        <v>-1.6906200788113779E-4</v>
      </c>
      <c r="O617" s="2">
        <f t="shared" si="39"/>
        <v>0</v>
      </c>
      <c r="P617" s="2">
        <v>-0.18593596065728946</v>
      </c>
      <c r="Q617" s="2">
        <v>-2.9122259080459116</v>
      </c>
    </row>
    <row r="618" spans="1:17" ht="15">
      <c r="A618" s="2" t="s">
        <v>13</v>
      </c>
      <c r="B618" s="2">
        <v>1461.9759988971055</v>
      </c>
      <c r="C618" s="2">
        <v>751.55573500087485</v>
      </c>
      <c r="D618" s="2">
        <v>481.22862372547388</v>
      </c>
      <c r="E618" s="2">
        <v>217.0836459682323</v>
      </c>
      <c r="F618" s="2">
        <v>26.904359327629209</v>
      </c>
      <c r="G618" s="2">
        <v>0.81514691903488712</v>
      </c>
      <c r="H618" s="2">
        <v>50</v>
      </c>
      <c r="I618" s="2">
        <v>25</v>
      </c>
      <c r="J618" s="2">
        <f>(IF(A618='Hybrid Calculator'!$B$6,0,1))^2+((B618-'Hybrid Calculator'!$B$7)/1500)^2+((C618-'Hybrid Calculator'!$B$8)/1300)^2+((D618-'Hybrid Calculator'!$B$9)/800)^2+((E618-'Hybrid Calculator'!$B$10)/350)^2+((F618-'Hybrid Calculator'!$B$11)/30)^2+(G618-'Hybrid Calculator'!$B$12)^2+((H618-'Hybrid Calculator'!$E$14)/IF(A618="Lightning",100,30000))^2+((I618-'Hybrid Calculator'!$E$17)/IF(A618="Lightning",100,30000))^2</f>
        <v>0.12213410736383848</v>
      </c>
      <c r="K618" s="2">
        <f t="shared" si="36"/>
        <v>259</v>
      </c>
      <c r="L618" s="2">
        <f t="shared" si="37"/>
        <v>0</v>
      </c>
      <c r="M618" s="2">
        <f t="shared" si="38"/>
        <v>0</v>
      </c>
      <c r="N618" s="2">
        <v>-2.1456936890380085E-2</v>
      </c>
      <c r="O618" s="2">
        <f t="shared" si="39"/>
        <v>0</v>
      </c>
      <c r="P618" s="2">
        <v>-0.25991933035279402</v>
      </c>
      <c r="Q618" s="2">
        <v>-10.458012661187468</v>
      </c>
    </row>
    <row r="619" spans="1:17" ht="15">
      <c r="A619" s="2" t="s">
        <v>13</v>
      </c>
      <c r="B619" s="2">
        <v>1391.7720347293653</v>
      </c>
      <c r="C619" s="2">
        <v>953.2450680853799</v>
      </c>
      <c r="D619" s="2">
        <v>719.47630727663636</v>
      </c>
      <c r="E619" s="2">
        <v>232.99802017398179</v>
      </c>
      <c r="F619" s="2">
        <v>15.792143941391259</v>
      </c>
      <c r="G619" s="2">
        <v>0.83323308082763115</v>
      </c>
      <c r="H619" s="2">
        <v>40</v>
      </c>
      <c r="I619" s="2">
        <v>25</v>
      </c>
      <c r="J619" s="2">
        <f>(IF(A619='Hybrid Calculator'!$B$6,0,1))^2+((B619-'Hybrid Calculator'!$B$7)/1500)^2+((C619-'Hybrid Calculator'!$B$8)/1300)^2+((D619-'Hybrid Calculator'!$B$9)/800)^2+((E619-'Hybrid Calculator'!$B$10)/350)^2+((F619-'Hybrid Calculator'!$B$11)/30)^2+(G619-'Hybrid Calculator'!$B$12)^2+((H619-'Hybrid Calculator'!$E$14)/IF(A619="Lightning",100,30000))^2+((I619-'Hybrid Calculator'!$E$17)/IF(A619="Lightning",100,30000))^2</f>
        <v>0.1566198936024028</v>
      </c>
      <c r="K619" s="2">
        <f t="shared" si="36"/>
        <v>346</v>
      </c>
      <c r="L619" s="2">
        <f t="shared" si="37"/>
        <v>0</v>
      </c>
      <c r="M619" s="2">
        <f t="shared" si="38"/>
        <v>0</v>
      </c>
      <c r="N619" s="2">
        <v>1.2248504300977459E-2</v>
      </c>
      <c r="O619" s="2">
        <f t="shared" si="39"/>
        <v>0</v>
      </c>
      <c r="P619" s="2">
        <v>-0.5189840448137133</v>
      </c>
      <c r="Q619" s="2">
        <v>0.87768878797692196</v>
      </c>
    </row>
    <row r="620" spans="1:17" ht="15">
      <c r="A620" s="2" t="s">
        <v>13</v>
      </c>
      <c r="B620" s="2">
        <v>1480.5649837246165</v>
      </c>
      <c r="C620" s="2">
        <v>664.75912366295233</v>
      </c>
      <c r="D620" s="2">
        <v>709.23646651208401</v>
      </c>
      <c r="E620" s="2">
        <v>188.65513485623524</v>
      </c>
      <c r="F620" s="2">
        <v>29.767993998713791</v>
      </c>
      <c r="G620" s="2">
        <v>0.83264974151505156</v>
      </c>
      <c r="H620" s="2">
        <v>45</v>
      </c>
      <c r="I620" s="2">
        <v>25</v>
      </c>
      <c r="J620" s="2">
        <f>(IF(A620='Hybrid Calculator'!$B$6,0,1))^2+((B620-'Hybrid Calculator'!$B$7)/1500)^2+((C620-'Hybrid Calculator'!$B$8)/1300)^2+((D620-'Hybrid Calculator'!$B$9)/800)^2+((E620-'Hybrid Calculator'!$B$10)/350)^2+((F620-'Hybrid Calculator'!$B$11)/30)^2+(G620-'Hybrid Calculator'!$B$12)^2+((H620-'Hybrid Calculator'!$E$14)/IF(A620="Lightning",100,30000))^2+((I620-'Hybrid Calculator'!$E$17)/IF(A620="Lightning",100,30000))^2</f>
        <v>0.24601548515259303</v>
      </c>
      <c r="K620" s="2">
        <f t="shared" si="36"/>
        <v>530</v>
      </c>
      <c r="L620" s="2">
        <f t="shared" si="37"/>
        <v>0</v>
      </c>
      <c r="M620" s="2">
        <f t="shared" si="38"/>
        <v>0</v>
      </c>
      <c r="N620" s="2">
        <v>-9.4459324727442784E-3</v>
      </c>
      <c r="O620" s="2">
        <f t="shared" si="39"/>
        <v>0</v>
      </c>
      <c r="P620" s="2">
        <v>-0.14747998695313669</v>
      </c>
      <c r="Q620" s="2">
        <v>-5.5967443947249649</v>
      </c>
    </row>
    <row r="621" spans="1:17" ht="15">
      <c r="A621" s="2" t="s">
        <v>13</v>
      </c>
      <c r="B621" s="2">
        <v>1492.304367700126</v>
      </c>
      <c r="C621" s="2">
        <v>656.57707550562918</v>
      </c>
      <c r="D621" s="2">
        <v>448.49242446944118</v>
      </c>
      <c r="E621" s="2">
        <v>328.29199106898159</v>
      </c>
      <c r="F621" s="2">
        <v>11.119695901405066</v>
      </c>
      <c r="G621" s="2">
        <v>0.7995893053151667</v>
      </c>
      <c r="H621" s="2">
        <v>50</v>
      </c>
      <c r="I621" s="2">
        <v>25</v>
      </c>
      <c r="J621" s="2">
        <f>(IF(A621='Hybrid Calculator'!$B$6,0,1))^2+((B621-'Hybrid Calculator'!$B$7)/1500)^2+((C621-'Hybrid Calculator'!$B$8)/1300)^2+((D621-'Hybrid Calculator'!$B$9)/800)^2+((E621-'Hybrid Calculator'!$B$10)/350)^2+((F621-'Hybrid Calculator'!$B$11)/30)^2+(G621-'Hybrid Calculator'!$B$12)^2+((H621-'Hybrid Calculator'!$E$14)/IF(A621="Lightning",100,30000))^2+((I621-'Hybrid Calculator'!$E$17)/IF(A621="Lightning",100,30000))^2</f>
        <v>0.34872790969559708</v>
      </c>
      <c r="K621" s="2">
        <f t="shared" si="36"/>
        <v>649</v>
      </c>
      <c r="L621" s="2">
        <f t="shared" si="37"/>
        <v>0</v>
      </c>
      <c r="M621" s="2">
        <f t="shared" si="38"/>
        <v>0</v>
      </c>
      <c r="N621" s="2">
        <v>5.1115255236873214E-3</v>
      </c>
      <c r="O621" s="2">
        <f t="shared" si="39"/>
        <v>0</v>
      </c>
      <c r="P621" s="2">
        <v>-8.9178280782107322E-2</v>
      </c>
      <c r="Q621" s="2">
        <v>12.196969025302906</v>
      </c>
    </row>
    <row r="622" spans="1:17" ht="15">
      <c r="A622" s="2" t="s">
        <v>13</v>
      </c>
      <c r="B622" s="2">
        <v>1499.3804526049644</v>
      </c>
      <c r="C622" s="2">
        <v>744.2240550997667</v>
      </c>
      <c r="D622" s="2">
        <v>472.31330554932356</v>
      </c>
      <c r="E622" s="2">
        <v>110.84167308406904</v>
      </c>
      <c r="F622" s="2">
        <v>11.951838284730911</v>
      </c>
      <c r="G622" s="2">
        <v>0.80531850448111075</v>
      </c>
      <c r="H622" s="2">
        <v>50</v>
      </c>
      <c r="I622" s="2">
        <v>25</v>
      </c>
      <c r="J622" s="2">
        <f>(IF(A622='Hybrid Calculator'!$B$6,0,1))^2+((B622-'Hybrid Calculator'!$B$7)/1500)^2+((C622-'Hybrid Calculator'!$B$8)/1300)^2+((D622-'Hybrid Calculator'!$B$9)/800)^2+((E622-'Hybrid Calculator'!$B$10)/350)^2+((F622-'Hybrid Calculator'!$B$11)/30)^2+(G622-'Hybrid Calculator'!$B$12)^2+((H622-'Hybrid Calculator'!$E$14)/IF(A622="Lightning",100,30000))^2+((I622-'Hybrid Calculator'!$E$17)/IF(A622="Lightning",100,30000))^2</f>
        <v>7.0652631327092263E-2</v>
      </c>
      <c r="K622" s="2">
        <f t="shared" si="36"/>
        <v>114</v>
      </c>
      <c r="L622" s="2">
        <f t="shared" si="37"/>
        <v>0</v>
      </c>
      <c r="M622" s="2">
        <f t="shared" si="38"/>
        <v>0</v>
      </c>
      <c r="N622" s="2">
        <v>7.7982062917951733E-3</v>
      </c>
      <c r="O622" s="2">
        <f t="shared" si="39"/>
        <v>0</v>
      </c>
      <c r="P622" s="2">
        <v>0.40232336732177743</v>
      </c>
      <c r="Q622" s="2">
        <v>12.426140644511861</v>
      </c>
    </row>
    <row r="623" spans="1:17" ht="15">
      <c r="A623" s="2" t="s">
        <v>13</v>
      </c>
      <c r="B623" s="2">
        <v>1465.6595417414792</v>
      </c>
      <c r="C623" s="2">
        <v>1181.2188701471314</v>
      </c>
      <c r="D623" s="2">
        <v>745.86205305531621</v>
      </c>
      <c r="E623" s="2">
        <v>316.43068084493279</v>
      </c>
      <c r="F623" s="2">
        <v>15.748435637447983</v>
      </c>
      <c r="G623" s="2">
        <v>0.83461837706621744</v>
      </c>
      <c r="H623" s="2">
        <v>30</v>
      </c>
      <c r="I623" s="2">
        <v>25</v>
      </c>
      <c r="J623" s="2">
        <f>(IF(A623='Hybrid Calculator'!$B$6,0,1))^2+((B623-'Hybrid Calculator'!$B$7)/1500)^2+((C623-'Hybrid Calculator'!$B$8)/1300)^2+((D623-'Hybrid Calculator'!$B$9)/800)^2+((E623-'Hybrid Calculator'!$B$10)/350)^2+((F623-'Hybrid Calculator'!$B$11)/30)^2+(G623-'Hybrid Calculator'!$B$12)^2+((H623-'Hybrid Calculator'!$E$14)/IF(A623="Lightning",100,30000))^2+((I623-'Hybrid Calculator'!$E$17)/IF(A623="Lightning",100,30000))^2</f>
        <v>0.43484146856592032</v>
      </c>
      <c r="K623" s="2">
        <f t="shared" si="36"/>
        <v>695</v>
      </c>
      <c r="L623" s="2">
        <f t="shared" si="37"/>
        <v>0</v>
      </c>
      <c r="M623" s="2">
        <f t="shared" si="38"/>
        <v>0</v>
      </c>
      <c r="N623" s="2">
        <v>1.4457556722206055E-2</v>
      </c>
      <c r="O623" s="2">
        <f t="shared" si="39"/>
        <v>0</v>
      </c>
      <c r="P623" s="2">
        <v>1.2091609347156762</v>
      </c>
      <c r="Q623" s="2">
        <v>-9.5822268555359642</v>
      </c>
    </row>
    <row r="624" spans="1:17" ht="15">
      <c r="A624" s="2" t="s">
        <v>13</v>
      </c>
      <c r="B624" s="2">
        <v>1393.5744137736037</v>
      </c>
      <c r="C624" s="2">
        <v>758.15238264622167</v>
      </c>
      <c r="D624" s="2">
        <v>379.64208275079727</v>
      </c>
      <c r="E624" s="2">
        <v>131.38622497906908</v>
      </c>
      <c r="F624" s="2">
        <v>26.933224479667842</v>
      </c>
      <c r="G624" s="2">
        <v>0.81122436437522993</v>
      </c>
      <c r="H624" s="2">
        <v>55</v>
      </c>
      <c r="I624" s="2">
        <v>25</v>
      </c>
      <c r="J624" s="2">
        <f>(IF(A624='Hybrid Calculator'!$B$6,0,1))^2+((B624-'Hybrid Calculator'!$B$7)/1500)^2+((C624-'Hybrid Calculator'!$B$8)/1300)^2+((D624-'Hybrid Calculator'!$B$9)/800)^2+((E624-'Hybrid Calculator'!$B$10)/350)^2+((F624-'Hybrid Calculator'!$B$11)/30)^2+(G624-'Hybrid Calculator'!$B$12)^2+((H624-'Hybrid Calculator'!$E$14)/IF(A624="Lightning",100,30000))^2+((I624-'Hybrid Calculator'!$E$17)/IF(A624="Lightning",100,30000))^2</f>
        <v>0.11249182150609688</v>
      </c>
      <c r="K624" s="2">
        <f t="shared" si="36"/>
        <v>236</v>
      </c>
      <c r="L624" s="2">
        <f t="shared" si="37"/>
        <v>0</v>
      </c>
      <c r="M624" s="2">
        <f t="shared" si="38"/>
        <v>0</v>
      </c>
      <c r="N624" s="2">
        <v>-4.2630720750265194E-3</v>
      </c>
      <c r="O624" s="2">
        <f t="shared" si="39"/>
        <v>0</v>
      </c>
      <c r="P624" s="2">
        <v>2.0794448409837685E-2</v>
      </c>
      <c r="Q624" s="2">
        <v>2.8197743963708035</v>
      </c>
    </row>
    <row r="625" spans="1:17" ht="15">
      <c r="A625" s="2" t="s">
        <v>13</v>
      </c>
      <c r="B625" s="2">
        <v>1439.4766106153838</v>
      </c>
      <c r="C625" s="2">
        <v>776.34399337694049</v>
      </c>
      <c r="D625" s="2">
        <v>466.31995951756835</v>
      </c>
      <c r="E625" s="2">
        <v>314.40198099706322</v>
      </c>
      <c r="F625" s="2">
        <v>9.4463794282637537</v>
      </c>
      <c r="G625" s="2">
        <v>0.83426331040449442</v>
      </c>
      <c r="H625" s="2">
        <v>50</v>
      </c>
      <c r="I625" s="2">
        <v>25</v>
      </c>
      <c r="J625" s="2">
        <f>(IF(A625='Hybrid Calculator'!$B$6,0,1))^2+((B625-'Hybrid Calculator'!$B$7)/1500)^2+((C625-'Hybrid Calculator'!$B$8)/1300)^2+((D625-'Hybrid Calculator'!$B$9)/800)^2+((E625-'Hybrid Calculator'!$B$10)/350)^2+((F625-'Hybrid Calculator'!$B$11)/30)^2+(G625-'Hybrid Calculator'!$B$12)^2+((H625-'Hybrid Calculator'!$E$14)/IF(A625="Lightning",100,30000))^2+((I625-'Hybrid Calculator'!$E$17)/IF(A625="Lightning",100,30000))^2</f>
        <v>0.31699161480733845</v>
      </c>
      <c r="K625" s="2">
        <f t="shared" si="36"/>
        <v>618</v>
      </c>
      <c r="L625" s="2">
        <f t="shared" si="37"/>
        <v>0</v>
      </c>
      <c r="M625" s="2">
        <f t="shared" si="38"/>
        <v>0</v>
      </c>
      <c r="N625" s="2">
        <v>7.1011000713228078E-4</v>
      </c>
      <c r="O625" s="2">
        <f t="shared" si="39"/>
        <v>0</v>
      </c>
      <c r="P625" s="2">
        <v>0.32385934100909708</v>
      </c>
      <c r="Q625" s="2">
        <v>12.430679341789983</v>
      </c>
    </row>
    <row r="626" spans="1:17" ht="15">
      <c r="A626" s="2" t="s">
        <v>13</v>
      </c>
      <c r="B626" s="2">
        <v>1421.6292086988688</v>
      </c>
      <c r="C626" s="2">
        <v>1007.4186152196489</v>
      </c>
      <c r="D626" s="2">
        <v>733.96471906453371</v>
      </c>
      <c r="E626" s="2">
        <v>185.26755132013932</v>
      </c>
      <c r="F626" s="2">
        <v>10.629277033731341</v>
      </c>
      <c r="G626" s="2">
        <v>0.8553802133840509</v>
      </c>
      <c r="H626" s="2">
        <v>40</v>
      </c>
      <c r="I626" s="2">
        <v>25</v>
      </c>
      <c r="J626" s="2">
        <f>(IF(A626='Hybrid Calculator'!$B$6,0,1))^2+((B626-'Hybrid Calculator'!$B$7)/1500)^2+((C626-'Hybrid Calculator'!$B$8)/1300)^2+((D626-'Hybrid Calculator'!$B$9)/800)^2+((E626-'Hybrid Calculator'!$B$10)/350)^2+((F626-'Hybrid Calculator'!$B$11)/30)^2+(G626-'Hybrid Calculator'!$B$12)^2+((H626-'Hybrid Calculator'!$E$14)/IF(A626="Lightning",100,30000))^2+((I626-'Hybrid Calculator'!$E$17)/IF(A626="Lightning",100,30000))^2</f>
        <v>0.19043524420700489</v>
      </c>
      <c r="K626" s="2">
        <f t="shared" si="36"/>
        <v>424</v>
      </c>
      <c r="L626" s="2">
        <f t="shared" si="37"/>
        <v>0</v>
      </c>
      <c r="M626" s="2">
        <f t="shared" si="38"/>
        <v>0</v>
      </c>
      <c r="N626" s="2">
        <v>1.7721015121894279E-2</v>
      </c>
      <c r="O626" s="2">
        <f t="shared" si="39"/>
        <v>0</v>
      </c>
      <c r="P626" s="2">
        <v>-0.16384058074972785</v>
      </c>
      <c r="Q626" s="2">
        <v>-3.7679759055770319</v>
      </c>
    </row>
    <row r="627" spans="1:17" ht="15">
      <c r="A627" s="2" t="s">
        <v>13</v>
      </c>
      <c r="B627" s="2">
        <v>1493.995524442289</v>
      </c>
      <c r="C627" s="2">
        <v>971.50748728308827</v>
      </c>
      <c r="D627" s="2">
        <v>536.90096298232675</v>
      </c>
      <c r="E627" s="2">
        <v>217.39709160290658</v>
      </c>
      <c r="F627" s="2">
        <v>25.856724273879081</v>
      </c>
      <c r="G627" s="2">
        <v>0.7937083262996748</v>
      </c>
      <c r="H627" s="2">
        <v>35</v>
      </c>
      <c r="I627" s="2">
        <v>25</v>
      </c>
      <c r="J627" s="2">
        <f>(IF(A627='Hybrid Calculator'!$B$6,0,1))^2+((B627-'Hybrid Calculator'!$B$7)/1500)^2+((C627-'Hybrid Calculator'!$B$8)/1300)^2+((D627-'Hybrid Calculator'!$B$9)/800)^2+((E627-'Hybrid Calculator'!$B$10)/350)^2+((F627-'Hybrid Calculator'!$B$11)/30)^2+(G627-'Hybrid Calculator'!$B$12)^2+((H627-'Hybrid Calculator'!$E$14)/IF(A627="Lightning",100,30000))^2+((I627-'Hybrid Calculator'!$E$17)/IF(A627="Lightning",100,30000))^2</f>
        <v>0.13338617485667545</v>
      </c>
      <c r="K627" s="2">
        <f t="shared" si="36"/>
        <v>286</v>
      </c>
      <c r="L627" s="2">
        <f t="shared" si="37"/>
        <v>0</v>
      </c>
      <c r="M627" s="2">
        <f t="shared" si="38"/>
        <v>0</v>
      </c>
      <c r="N627" s="2">
        <v>-8.2621838040923823E-3</v>
      </c>
      <c r="O627" s="2">
        <f t="shared" si="39"/>
        <v>0</v>
      </c>
      <c r="P627" s="2">
        <v>-0.83488974424543727</v>
      </c>
      <c r="Q627" s="2">
        <v>-21.77635054802613</v>
      </c>
    </row>
    <row r="628" spans="1:17" ht="15">
      <c r="A628" s="2" t="s">
        <v>13</v>
      </c>
      <c r="B628" s="2">
        <v>1447.6127420319244</v>
      </c>
      <c r="C628" s="2">
        <v>967.64383470872417</v>
      </c>
      <c r="D628" s="2">
        <v>508.40782858431339</v>
      </c>
      <c r="E628" s="2">
        <v>258.31343336729333</v>
      </c>
      <c r="F628" s="2">
        <v>27.948956468142569</v>
      </c>
      <c r="G628" s="2">
        <v>0.84714109676657245</v>
      </c>
      <c r="H628" s="2">
        <v>40</v>
      </c>
      <c r="I628" s="2">
        <v>25</v>
      </c>
      <c r="J628" s="2">
        <f>(IF(A628='Hybrid Calculator'!$B$6,0,1))^2+((B628-'Hybrid Calculator'!$B$7)/1500)^2+((C628-'Hybrid Calculator'!$B$8)/1300)^2+((D628-'Hybrid Calculator'!$B$9)/800)^2+((E628-'Hybrid Calculator'!$B$10)/350)^2+((F628-'Hybrid Calculator'!$B$11)/30)^2+(G628-'Hybrid Calculator'!$B$12)^2+((H628-'Hybrid Calculator'!$E$14)/IF(A628="Lightning",100,30000))^2+((I628-'Hybrid Calculator'!$E$17)/IF(A628="Lightning",100,30000))^2</f>
        <v>0.2142366285608607</v>
      </c>
      <c r="K628" s="2">
        <f t="shared" si="36"/>
        <v>478</v>
      </c>
      <c r="L628" s="2">
        <f t="shared" si="37"/>
        <v>0</v>
      </c>
      <c r="M628" s="2">
        <f t="shared" si="38"/>
        <v>0</v>
      </c>
      <c r="N628" s="2">
        <v>-7.7135605062534918E-3</v>
      </c>
      <c r="O628" s="2">
        <f t="shared" si="39"/>
        <v>0</v>
      </c>
      <c r="P628" s="2">
        <v>-0.90452320680515896</v>
      </c>
      <c r="Q628" s="2">
        <v>-10.849210259916163</v>
      </c>
    </row>
    <row r="629" spans="1:17" ht="15">
      <c r="A629" s="2" t="s">
        <v>13</v>
      </c>
      <c r="B629" s="2">
        <v>1464.6777313551866</v>
      </c>
      <c r="C629" s="2">
        <v>1190.174813894555</v>
      </c>
      <c r="D629" s="2">
        <v>525.71816397830844</v>
      </c>
      <c r="E629" s="2">
        <v>187.07698937039822</v>
      </c>
      <c r="F629" s="2">
        <v>19.857890467625111</v>
      </c>
      <c r="G629" s="2">
        <v>0.85466765165328984</v>
      </c>
      <c r="H629" s="2">
        <v>40</v>
      </c>
      <c r="I629" s="2">
        <v>25</v>
      </c>
      <c r="J629" s="2">
        <f>(IF(A629='Hybrid Calculator'!$B$6,0,1))^2+((B629-'Hybrid Calculator'!$B$7)/1500)^2+((C629-'Hybrid Calculator'!$B$8)/1300)^2+((D629-'Hybrid Calculator'!$B$9)/800)^2+((E629-'Hybrid Calculator'!$B$10)/350)^2+((F629-'Hybrid Calculator'!$B$11)/30)^2+(G629-'Hybrid Calculator'!$B$12)^2+((H629-'Hybrid Calculator'!$E$14)/IF(A629="Lightning",100,30000))^2+((I629-'Hybrid Calculator'!$E$17)/IF(A629="Lightning",100,30000))^2</f>
        <v>9.4678551135851691E-2</v>
      </c>
      <c r="K629" s="2">
        <f t="shared" si="36"/>
        <v>187</v>
      </c>
      <c r="L629" s="2">
        <f t="shared" si="37"/>
        <v>0</v>
      </c>
      <c r="M629" s="2">
        <f t="shared" si="38"/>
        <v>0</v>
      </c>
      <c r="N629" s="2">
        <v>1.1474813923990856E-2</v>
      </c>
      <c r="O629" s="2">
        <f t="shared" si="39"/>
        <v>0</v>
      </c>
      <c r="P629" s="2">
        <v>1.1128303404426774</v>
      </c>
      <c r="Q629" s="2">
        <v>-3.7214429197563277</v>
      </c>
    </row>
    <row r="630" spans="1:17" ht="15">
      <c r="A630" s="2" t="s">
        <v>13</v>
      </c>
      <c r="B630" s="2">
        <v>1489.8794818203896</v>
      </c>
      <c r="C630" s="2">
        <v>946.17821321589872</v>
      </c>
      <c r="D630" s="2">
        <v>376.95223148912191</v>
      </c>
      <c r="E630" s="2">
        <v>303.46663736971095</v>
      </c>
      <c r="F630" s="2">
        <v>17.995463397353888</v>
      </c>
      <c r="G630" s="2">
        <v>0.80878855962539098</v>
      </c>
      <c r="H630" s="2">
        <v>40</v>
      </c>
      <c r="I630" s="2">
        <v>25</v>
      </c>
      <c r="J630" s="2">
        <f>(IF(A630='Hybrid Calculator'!$B$6,0,1))^2+((B630-'Hybrid Calculator'!$B$7)/1500)^2+((C630-'Hybrid Calculator'!$B$8)/1300)^2+((D630-'Hybrid Calculator'!$B$9)/800)^2+((E630-'Hybrid Calculator'!$B$10)/350)^2+((F630-'Hybrid Calculator'!$B$11)/30)^2+(G630-'Hybrid Calculator'!$B$12)^2+((H630-'Hybrid Calculator'!$E$14)/IF(A630="Lightning",100,30000))^2+((I630-'Hybrid Calculator'!$E$17)/IF(A630="Lightning",100,30000))^2</f>
        <v>0.23367160190546871</v>
      </c>
      <c r="K630" s="2">
        <f t="shared" si="36"/>
        <v>511</v>
      </c>
      <c r="L630" s="2">
        <f t="shared" si="37"/>
        <v>0</v>
      </c>
      <c r="M630" s="2">
        <f t="shared" si="38"/>
        <v>0</v>
      </c>
      <c r="N630" s="2">
        <v>-9.6311887021214293E-3</v>
      </c>
      <c r="O630" s="2">
        <f t="shared" si="39"/>
        <v>0</v>
      </c>
      <c r="P630" s="2">
        <v>0.29041682038349137</v>
      </c>
      <c r="Q630" s="2">
        <v>-5.8217645958179673</v>
      </c>
    </row>
    <row r="631" spans="1:17" ht="15">
      <c r="A631" s="2" t="s">
        <v>13</v>
      </c>
      <c r="B631" s="2">
        <v>1354.515347268898</v>
      </c>
      <c r="C631" s="2">
        <v>789.89948655944318</v>
      </c>
      <c r="D631" s="2">
        <v>470.80587046220899</v>
      </c>
      <c r="E631" s="2">
        <v>133.72393596917391</v>
      </c>
      <c r="F631" s="2">
        <v>20.631175252143294</v>
      </c>
      <c r="G631" s="2">
        <v>0.84784567478578543</v>
      </c>
      <c r="H631" s="2">
        <v>60</v>
      </c>
      <c r="I631" s="2">
        <v>25</v>
      </c>
      <c r="J631" s="2">
        <f>(IF(A631='Hybrid Calculator'!$B$6,0,1))^2+((B631-'Hybrid Calculator'!$B$7)/1500)^2+((C631-'Hybrid Calculator'!$B$8)/1300)^2+((D631-'Hybrid Calculator'!$B$9)/800)^2+((E631-'Hybrid Calculator'!$B$10)/350)^2+((F631-'Hybrid Calculator'!$B$11)/30)^2+(G631-'Hybrid Calculator'!$B$12)^2+((H631-'Hybrid Calculator'!$E$14)/IF(A631="Lightning",100,30000))^2+((I631-'Hybrid Calculator'!$E$17)/IF(A631="Lightning",100,30000))^2</f>
        <v>2.3661551995114802E-2</v>
      </c>
      <c r="K631" s="2">
        <f t="shared" si="36"/>
        <v>13</v>
      </c>
      <c r="L631" s="2">
        <f t="shared" si="37"/>
        <v>0</v>
      </c>
      <c r="M631" s="2">
        <f t="shared" si="38"/>
        <v>0</v>
      </c>
      <c r="N631" s="2">
        <v>-9.2706273734028954E-3</v>
      </c>
      <c r="O631" s="2">
        <f t="shared" si="39"/>
        <v>0</v>
      </c>
      <c r="P631" s="2">
        <v>-1.3617811115951</v>
      </c>
      <c r="Q631" s="2">
        <v>1.674388175450531</v>
      </c>
    </row>
    <row r="632" spans="1:17" ht="15">
      <c r="A632" s="2" t="s">
        <v>13</v>
      </c>
      <c r="B632" s="2">
        <v>1452.0514244679362</v>
      </c>
      <c r="C632" s="2">
        <v>1175.1316452282481</v>
      </c>
      <c r="D632" s="2">
        <v>660.90321969240904</v>
      </c>
      <c r="E632" s="2">
        <v>252.61606018291786</v>
      </c>
      <c r="F632" s="2">
        <v>12.980180881917477</v>
      </c>
      <c r="G632" s="2">
        <v>0.84974171983310953</v>
      </c>
      <c r="H632" s="2">
        <v>35</v>
      </c>
      <c r="I632" s="2">
        <v>25</v>
      </c>
      <c r="J632" s="2">
        <f>(IF(A632='Hybrid Calculator'!$B$6,0,1))^2+((B632-'Hybrid Calculator'!$B$7)/1500)^2+((C632-'Hybrid Calculator'!$B$8)/1300)^2+((D632-'Hybrid Calculator'!$B$9)/800)^2+((E632-'Hybrid Calculator'!$B$10)/350)^2+((F632-'Hybrid Calculator'!$B$11)/30)^2+(G632-'Hybrid Calculator'!$B$12)^2+((H632-'Hybrid Calculator'!$E$14)/IF(A632="Lightning",100,30000))^2+((I632-'Hybrid Calculator'!$E$17)/IF(A632="Lightning",100,30000))^2</f>
        <v>0.24652675330155208</v>
      </c>
      <c r="K632" s="2">
        <f t="shared" si="36"/>
        <v>532</v>
      </c>
      <c r="L632" s="2">
        <f t="shared" si="37"/>
        <v>0</v>
      </c>
      <c r="M632" s="2">
        <f t="shared" si="38"/>
        <v>0</v>
      </c>
      <c r="N632" s="2">
        <v>1.145147752515796E-2</v>
      </c>
      <c r="O632" s="2">
        <f t="shared" si="39"/>
        <v>0</v>
      </c>
      <c r="P632" s="2">
        <v>0.57770431511787024</v>
      </c>
      <c r="Q632" s="2">
        <v>-4.8935198133215181</v>
      </c>
    </row>
    <row r="633" spans="1:17" ht="15">
      <c r="A633" s="2" t="s">
        <v>13</v>
      </c>
      <c r="B633" s="2">
        <v>1482.3794453521259</v>
      </c>
      <c r="C633" s="2">
        <v>1170.6347543513402</v>
      </c>
      <c r="D633" s="2">
        <v>391.80359812453389</v>
      </c>
      <c r="E633" s="2">
        <v>97.872143071144819</v>
      </c>
      <c r="F633" s="2">
        <v>24.540699167642742</v>
      </c>
      <c r="G633" s="2">
        <v>0.81060391434933998</v>
      </c>
      <c r="H633" s="2">
        <v>40</v>
      </c>
      <c r="I633" s="2">
        <v>25</v>
      </c>
      <c r="J633" s="2">
        <f>(IF(A633='Hybrid Calculator'!$B$6,0,1))^2+((B633-'Hybrid Calculator'!$B$7)/1500)^2+((C633-'Hybrid Calculator'!$B$8)/1300)^2+((D633-'Hybrid Calculator'!$B$9)/800)^2+((E633-'Hybrid Calculator'!$B$10)/350)^2+((F633-'Hybrid Calculator'!$B$11)/30)^2+(G633-'Hybrid Calculator'!$B$12)^2+((H633-'Hybrid Calculator'!$E$14)/IF(A633="Lightning",100,30000))^2+((I633-'Hybrid Calculator'!$E$17)/IF(A633="Lightning",100,30000))^2</f>
        <v>0.15340190308105547</v>
      </c>
      <c r="K633" s="2">
        <f t="shared" si="36"/>
        <v>334</v>
      </c>
      <c r="L633" s="2">
        <f t="shared" si="37"/>
        <v>0</v>
      </c>
      <c r="M633" s="2">
        <f t="shared" si="38"/>
        <v>0</v>
      </c>
      <c r="N633" s="2">
        <v>-9.7365016399058035E-3</v>
      </c>
      <c r="O633" s="2">
        <f t="shared" si="39"/>
        <v>0</v>
      </c>
      <c r="P633" s="2">
        <v>0.98749984059779905</v>
      </c>
      <c r="Q633" s="2">
        <v>-1.4490107676754178</v>
      </c>
    </row>
    <row r="634" spans="1:17" ht="15">
      <c r="A634" s="2" t="s">
        <v>13</v>
      </c>
      <c r="B634" s="2">
        <v>1466.9640003936365</v>
      </c>
      <c r="C634" s="2">
        <v>765.38345963926986</v>
      </c>
      <c r="D634" s="2">
        <v>538.67706954479218</v>
      </c>
      <c r="E634" s="2">
        <v>201.00702145835385</v>
      </c>
      <c r="F634" s="2">
        <v>9.8840764490887523</v>
      </c>
      <c r="G634" s="2">
        <v>0.85218836545711385</v>
      </c>
      <c r="H634" s="2">
        <v>50</v>
      </c>
      <c r="I634" s="2">
        <v>25</v>
      </c>
      <c r="J634" s="2">
        <f>(IF(A634='Hybrid Calculator'!$B$6,0,1))^2+((B634-'Hybrid Calculator'!$B$7)/1500)^2+((C634-'Hybrid Calculator'!$B$8)/1300)^2+((D634-'Hybrid Calculator'!$B$9)/800)^2+((E634-'Hybrid Calculator'!$B$10)/350)^2+((F634-'Hybrid Calculator'!$B$11)/30)^2+(G634-'Hybrid Calculator'!$B$12)^2+((H634-'Hybrid Calculator'!$E$14)/IF(A634="Lightning",100,30000))^2+((I634-'Hybrid Calculator'!$E$17)/IF(A634="Lightning",100,30000))^2</f>
        <v>0.11211365399243214</v>
      </c>
      <c r="K634" s="2">
        <f t="shared" si="36"/>
        <v>234</v>
      </c>
      <c r="L634" s="2">
        <f t="shared" si="37"/>
        <v>0</v>
      </c>
      <c r="M634" s="2">
        <f t="shared" si="38"/>
        <v>0</v>
      </c>
      <c r="N634" s="2">
        <v>1.4462329884163516E-2</v>
      </c>
      <c r="O634" s="2">
        <f t="shared" si="39"/>
        <v>0</v>
      </c>
      <c r="P634" s="2">
        <v>-1.3090560625131502</v>
      </c>
      <c r="Q634" s="2">
        <v>15.009696311108883</v>
      </c>
    </row>
    <row r="635" spans="1:17" ht="15">
      <c r="A635" s="2" t="s">
        <v>13</v>
      </c>
      <c r="B635" s="2">
        <v>1388.2330079446547</v>
      </c>
      <c r="C635" s="2">
        <v>959.49017973616719</v>
      </c>
      <c r="D635" s="2">
        <v>531.45816987380385</v>
      </c>
      <c r="E635" s="2">
        <v>176.64773906115443</v>
      </c>
      <c r="F635" s="2">
        <v>20.045242992695421</v>
      </c>
      <c r="G635" s="2">
        <v>0.79409153738059102</v>
      </c>
      <c r="H635" s="2">
        <v>45</v>
      </c>
      <c r="I635" s="2">
        <v>25</v>
      </c>
      <c r="J635" s="2">
        <f>(IF(A635='Hybrid Calculator'!$B$6,0,1))^2+((B635-'Hybrid Calculator'!$B$7)/1500)^2+((C635-'Hybrid Calculator'!$B$8)/1300)^2+((D635-'Hybrid Calculator'!$B$9)/800)^2+((E635-'Hybrid Calculator'!$B$10)/350)^2+((F635-'Hybrid Calculator'!$B$11)/30)^2+(G635-'Hybrid Calculator'!$B$12)^2+((H635-'Hybrid Calculator'!$E$14)/IF(A635="Lightning",100,30000))^2+((I635-'Hybrid Calculator'!$E$17)/IF(A635="Lightning",100,30000))^2</f>
        <v>2.0861714655950818E-2</v>
      </c>
      <c r="K635" s="2">
        <f t="shared" si="36"/>
        <v>8</v>
      </c>
      <c r="L635" s="2">
        <f t="shared" si="37"/>
        <v>0</v>
      </c>
      <c r="M635" s="2">
        <f t="shared" si="38"/>
        <v>0</v>
      </c>
      <c r="N635" s="2">
        <v>3.3247230831614516E-3</v>
      </c>
      <c r="O635" s="2">
        <f t="shared" si="39"/>
        <v>0</v>
      </c>
      <c r="P635" s="2">
        <v>0.31831394954132719</v>
      </c>
      <c r="Q635" s="2">
        <v>-10.207810052583454</v>
      </c>
    </row>
    <row r="636" spans="1:17" ht="15">
      <c r="A636" s="2" t="s">
        <v>13</v>
      </c>
      <c r="B636" s="2">
        <v>1365.1737766340375</v>
      </c>
      <c r="C636" s="2">
        <v>669.16852447902784</v>
      </c>
      <c r="D636" s="2">
        <v>560.24777609854937</v>
      </c>
      <c r="E636" s="2">
        <v>313.71101688826457</v>
      </c>
      <c r="F636" s="2">
        <v>20.267457997426391</v>
      </c>
      <c r="G636" s="2">
        <v>0.85273483225377278</v>
      </c>
      <c r="H636" s="2">
        <v>50</v>
      </c>
      <c r="I636" s="2">
        <v>25</v>
      </c>
      <c r="J636" s="2">
        <f>(IF(A636='Hybrid Calculator'!$B$6,0,1))^2+((B636-'Hybrid Calculator'!$B$7)/1500)^2+((C636-'Hybrid Calculator'!$B$8)/1300)^2+((D636-'Hybrid Calculator'!$B$9)/800)^2+((E636-'Hybrid Calculator'!$B$10)/350)^2+((F636-'Hybrid Calculator'!$B$11)/30)^2+(G636-'Hybrid Calculator'!$B$12)^2+((H636-'Hybrid Calculator'!$E$14)/IF(A636="Lightning",100,30000))^2+((I636-'Hybrid Calculator'!$E$17)/IF(A636="Lightning",100,30000))^2</f>
        <v>0.24994010129327437</v>
      </c>
      <c r="K636" s="2">
        <f t="shared" si="36"/>
        <v>540</v>
      </c>
      <c r="L636" s="2">
        <f t="shared" si="37"/>
        <v>0</v>
      </c>
      <c r="M636" s="2">
        <f t="shared" si="38"/>
        <v>0</v>
      </c>
      <c r="N636" s="2">
        <v>-7.0846978765326529E-3</v>
      </c>
      <c r="O636" s="2">
        <f t="shared" si="39"/>
        <v>0</v>
      </c>
      <c r="P636" s="2">
        <v>-0.32661210234427074</v>
      </c>
      <c r="Q636" s="2">
        <v>4.0343725494590217</v>
      </c>
    </row>
    <row r="637" spans="1:17" ht="15">
      <c r="A637" s="2" t="s">
        <v>13</v>
      </c>
      <c r="B637" s="2">
        <v>1391.369795857463</v>
      </c>
      <c r="C637" s="2">
        <v>1227.7259715134278</v>
      </c>
      <c r="D637" s="2">
        <v>643.03235122933984</v>
      </c>
      <c r="E637" s="2">
        <v>185.53575376980007</v>
      </c>
      <c r="F637" s="2">
        <v>26.441338930744678</v>
      </c>
      <c r="G637" s="2">
        <v>0.79915470559615642</v>
      </c>
      <c r="H637" s="2">
        <v>35</v>
      </c>
      <c r="I637" s="2">
        <v>25</v>
      </c>
      <c r="J637" s="2">
        <f>(IF(A637='Hybrid Calculator'!$B$6,0,1))^2+((B637-'Hybrid Calculator'!$B$7)/1500)^2+((C637-'Hybrid Calculator'!$B$8)/1300)^2+((D637-'Hybrid Calculator'!$B$9)/800)^2+((E637-'Hybrid Calculator'!$B$10)/350)^2+((F637-'Hybrid Calculator'!$B$11)/30)^2+(G637-'Hybrid Calculator'!$B$12)^2+((H637-'Hybrid Calculator'!$E$14)/IF(A637="Lightning",100,30000))^2+((I637-'Hybrid Calculator'!$E$17)/IF(A637="Lightning",100,30000))^2</f>
        <v>0.22020797598598416</v>
      </c>
      <c r="K637" s="2">
        <f t="shared" si="36"/>
        <v>487</v>
      </c>
      <c r="L637" s="2">
        <f t="shared" si="37"/>
        <v>0</v>
      </c>
      <c r="M637" s="2">
        <f t="shared" si="38"/>
        <v>0</v>
      </c>
      <c r="N637" s="2">
        <v>2.535412745747756E-4</v>
      </c>
      <c r="O637" s="2">
        <f t="shared" si="39"/>
        <v>0</v>
      </c>
      <c r="P637" s="2">
        <v>1.8412261623892263</v>
      </c>
      <c r="Q637" s="2">
        <v>-20.148414908651603</v>
      </c>
    </row>
    <row r="638" spans="1:17" ht="15">
      <c r="A638" s="2" t="s">
        <v>13</v>
      </c>
      <c r="B638" s="2">
        <v>1441.6739317355677</v>
      </c>
      <c r="C638" s="2">
        <v>975.40681461105123</v>
      </c>
      <c r="D638" s="2">
        <v>707.86747224628925</v>
      </c>
      <c r="E638" s="2">
        <v>235.41746484814212</v>
      </c>
      <c r="F638" s="2">
        <v>13.693014533258975</v>
      </c>
      <c r="G638" s="2">
        <v>0.79066649003652856</v>
      </c>
      <c r="H638" s="2">
        <v>35</v>
      </c>
      <c r="I638" s="2">
        <v>25</v>
      </c>
      <c r="J638" s="2">
        <f>(IF(A638='Hybrid Calculator'!$B$6,0,1))^2+((B638-'Hybrid Calculator'!$B$7)/1500)^2+((C638-'Hybrid Calculator'!$B$8)/1300)^2+((D638-'Hybrid Calculator'!$B$9)/800)^2+((E638-'Hybrid Calculator'!$B$10)/350)^2+((F638-'Hybrid Calculator'!$B$11)/30)^2+(G638-'Hybrid Calculator'!$B$12)^2+((H638-'Hybrid Calculator'!$E$14)/IF(A638="Lightning",100,30000))^2+((I638-'Hybrid Calculator'!$E$17)/IF(A638="Lightning",100,30000))^2</f>
        <v>0.18553866273056285</v>
      </c>
      <c r="K638" s="2">
        <f t="shared" si="36"/>
        <v>417</v>
      </c>
      <c r="L638" s="2">
        <f t="shared" si="37"/>
        <v>0</v>
      </c>
      <c r="M638" s="2">
        <f t="shared" si="38"/>
        <v>0</v>
      </c>
      <c r="N638" s="2">
        <v>1.6092843280591795E-2</v>
      </c>
      <c r="O638" s="2">
        <f t="shared" si="39"/>
        <v>0</v>
      </c>
      <c r="P638" s="2">
        <v>1.1968986940131501</v>
      </c>
      <c r="Q638" s="2">
        <v>5.6023634539333216</v>
      </c>
    </row>
    <row r="639" spans="1:17" ht="15">
      <c r="A639" s="2" t="s">
        <v>13</v>
      </c>
      <c r="B639" s="2">
        <v>1441.508211416658</v>
      </c>
      <c r="C639" s="2">
        <v>994.4135372992605</v>
      </c>
      <c r="D639" s="2">
        <v>532.53368241712451</v>
      </c>
      <c r="E639" s="2">
        <v>312.59534582030028</v>
      </c>
      <c r="F639" s="2">
        <v>14.777630511205643</v>
      </c>
      <c r="G639" s="2">
        <v>0.81106414537876848</v>
      </c>
      <c r="H639" s="2">
        <v>40</v>
      </c>
      <c r="I639" s="2">
        <v>25</v>
      </c>
      <c r="J639" s="2">
        <f>(IF(A639='Hybrid Calculator'!$B$6,0,1))^2+((B639-'Hybrid Calculator'!$B$7)/1500)^2+((C639-'Hybrid Calculator'!$B$8)/1300)^2+((D639-'Hybrid Calculator'!$B$9)/800)^2+((E639-'Hybrid Calculator'!$B$10)/350)^2+((F639-'Hybrid Calculator'!$B$11)/30)^2+(G639-'Hybrid Calculator'!$B$12)^2+((H639-'Hybrid Calculator'!$E$14)/IF(A639="Lightning",100,30000))^2+((I639-'Hybrid Calculator'!$E$17)/IF(A639="Lightning",100,30000))^2</f>
        <v>0.25540503054665942</v>
      </c>
      <c r="K639" s="2">
        <f t="shared" si="36"/>
        <v>552</v>
      </c>
      <c r="L639" s="2">
        <f t="shared" si="37"/>
        <v>0</v>
      </c>
      <c r="M639" s="2">
        <f t="shared" si="38"/>
        <v>0</v>
      </c>
      <c r="N639" s="2">
        <v>-1.6923468308587264E-3</v>
      </c>
      <c r="O639" s="2">
        <f t="shared" si="39"/>
        <v>0</v>
      </c>
      <c r="P639" s="2">
        <v>1.0716024568368283</v>
      </c>
      <c r="Q639" s="2">
        <v>0.96757550996380814</v>
      </c>
    </row>
    <row r="640" spans="1:17" ht="15">
      <c r="A640" s="2" t="s">
        <v>13</v>
      </c>
      <c r="B640" s="2">
        <v>1353.9526732172817</v>
      </c>
      <c r="C640" s="2">
        <v>854.78783090366051</v>
      </c>
      <c r="D640" s="2">
        <v>699.34098329395056</v>
      </c>
      <c r="E640" s="2">
        <v>139.15284511866048</v>
      </c>
      <c r="F640" s="2">
        <v>25.471355576068163</v>
      </c>
      <c r="G640" s="2">
        <v>0.85788011446828027</v>
      </c>
      <c r="H640" s="2">
        <v>45</v>
      </c>
      <c r="I640" s="2">
        <v>25</v>
      </c>
      <c r="J640" s="2">
        <f>(IF(A640='Hybrid Calculator'!$B$6,0,1))^2+((B640-'Hybrid Calculator'!$B$7)/1500)^2+((C640-'Hybrid Calculator'!$B$8)/1300)^2+((D640-'Hybrid Calculator'!$B$9)/800)^2+((E640-'Hybrid Calculator'!$B$10)/350)^2+((F640-'Hybrid Calculator'!$B$11)/30)^2+(G640-'Hybrid Calculator'!$B$12)^2+((H640-'Hybrid Calculator'!$E$14)/IF(A640="Lightning",100,30000))^2+((I640-'Hybrid Calculator'!$E$17)/IF(A640="Lightning",100,30000))^2</f>
        <v>0.12324096487284451</v>
      </c>
      <c r="K640" s="2">
        <f t="shared" si="36"/>
        <v>262</v>
      </c>
      <c r="L640" s="2">
        <f t="shared" si="37"/>
        <v>0</v>
      </c>
      <c r="M640" s="2">
        <f t="shared" si="38"/>
        <v>0</v>
      </c>
      <c r="N640" s="2">
        <v>2.6321576585708328E-4</v>
      </c>
      <c r="O640" s="2">
        <f t="shared" si="39"/>
        <v>0</v>
      </c>
      <c r="P640" s="2">
        <v>-2.3357951915762953E-2</v>
      </c>
      <c r="Q640" s="2">
        <v>-15.536928423125346</v>
      </c>
    </row>
    <row r="641" spans="1:17" ht="15">
      <c r="A641" s="2" t="s">
        <v>13</v>
      </c>
      <c r="B641" s="2">
        <v>1379.2821819079109</v>
      </c>
      <c r="C641" s="2">
        <v>1073.4186653746292</v>
      </c>
      <c r="D641" s="2">
        <v>508.41654585674405</v>
      </c>
      <c r="E641" s="2">
        <v>327.13711626827717</v>
      </c>
      <c r="F641" s="2">
        <v>27.137663359288126</v>
      </c>
      <c r="G641" s="2">
        <v>0.80367104604374617</v>
      </c>
      <c r="H641" s="2">
        <v>35</v>
      </c>
      <c r="I641" s="2">
        <v>25</v>
      </c>
      <c r="J641" s="2">
        <f>(IF(A641='Hybrid Calculator'!$B$6,0,1))^2+((B641-'Hybrid Calculator'!$B$7)/1500)^2+((C641-'Hybrid Calculator'!$B$8)/1300)^2+((D641-'Hybrid Calculator'!$B$9)/800)^2+((E641-'Hybrid Calculator'!$B$10)/350)^2+((F641-'Hybrid Calculator'!$B$11)/30)^2+(G641-'Hybrid Calculator'!$B$12)^2+((H641-'Hybrid Calculator'!$E$14)/IF(A641="Lightning",100,30000))^2+((I641-'Hybrid Calculator'!$E$17)/IF(A641="Lightning",100,30000))^2</f>
        <v>0.39238476959778951</v>
      </c>
      <c r="K641" s="2">
        <f t="shared" si="36"/>
        <v>682</v>
      </c>
      <c r="L641" s="2">
        <f t="shared" si="37"/>
        <v>0</v>
      </c>
      <c r="M641" s="2">
        <f t="shared" si="38"/>
        <v>0</v>
      </c>
      <c r="N641" s="2">
        <v>-9.3403674523369062E-3</v>
      </c>
      <c r="O641" s="2">
        <f t="shared" si="39"/>
        <v>0</v>
      </c>
      <c r="P641" s="2">
        <v>1.3722413397132058</v>
      </c>
      <c r="Q641" s="2">
        <v>-22.585261351022382</v>
      </c>
    </row>
    <row r="642" spans="1:17" ht="15">
      <c r="A642" s="2" t="s">
        <v>13</v>
      </c>
      <c r="B642" s="2">
        <v>1389.2664728919044</v>
      </c>
      <c r="C642" s="2">
        <v>1081.8692368571647</v>
      </c>
      <c r="D642" s="2">
        <v>623.7992949783802</v>
      </c>
      <c r="E642" s="2">
        <v>246.18817340349779</v>
      </c>
      <c r="F642" s="2">
        <v>23.694927631877363</v>
      </c>
      <c r="G642" s="2">
        <v>0.79194073749473326</v>
      </c>
      <c r="H642" s="2">
        <v>35</v>
      </c>
      <c r="I642" s="2">
        <v>25</v>
      </c>
      <c r="J642" s="2">
        <f>(IF(A642='Hybrid Calculator'!$B$6,0,1))^2+((B642-'Hybrid Calculator'!$B$7)/1500)^2+((C642-'Hybrid Calculator'!$B$8)/1300)^2+((D642-'Hybrid Calculator'!$B$9)/800)^2+((E642-'Hybrid Calculator'!$B$10)/350)^2+((F642-'Hybrid Calculator'!$B$11)/30)^2+(G642-'Hybrid Calculator'!$B$12)^2+((H642-'Hybrid Calculator'!$E$14)/IF(A642="Lightning",100,30000))^2+((I642-'Hybrid Calculator'!$E$17)/IF(A642="Lightning",100,30000))^2</f>
        <v>0.18512847950345526</v>
      </c>
      <c r="K642" s="2">
        <f t="shared" ref="K642:K705" si="40">RANK(J642,$J$2:$J$1401,1)</f>
        <v>414</v>
      </c>
      <c r="L642" s="2">
        <f t="shared" ref="L642:L705" si="41">IF(K642&lt;=7,1,0)</f>
        <v>0</v>
      </c>
      <c r="M642" s="2">
        <f t="shared" ref="M642:M705" si="42">IF(L642=1,1/(J642+0.000001),0)</f>
        <v>0</v>
      </c>
      <c r="N642" s="2">
        <v>1.3878265021088909E-2</v>
      </c>
      <c r="O642" s="2">
        <f t="shared" ref="O642:O705" si="43">M642</f>
        <v>0</v>
      </c>
      <c r="P642" s="2">
        <v>1.0474998796134898</v>
      </c>
      <c r="Q642" s="2">
        <v>-17.282790234479762</v>
      </c>
    </row>
    <row r="643" spans="1:17" ht="15">
      <c r="A643" s="2" t="s">
        <v>13</v>
      </c>
      <c r="B643" s="2">
        <v>1486.7423154297285</v>
      </c>
      <c r="C643" s="2">
        <v>1198.0037471279502</v>
      </c>
      <c r="D643" s="2">
        <v>682.69682070240378</v>
      </c>
      <c r="E643" s="2">
        <v>248.69178612250835</v>
      </c>
      <c r="F643" s="2">
        <v>8.3795054047368467</v>
      </c>
      <c r="G643" s="2">
        <v>0.83908691137097779</v>
      </c>
      <c r="H643" s="2">
        <v>35</v>
      </c>
      <c r="I643" s="2">
        <v>25</v>
      </c>
      <c r="J643" s="2">
        <f>(IF(A643='Hybrid Calculator'!$B$6,0,1))^2+((B643-'Hybrid Calculator'!$B$7)/1500)^2+((C643-'Hybrid Calculator'!$B$8)/1300)^2+((D643-'Hybrid Calculator'!$B$9)/800)^2+((E643-'Hybrid Calculator'!$B$10)/350)^2+((F643-'Hybrid Calculator'!$B$11)/30)^2+(G643-'Hybrid Calculator'!$B$12)^2+((H643-'Hybrid Calculator'!$E$14)/IF(A643="Lightning",100,30000))^2+((I643-'Hybrid Calculator'!$E$17)/IF(A643="Lightning",100,30000))^2</f>
        <v>0.34168828854263905</v>
      </c>
      <c r="K643" s="2">
        <f t="shared" si="40"/>
        <v>642</v>
      </c>
      <c r="L643" s="2">
        <f t="shared" si="41"/>
        <v>0</v>
      </c>
      <c r="M643" s="2">
        <f t="shared" si="42"/>
        <v>0</v>
      </c>
      <c r="N643" s="2">
        <v>1.4792737845404469E-2</v>
      </c>
      <c r="O643" s="2">
        <f t="shared" si="43"/>
        <v>0</v>
      </c>
      <c r="P643" s="2">
        <v>-0.30017654788899506</v>
      </c>
      <c r="Q643" s="2">
        <v>-13.228588269592819</v>
      </c>
    </row>
    <row r="644" spans="1:17" ht="15">
      <c r="A644" s="2" t="s">
        <v>13</v>
      </c>
      <c r="B644" s="2">
        <v>1436.1300685442984</v>
      </c>
      <c r="C644" s="2">
        <v>763.60020836582407</v>
      </c>
      <c r="D644" s="2">
        <v>713.24572656303644</v>
      </c>
      <c r="E644" s="2">
        <v>134.64657960692421</v>
      </c>
      <c r="F644" s="2">
        <v>21.810474367812276</v>
      </c>
      <c r="G644" s="2">
        <v>0.85058365768985822</v>
      </c>
      <c r="H644" s="2">
        <v>45</v>
      </c>
      <c r="I644" s="2">
        <v>25</v>
      </c>
      <c r="J644" s="2">
        <f>(IF(A644='Hybrid Calculator'!$B$6,0,1))^2+((B644-'Hybrid Calculator'!$B$7)/1500)^2+((C644-'Hybrid Calculator'!$B$8)/1300)^2+((D644-'Hybrid Calculator'!$B$9)/800)^2+((E644-'Hybrid Calculator'!$B$10)/350)^2+((F644-'Hybrid Calculator'!$B$11)/30)^2+(G644-'Hybrid Calculator'!$B$12)^2+((H644-'Hybrid Calculator'!$E$14)/IF(A644="Lightning",100,30000))^2+((I644-'Hybrid Calculator'!$E$17)/IF(A644="Lightning",100,30000))^2</f>
        <v>9.3061490775861108E-2</v>
      </c>
      <c r="K644" s="2">
        <f t="shared" si="40"/>
        <v>184</v>
      </c>
      <c r="L644" s="2">
        <f t="shared" si="41"/>
        <v>0</v>
      </c>
      <c r="M644" s="2">
        <f t="shared" si="42"/>
        <v>0</v>
      </c>
      <c r="N644" s="2">
        <v>2.5750748637560772E-3</v>
      </c>
      <c r="O644" s="2">
        <f t="shared" si="43"/>
        <v>0</v>
      </c>
      <c r="P644" s="2">
        <v>-0.10373028219378</v>
      </c>
      <c r="Q644" s="2">
        <v>-7.0166006803951859</v>
      </c>
    </row>
    <row r="645" spans="1:17" ht="15">
      <c r="A645" s="2" t="s">
        <v>13</v>
      </c>
      <c r="B645" s="2">
        <v>1367.5529490807094</v>
      </c>
      <c r="C645" s="2">
        <v>851.24130931217223</v>
      </c>
      <c r="D645" s="2">
        <v>715.4320158995688</v>
      </c>
      <c r="E645" s="2">
        <v>92.932761805132031</v>
      </c>
      <c r="F645" s="2">
        <v>26.863739893306047</v>
      </c>
      <c r="G645" s="2">
        <v>0.79585263843182474</v>
      </c>
      <c r="H645" s="2">
        <v>45</v>
      </c>
      <c r="I645" s="2">
        <v>25</v>
      </c>
      <c r="J645" s="2">
        <f>(IF(A645='Hybrid Calculator'!$B$6,0,1))^2+((B645-'Hybrid Calculator'!$B$7)/1500)^2+((C645-'Hybrid Calculator'!$B$8)/1300)^2+((D645-'Hybrid Calculator'!$B$9)/800)^2+((E645-'Hybrid Calculator'!$B$10)/350)^2+((F645-'Hybrid Calculator'!$B$11)/30)^2+(G645-'Hybrid Calculator'!$B$12)^2+((H645-'Hybrid Calculator'!$E$14)/IF(A645="Lightning",100,30000))^2+((I645-'Hybrid Calculator'!$E$17)/IF(A645="Lightning",100,30000))^2</f>
        <v>0.1813775251554251</v>
      </c>
      <c r="K645" s="2">
        <f t="shared" si="40"/>
        <v>403</v>
      </c>
      <c r="L645" s="2">
        <f t="shared" si="41"/>
        <v>0</v>
      </c>
      <c r="M645" s="2">
        <f t="shared" si="42"/>
        <v>0</v>
      </c>
      <c r="N645" s="2">
        <v>8.7640473559980059E-4</v>
      </c>
      <c r="O645" s="2">
        <f t="shared" si="43"/>
        <v>0</v>
      </c>
      <c r="P645" s="2">
        <v>0.23656515754061047</v>
      </c>
      <c r="Q645" s="2">
        <v>-5.258062411353194</v>
      </c>
    </row>
    <row r="646" spans="1:17" ht="15">
      <c r="A646" s="2" t="s">
        <v>13</v>
      </c>
      <c r="B646" s="2">
        <v>1481.7680686712265</v>
      </c>
      <c r="C646" s="2">
        <v>946.2990666157566</v>
      </c>
      <c r="D646" s="2">
        <v>569.87863052636385</v>
      </c>
      <c r="E646" s="2">
        <v>312.44005307788029</v>
      </c>
      <c r="F646" s="2">
        <v>15.776247767731547</v>
      </c>
      <c r="G646" s="2">
        <v>0.85366525058867415</v>
      </c>
      <c r="H646" s="2">
        <v>40</v>
      </c>
      <c r="I646" s="2">
        <v>25</v>
      </c>
      <c r="J646" s="2">
        <f>(IF(A646='Hybrid Calculator'!$B$6,0,1))^2+((B646-'Hybrid Calculator'!$B$7)/1500)^2+((C646-'Hybrid Calculator'!$B$8)/1300)^2+((D646-'Hybrid Calculator'!$B$9)/800)^2+((E646-'Hybrid Calculator'!$B$10)/350)^2+((F646-'Hybrid Calculator'!$B$11)/30)^2+(G646-'Hybrid Calculator'!$B$12)^2+((H646-'Hybrid Calculator'!$E$14)/IF(A646="Lightning",100,30000))^2+((I646-'Hybrid Calculator'!$E$17)/IF(A646="Lightning",100,30000))^2</f>
        <v>0.24932798064052877</v>
      </c>
      <c r="K646" s="2">
        <f t="shared" si="40"/>
        <v>537</v>
      </c>
      <c r="L646" s="2">
        <f t="shared" si="41"/>
        <v>0</v>
      </c>
      <c r="M646" s="2">
        <f t="shared" si="42"/>
        <v>0</v>
      </c>
      <c r="N646" s="2">
        <v>1.3176396320677686E-2</v>
      </c>
      <c r="O646" s="2">
        <f t="shared" si="43"/>
        <v>0</v>
      </c>
      <c r="P646" s="2">
        <v>0.28894188098733053</v>
      </c>
      <c r="Q646" s="2">
        <v>-5.4878831259516119</v>
      </c>
    </row>
    <row r="647" spans="1:17" ht="15">
      <c r="A647" s="2" t="s">
        <v>13</v>
      </c>
      <c r="B647" s="2">
        <v>1421.1980214924552</v>
      </c>
      <c r="C647" s="2">
        <v>1129.2513409862295</v>
      </c>
      <c r="D647" s="2">
        <v>406.4918682910502</v>
      </c>
      <c r="E647" s="2">
        <v>218.43396841548383</v>
      </c>
      <c r="F647" s="2">
        <v>17.705852326471359</v>
      </c>
      <c r="G647" s="2">
        <v>0.80602750272024426</v>
      </c>
      <c r="H647" s="2">
        <v>40</v>
      </c>
      <c r="I647" s="2">
        <v>25</v>
      </c>
      <c r="J647" s="2">
        <f>(IF(A647='Hybrid Calculator'!$B$6,0,1))^2+((B647-'Hybrid Calculator'!$B$7)/1500)^2+((C647-'Hybrid Calculator'!$B$8)/1300)^2+((D647-'Hybrid Calculator'!$B$9)/800)^2+((E647-'Hybrid Calculator'!$B$10)/350)^2+((F647-'Hybrid Calculator'!$B$11)/30)^2+(G647-'Hybrid Calculator'!$B$12)^2+((H647-'Hybrid Calculator'!$E$14)/IF(A647="Lightning",100,30000))^2+((I647-'Hybrid Calculator'!$E$17)/IF(A647="Lightning",100,30000))^2</f>
        <v>0.10893759937890157</v>
      </c>
      <c r="K647" s="2">
        <f t="shared" si="40"/>
        <v>225</v>
      </c>
      <c r="L647" s="2">
        <f t="shared" si="41"/>
        <v>0</v>
      </c>
      <c r="M647" s="2">
        <f t="shared" si="42"/>
        <v>0</v>
      </c>
      <c r="N647" s="2">
        <v>-5.5007666818891465E-3</v>
      </c>
      <c r="O647" s="2">
        <f t="shared" si="43"/>
        <v>0</v>
      </c>
      <c r="P647" s="2">
        <v>0.94964023840375233</v>
      </c>
      <c r="Q647" s="2">
        <v>-2.7740913937168443</v>
      </c>
    </row>
    <row r="648" spans="1:17" ht="15">
      <c r="A648" s="2" t="s">
        <v>13</v>
      </c>
      <c r="B648" s="2">
        <v>1408.8293821318075</v>
      </c>
      <c r="C648" s="2">
        <v>655.04695220151916</v>
      </c>
      <c r="D648" s="2">
        <v>707.88148678839207</v>
      </c>
      <c r="E648" s="2">
        <v>315.1397734018974</v>
      </c>
      <c r="F648" s="2">
        <v>15.949813210405409</v>
      </c>
      <c r="G648" s="2">
        <v>0.85372400830267003</v>
      </c>
      <c r="H648" s="2">
        <v>45</v>
      </c>
      <c r="I648" s="2">
        <v>25</v>
      </c>
      <c r="J648" s="2">
        <f>(IF(A648='Hybrid Calculator'!$B$6,0,1))^2+((B648-'Hybrid Calculator'!$B$7)/1500)^2+((C648-'Hybrid Calculator'!$B$8)/1300)^2+((D648-'Hybrid Calculator'!$B$9)/800)^2+((E648-'Hybrid Calculator'!$B$10)/350)^2+((F648-'Hybrid Calculator'!$B$11)/30)^2+(G648-'Hybrid Calculator'!$B$12)^2+((H648-'Hybrid Calculator'!$E$14)/IF(A648="Lightning",100,30000))^2+((I648-'Hybrid Calculator'!$E$17)/IF(A648="Lightning",100,30000))^2</f>
        <v>0.32361332894077455</v>
      </c>
      <c r="K648" s="2">
        <f t="shared" si="40"/>
        <v>627</v>
      </c>
      <c r="L648" s="2">
        <f t="shared" si="41"/>
        <v>0</v>
      </c>
      <c r="M648" s="2">
        <f t="shared" si="42"/>
        <v>0</v>
      </c>
      <c r="N648" s="2">
        <v>1.4231915311936794E-2</v>
      </c>
      <c r="O648" s="2">
        <f t="shared" si="43"/>
        <v>0</v>
      </c>
      <c r="P648" s="2">
        <v>4.9788534926022976E-3</v>
      </c>
      <c r="Q648" s="2">
        <v>2.2967574715491992</v>
      </c>
    </row>
    <row r="649" spans="1:17" ht="15">
      <c r="A649" s="2" t="s">
        <v>13</v>
      </c>
      <c r="B649" s="2">
        <v>1359.4007961801253</v>
      </c>
      <c r="C649" s="2">
        <v>797.91164915077388</v>
      </c>
      <c r="D649" s="2">
        <v>713.84423030540347</v>
      </c>
      <c r="E649" s="2">
        <v>274.92268178146333</v>
      </c>
      <c r="F649" s="2">
        <v>28.760016943793744</v>
      </c>
      <c r="G649" s="2">
        <v>0.84853547535836704</v>
      </c>
      <c r="H649" s="2">
        <v>40</v>
      </c>
      <c r="I649" s="2">
        <v>25</v>
      </c>
      <c r="J649" s="2">
        <f>(IF(A649='Hybrid Calculator'!$B$6,0,1))^2+((B649-'Hybrid Calculator'!$B$7)/1500)^2+((C649-'Hybrid Calculator'!$B$8)/1300)^2+((D649-'Hybrid Calculator'!$B$9)/800)^2+((E649-'Hybrid Calculator'!$B$10)/350)^2+((F649-'Hybrid Calculator'!$B$11)/30)^2+(G649-'Hybrid Calculator'!$B$12)^2+((H649-'Hybrid Calculator'!$E$14)/IF(A649="Lightning",100,30000))^2+((I649-'Hybrid Calculator'!$E$17)/IF(A649="Lightning",100,30000))^2</f>
        <v>0.33014205314137496</v>
      </c>
      <c r="K649" s="2">
        <f t="shared" si="40"/>
        <v>635</v>
      </c>
      <c r="L649" s="2">
        <f t="shared" si="41"/>
        <v>0</v>
      </c>
      <c r="M649" s="2">
        <f t="shared" si="42"/>
        <v>0</v>
      </c>
      <c r="N649" s="2">
        <v>-1.0702970314928617E-2</v>
      </c>
      <c r="O649" s="2">
        <f t="shared" si="43"/>
        <v>0</v>
      </c>
      <c r="P649" s="2">
        <v>-0.53671696939180435</v>
      </c>
      <c r="Q649" s="2">
        <v>-22.519621006222678</v>
      </c>
    </row>
    <row r="650" spans="1:17" ht="15">
      <c r="A650" s="2" t="s">
        <v>13</v>
      </c>
      <c r="B650" s="2">
        <v>1355.3545727860183</v>
      </c>
      <c r="C650" s="2">
        <v>624.5996528188698</v>
      </c>
      <c r="D650" s="2">
        <v>436.49385329335928</v>
      </c>
      <c r="E650" s="2">
        <v>127.23769874544814</v>
      </c>
      <c r="F650" s="2">
        <v>20.277870904654264</v>
      </c>
      <c r="G650" s="2">
        <v>0.84173975240672005</v>
      </c>
      <c r="H650" s="2">
        <v>65</v>
      </c>
      <c r="I650" s="2">
        <v>25</v>
      </c>
      <c r="J650" s="2">
        <f>(IF(A650='Hybrid Calculator'!$B$6,0,1))^2+((B650-'Hybrid Calculator'!$B$7)/1500)^2+((C650-'Hybrid Calculator'!$B$8)/1300)^2+((D650-'Hybrid Calculator'!$B$9)/800)^2+((E650-'Hybrid Calculator'!$B$10)/350)^2+((F650-'Hybrid Calculator'!$B$11)/30)^2+(G650-'Hybrid Calculator'!$B$12)^2+((H650-'Hybrid Calculator'!$E$14)/IF(A650="Lightning",100,30000))^2+((I650-'Hybrid Calculator'!$E$17)/IF(A650="Lightning",100,30000))^2</f>
        <v>6.9233914063399168E-2</v>
      </c>
      <c r="K650" s="2">
        <f t="shared" si="40"/>
        <v>110</v>
      </c>
      <c r="L650" s="2">
        <f t="shared" si="41"/>
        <v>0</v>
      </c>
      <c r="M650" s="2">
        <f t="shared" si="42"/>
        <v>0</v>
      </c>
      <c r="N650" s="2">
        <v>-2.0607070580846099E-2</v>
      </c>
      <c r="O650" s="2">
        <f t="shared" si="43"/>
        <v>0</v>
      </c>
      <c r="P650" s="2">
        <v>-1.444581582114985</v>
      </c>
      <c r="Q650" s="2">
        <v>4.3641934092709107</v>
      </c>
    </row>
    <row r="651" spans="1:17" ht="15">
      <c r="A651" s="2" t="s">
        <v>13</v>
      </c>
      <c r="B651" s="2">
        <v>1380.6441679713316</v>
      </c>
      <c r="C651" s="2">
        <v>899.44493237417191</v>
      </c>
      <c r="D651" s="2">
        <v>398.92572360113263</v>
      </c>
      <c r="E651" s="2">
        <v>195.31522776931524</v>
      </c>
      <c r="F651" s="2">
        <v>20.189734714571387</v>
      </c>
      <c r="G651" s="2">
        <v>0.81344766880851238</v>
      </c>
      <c r="H651" s="2">
        <v>50</v>
      </c>
      <c r="I651" s="2">
        <v>25</v>
      </c>
      <c r="J651" s="2">
        <f>(IF(A651='Hybrid Calculator'!$B$6,0,1))^2+((B651-'Hybrid Calculator'!$B$7)/1500)^2+((C651-'Hybrid Calculator'!$B$8)/1300)^2+((D651-'Hybrid Calculator'!$B$9)/800)^2+((E651-'Hybrid Calculator'!$B$10)/350)^2+((F651-'Hybrid Calculator'!$B$11)/30)^2+(G651-'Hybrid Calculator'!$B$12)^2+((H651-'Hybrid Calculator'!$E$14)/IF(A651="Lightning",100,30000))^2+((I651-'Hybrid Calculator'!$E$17)/IF(A651="Lightning",100,30000))^2</f>
        <v>3.8261960924825346E-2</v>
      </c>
      <c r="K651" s="2">
        <f t="shared" si="40"/>
        <v>33</v>
      </c>
      <c r="L651" s="2">
        <f t="shared" si="41"/>
        <v>0</v>
      </c>
      <c r="M651" s="2">
        <f t="shared" si="42"/>
        <v>0</v>
      </c>
      <c r="N651" s="2">
        <v>4.0377599165908329E-4</v>
      </c>
      <c r="O651" s="2">
        <f t="shared" si="43"/>
        <v>0</v>
      </c>
      <c r="P651" s="2">
        <v>0.47520330844032088</v>
      </c>
      <c r="Q651" s="2">
        <v>3.7023761851667132</v>
      </c>
    </row>
    <row r="652" spans="1:17" ht="15">
      <c r="A652" s="2" t="s">
        <v>13</v>
      </c>
      <c r="B652" s="2">
        <v>1379.7094073379412</v>
      </c>
      <c r="C652" s="2">
        <v>975.52399105625227</v>
      </c>
      <c r="D652" s="2">
        <v>734.40436348319054</v>
      </c>
      <c r="E652" s="2">
        <v>309.72127929097041</v>
      </c>
      <c r="F652" s="2">
        <v>18.685734025202692</v>
      </c>
      <c r="G652" s="2">
        <v>0.81106935063144192</v>
      </c>
      <c r="H652" s="2">
        <v>35</v>
      </c>
      <c r="I652" s="2">
        <v>25</v>
      </c>
      <c r="J652" s="2">
        <f>(IF(A652='Hybrid Calculator'!$B$6,0,1))^2+((B652-'Hybrid Calculator'!$B$7)/1500)^2+((C652-'Hybrid Calculator'!$B$8)/1300)^2+((D652-'Hybrid Calculator'!$B$9)/800)^2+((E652-'Hybrid Calculator'!$B$10)/350)^2+((F652-'Hybrid Calculator'!$B$11)/30)^2+(G652-'Hybrid Calculator'!$B$12)^2+((H652-'Hybrid Calculator'!$E$14)/IF(A652="Lightning",100,30000))^2+((I652-'Hybrid Calculator'!$E$17)/IF(A652="Lightning",100,30000))^2</f>
        <v>0.32695732147616213</v>
      </c>
      <c r="K652" s="2">
        <f t="shared" si="40"/>
        <v>633</v>
      </c>
      <c r="L652" s="2">
        <f t="shared" si="41"/>
        <v>0</v>
      </c>
      <c r="M652" s="2">
        <f t="shared" si="42"/>
        <v>0</v>
      </c>
      <c r="N652" s="2">
        <v>1.7818766469144265E-2</v>
      </c>
      <c r="O652" s="2">
        <f t="shared" si="43"/>
        <v>0</v>
      </c>
      <c r="P652" s="2">
        <v>0.35231016474511989</v>
      </c>
      <c r="Q652" s="2">
        <v>-6.5352419797625316</v>
      </c>
    </row>
    <row r="653" spans="1:17" ht="15">
      <c r="A653" s="2" t="s">
        <v>13</v>
      </c>
      <c r="B653" s="2">
        <v>1380.336956481915</v>
      </c>
      <c r="C653" s="2">
        <v>850.89244022965431</v>
      </c>
      <c r="D653" s="2">
        <v>560.77996781095862</v>
      </c>
      <c r="E653" s="2">
        <v>217.71732815075666</v>
      </c>
      <c r="F653" s="2">
        <v>29.529827566351742</v>
      </c>
      <c r="G653" s="2">
        <v>0.85180165420286358</v>
      </c>
      <c r="H653" s="2">
        <v>45</v>
      </c>
      <c r="I653" s="2">
        <v>25</v>
      </c>
      <c r="J653" s="2">
        <f>(IF(A653='Hybrid Calculator'!$B$6,0,1))^2+((B653-'Hybrid Calculator'!$B$7)/1500)^2+((C653-'Hybrid Calculator'!$B$8)/1300)^2+((D653-'Hybrid Calculator'!$B$9)/800)^2+((E653-'Hybrid Calculator'!$B$10)/350)^2+((F653-'Hybrid Calculator'!$B$11)/30)^2+(G653-'Hybrid Calculator'!$B$12)^2+((H653-'Hybrid Calculator'!$E$14)/IF(A653="Lightning",100,30000))^2+((I653-'Hybrid Calculator'!$E$17)/IF(A653="Lightning",100,30000))^2</f>
        <v>0.18277890207352879</v>
      </c>
      <c r="K653" s="2">
        <f t="shared" si="40"/>
        <v>406</v>
      </c>
      <c r="L653" s="2">
        <f t="shared" si="41"/>
        <v>0</v>
      </c>
      <c r="M653" s="2">
        <f t="shared" si="42"/>
        <v>0</v>
      </c>
      <c r="N653" s="2">
        <v>-8.6899810421272594E-3</v>
      </c>
      <c r="O653" s="2">
        <f t="shared" si="43"/>
        <v>0</v>
      </c>
      <c r="P653" s="2">
        <v>-1.0541069758816093</v>
      </c>
      <c r="Q653" s="2">
        <v>-14.145365438614363</v>
      </c>
    </row>
    <row r="654" spans="1:17" ht="15">
      <c r="A654" s="2" t="s">
        <v>13</v>
      </c>
      <c r="B654" s="2">
        <v>1381.0130051337183</v>
      </c>
      <c r="C654" s="2">
        <v>850.38172596832737</v>
      </c>
      <c r="D654" s="2">
        <v>624.37637690454721</v>
      </c>
      <c r="E654" s="2">
        <v>100.74639411875978</v>
      </c>
      <c r="F654" s="2">
        <v>25.660501921549439</v>
      </c>
      <c r="G654" s="2">
        <v>0.84776419881032783</v>
      </c>
      <c r="H654" s="2">
        <v>45</v>
      </c>
      <c r="I654" s="2">
        <v>25</v>
      </c>
      <c r="J654" s="2">
        <f>(IF(A654='Hybrid Calculator'!$B$6,0,1))^2+((B654-'Hybrid Calculator'!$B$7)/1500)^2+((C654-'Hybrid Calculator'!$B$8)/1300)^2+((D654-'Hybrid Calculator'!$B$9)/800)^2+((E654-'Hybrid Calculator'!$B$10)/350)^2+((F654-'Hybrid Calculator'!$B$11)/30)^2+(G654-'Hybrid Calculator'!$B$12)^2+((H654-'Hybrid Calculator'!$E$14)/IF(A654="Lightning",100,30000))^2+((I654-'Hybrid Calculator'!$E$17)/IF(A654="Lightning",100,30000))^2</f>
        <v>0.10507511414562128</v>
      </c>
      <c r="K654" s="2">
        <f t="shared" si="40"/>
        <v>219</v>
      </c>
      <c r="L654" s="2">
        <f t="shared" si="41"/>
        <v>0</v>
      </c>
      <c r="M654" s="2">
        <f t="shared" si="42"/>
        <v>0</v>
      </c>
      <c r="N654" s="2">
        <v>6.2698822238018703E-3</v>
      </c>
      <c r="O654" s="2">
        <f t="shared" si="43"/>
        <v>0</v>
      </c>
      <c r="P654" s="2">
        <v>-0.62246322960160683</v>
      </c>
      <c r="Q654" s="2">
        <v>-6.5963854867804912</v>
      </c>
    </row>
    <row r="655" spans="1:17" ht="15">
      <c r="A655" s="2" t="s">
        <v>13</v>
      </c>
      <c r="B655" s="2">
        <v>1477.0970167242922</v>
      </c>
      <c r="C655" s="2">
        <v>1021.0838596569374</v>
      </c>
      <c r="D655" s="2">
        <v>359.19362837448716</v>
      </c>
      <c r="E655" s="2">
        <v>279.18577023781836</v>
      </c>
      <c r="F655" s="2">
        <v>8.2835446079261601</v>
      </c>
      <c r="G655" s="2">
        <v>0.80998819357249885</v>
      </c>
      <c r="H655" s="2">
        <v>40</v>
      </c>
      <c r="I655" s="2">
        <v>25</v>
      </c>
      <c r="J655" s="2">
        <f>(IF(A655='Hybrid Calculator'!$B$6,0,1))^2+((B655-'Hybrid Calculator'!$B$7)/1500)^2+((C655-'Hybrid Calculator'!$B$8)/1300)^2+((D655-'Hybrid Calculator'!$B$9)/800)^2+((E655-'Hybrid Calculator'!$B$10)/350)^2+((F655-'Hybrid Calculator'!$B$11)/30)^2+(G655-'Hybrid Calculator'!$B$12)^2+((H655-'Hybrid Calculator'!$E$14)/IF(A655="Lightning",100,30000))^2+((I655-'Hybrid Calculator'!$E$17)/IF(A655="Lightning",100,30000))^2</f>
        <v>0.31181437187711453</v>
      </c>
      <c r="K655" s="2">
        <f t="shared" si="40"/>
        <v>611</v>
      </c>
      <c r="L655" s="2">
        <f t="shared" si="41"/>
        <v>0</v>
      </c>
      <c r="M655" s="2">
        <f t="shared" si="42"/>
        <v>0</v>
      </c>
      <c r="N655" s="2">
        <v>-3.5003120020751233E-3</v>
      </c>
      <c r="O655" s="2">
        <f t="shared" si="43"/>
        <v>0</v>
      </c>
      <c r="P655" s="2">
        <v>-0.35821075018768767</v>
      </c>
      <c r="Q655" s="2">
        <v>9.4219044872938866</v>
      </c>
    </row>
    <row r="656" spans="1:17" ht="15">
      <c r="A656" s="2" t="s">
        <v>13</v>
      </c>
      <c r="B656" s="2">
        <v>1355.8382585411891</v>
      </c>
      <c r="C656" s="2">
        <v>871.73669800395146</v>
      </c>
      <c r="D656" s="2">
        <v>615.03951363265514</v>
      </c>
      <c r="E656" s="2">
        <v>199.28536527557299</v>
      </c>
      <c r="F656" s="2">
        <v>10.785403837449849</v>
      </c>
      <c r="G656" s="2">
        <v>0.82664190285606309</v>
      </c>
      <c r="H656" s="2">
        <v>45</v>
      </c>
      <c r="I656" s="2">
        <v>25</v>
      </c>
      <c r="J656" s="2">
        <f>(IF(A656='Hybrid Calculator'!$B$6,0,1))^2+((B656-'Hybrid Calculator'!$B$7)/1500)^2+((C656-'Hybrid Calculator'!$B$8)/1300)^2+((D656-'Hybrid Calculator'!$B$9)/800)^2+((E656-'Hybrid Calculator'!$B$10)/350)^2+((F656-'Hybrid Calculator'!$B$11)/30)^2+(G656-'Hybrid Calculator'!$B$12)^2+((H656-'Hybrid Calculator'!$E$14)/IF(A656="Lightning",100,30000))^2+((I656-'Hybrid Calculator'!$E$17)/IF(A656="Lightning",100,30000))^2</f>
        <v>0.1115846161889108</v>
      </c>
      <c r="K656" s="2">
        <f t="shared" si="40"/>
        <v>232</v>
      </c>
      <c r="L656" s="2">
        <f t="shared" si="41"/>
        <v>0</v>
      </c>
      <c r="M656" s="2">
        <f t="shared" si="42"/>
        <v>0</v>
      </c>
      <c r="N656" s="2">
        <v>6.2184015399360248E-3</v>
      </c>
      <c r="O656" s="2">
        <f t="shared" si="43"/>
        <v>0</v>
      </c>
      <c r="P656" s="2">
        <v>-0.36898660120243676</v>
      </c>
      <c r="Q656" s="2">
        <v>3.0501789252148228</v>
      </c>
    </row>
    <row r="657" spans="1:17" ht="15">
      <c r="A657" s="2" t="s">
        <v>13</v>
      </c>
      <c r="B657" s="2">
        <v>1475.1710350974463</v>
      </c>
      <c r="C657" s="2">
        <v>827.95834844000638</v>
      </c>
      <c r="D657" s="2">
        <v>641.31155936047435</v>
      </c>
      <c r="E657" s="2">
        <v>247.35730168875307</v>
      </c>
      <c r="F657" s="2">
        <v>27.501720912288874</v>
      </c>
      <c r="G657" s="2">
        <v>0.85107507331296806</v>
      </c>
      <c r="H657" s="2">
        <v>40</v>
      </c>
      <c r="I657" s="2">
        <v>25</v>
      </c>
      <c r="J657" s="2">
        <f>(IF(A657='Hybrid Calculator'!$B$6,0,1))^2+((B657-'Hybrid Calculator'!$B$7)/1500)^2+((C657-'Hybrid Calculator'!$B$8)/1300)^2+((D657-'Hybrid Calculator'!$B$9)/800)^2+((E657-'Hybrid Calculator'!$B$10)/350)^2+((F657-'Hybrid Calculator'!$B$11)/30)^2+(G657-'Hybrid Calculator'!$B$12)^2+((H657-'Hybrid Calculator'!$E$14)/IF(A657="Lightning",100,30000))^2+((I657-'Hybrid Calculator'!$E$17)/IF(A657="Lightning",100,30000))^2</f>
        <v>0.21098283301191165</v>
      </c>
      <c r="K657" s="2">
        <f t="shared" si="40"/>
        <v>468</v>
      </c>
      <c r="L657" s="2">
        <f t="shared" si="41"/>
        <v>0</v>
      </c>
      <c r="M657" s="2">
        <f t="shared" si="42"/>
        <v>0</v>
      </c>
      <c r="N657" s="2">
        <v>-1.4431988917952943E-2</v>
      </c>
      <c r="O657" s="2">
        <f t="shared" si="43"/>
        <v>0</v>
      </c>
      <c r="P657" s="2">
        <v>0.67608509553946305</v>
      </c>
      <c r="Q657" s="2">
        <v>-22.740469313129324</v>
      </c>
    </row>
    <row r="658" spans="1:17" ht="15">
      <c r="A658" s="2" t="s">
        <v>13</v>
      </c>
      <c r="B658" s="2">
        <v>1477.3297032807022</v>
      </c>
      <c r="C658" s="2">
        <v>1075.6418628501706</v>
      </c>
      <c r="D658" s="2">
        <v>580.89530002325773</v>
      </c>
      <c r="E658" s="2">
        <v>263.56150138424709</v>
      </c>
      <c r="F658" s="2">
        <v>9.5055574253201485</v>
      </c>
      <c r="G658" s="2">
        <v>0.79371278861770411</v>
      </c>
      <c r="H658" s="2">
        <v>35</v>
      </c>
      <c r="I658" s="2">
        <v>25</v>
      </c>
      <c r="J658" s="2">
        <f>(IF(A658='Hybrid Calculator'!$B$6,0,1))^2+((B658-'Hybrid Calculator'!$B$7)/1500)^2+((C658-'Hybrid Calculator'!$B$8)/1300)^2+((D658-'Hybrid Calculator'!$B$9)/800)^2+((E658-'Hybrid Calculator'!$B$10)/350)^2+((F658-'Hybrid Calculator'!$B$11)/30)^2+(G658-'Hybrid Calculator'!$B$12)^2+((H658-'Hybrid Calculator'!$E$14)/IF(A658="Lightning",100,30000))^2+((I658-'Hybrid Calculator'!$E$17)/IF(A658="Lightning",100,30000))^2</f>
        <v>0.25992404295330923</v>
      </c>
      <c r="K658" s="2">
        <f t="shared" si="40"/>
        <v>557</v>
      </c>
      <c r="L658" s="2">
        <f t="shared" si="41"/>
        <v>0</v>
      </c>
      <c r="M658" s="2">
        <f t="shared" si="42"/>
        <v>0</v>
      </c>
      <c r="N658" s="2">
        <v>1.0486306887505847E-2</v>
      </c>
      <c r="O658" s="2">
        <f t="shared" si="43"/>
        <v>0</v>
      </c>
      <c r="P658" s="2">
        <v>-0.43809206881633855</v>
      </c>
      <c r="Q658" s="2">
        <v>-3.3911128183658548</v>
      </c>
    </row>
    <row r="659" spans="1:17" ht="15">
      <c r="A659" s="2" t="s">
        <v>13</v>
      </c>
      <c r="B659" s="2">
        <v>1420.8934794296511</v>
      </c>
      <c r="C659" s="2">
        <v>835.11728865560144</v>
      </c>
      <c r="D659" s="2">
        <v>508.9807060547173</v>
      </c>
      <c r="E659" s="2">
        <v>238.85807340964675</v>
      </c>
      <c r="F659" s="2">
        <v>11.842008321080357</v>
      </c>
      <c r="G659" s="2">
        <v>0.82211772353854029</v>
      </c>
      <c r="H659" s="2">
        <v>50</v>
      </c>
      <c r="I659" s="2">
        <v>25</v>
      </c>
      <c r="J659" s="2">
        <f>(IF(A659='Hybrid Calculator'!$B$6,0,1))^2+((B659-'Hybrid Calculator'!$B$7)/1500)^2+((C659-'Hybrid Calculator'!$B$8)/1300)^2+((D659-'Hybrid Calculator'!$B$9)/800)^2+((E659-'Hybrid Calculator'!$B$10)/350)^2+((F659-'Hybrid Calculator'!$B$11)/30)^2+(G659-'Hybrid Calculator'!$B$12)^2+((H659-'Hybrid Calculator'!$E$14)/IF(A659="Lightning",100,30000))^2+((I659-'Hybrid Calculator'!$E$17)/IF(A659="Lightning",100,30000))^2</f>
        <v>0.11397850450191946</v>
      </c>
      <c r="K659" s="2">
        <f t="shared" si="40"/>
        <v>238</v>
      </c>
      <c r="L659" s="2">
        <f t="shared" si="41"/>
        <v>0</v>
      </c>
      <c r="M659" s="2">
        <f t="shared" si="42"/>
        <v>0</v>
      </c>
      <c r="N659" s="2">
        <v>-1.6935725668543178E-4</v>
      </c>
      <c r="O659" s="2">
        <f t="shared" si="43"/>
        <v>0</v>
      </c>
      <c r="P659" s="2">
        <v>0.72072486793398127</v>
      </c>
      <c r="Q659" s="2">
        <v>10.047706063331589</v>
      </c>
    </row>
    <row r="660" spans="1:17" ht="15">
      <c r="A660" s="2" t="s">
        <v>13</v>
      </c>
      <c r="B660" s="2">
        <v>1413.4752867277712</v>
      </c>
      <c r="C660" s="2">
        <v>1193.8865366275422</v>
      </c>
      <c r="D660" s="2">
        <v>528.96870281547308</v>
      </c>
      <c r="E660" s="2">
        <v>314.05069654108956</v>
      </c>
      <c r="F660" s="2">
        <v>11.931580428034067</v>
      </c>
      <c r="G660" s="2">
        <v>0.82533558257156991</v>
      </c>
      <c r="H660" s="2">
        <v>35</v>
      </c>
      <c r="I660" s="2">
        <v>25</v>
      </c>
      <c r="J660" s="2">
        <f>(IF(A660='Hybrid Calculator'!$B$6,0,1))^2+((B660-'Hybrid Calculator'!$B$7)/1500)^2+((C660-'Hybrid Calculator'!$B$8)/1300)^2+((D660-'Hybrid Calculator'!$B$9)/800)^2+((E660-'Hybrid Calculator'!$B$10)/350)^2+((F660-'Hybrid Calculator'!$B$11)/30)^2+(G660-'Hybrid Calculator'!$B$12)^2+((H660-'Hybrid Calculator'!$E$14)/IF(A660="Lightning",100,30000))^2+((I660-'Hybrid Calculator'!$E$17)/IF(A660="Lightning",100,30000))^2</f>
        <v>0.36150672098060505</v>
      </c>
      <c r="K660" s="2">
        <f t="shared" si="40"/>
        <v>658</v>
      </c>
      <c r="L660" s="2">
        <f t="shared" si="41"/>
        <v>0</v>
      </c>
      <c r="M660" s="2">
        <f t="shared" si="42"/>
        <v>0</v>
      </c>
      <c r="N660" s="2">
        <v>1.6207793196548081E-2</v>
      </c>
      <c r="O660" s="2">
        <f t="shared" si="43"/>
        <v>0</v>
      </c>
      <c r="P660" s="2">
        <v>0.20247212686540195</v>
      </c>
      <c r="Q660" s="2">
        <v>1.6410422243127414</v>
      </c>
    </row>
    <row r="661" spans="1:17" ht="15">
      <c r="A661" s="2" t="s">
        <v>13</v>
      </c>
      <c r="B661" s="2">
        <v>1453.9099907618947</v>
      </c>
      <c r="C661" s="2">
        <v>655.39360127877444</v>
      </c>
      <c r="D661" s="2">
        <v>588.53091346099973</v>
      </c>
      <c r="E661" s="2">
        <v>306.97241231799126</v>
      </c>
      <c r="F661" s="2">
        <v>13.59949258947745</v>
      </c>
      <c r="G661" s="2">
        <v>0.79825998521875596</v>
      </c>
      <c r="H661" s="2">
        <v>45</v>
      </c>
      <c r="I661" s="2">
        <v>25</v>
      </c>
      <c r="J661" s="2">
        <f>(IF(A661='Hybrid Calculator'!$B$6,0,1))^2+((B661-'Hybrid Calculator'!$B$7)/1500)^2+((C661-'Hybrid Calculator'!$B$8)/1300)^2+((D661-'Hybrid Calculator'!$B$9)/800)^2+((E661-'Hybrid Calculator'!$B$10)/350)^2+((F661-'Hybrid Calculator'!$B$11)/30)^2+(G661-'Hybrid Calculator'!$B$12)^2+((H661-'Hybrid Calculator'!$E$14)/IF(A661="Lightning",100,30000))^2+((I661-'Hybrid Calculator'!$E$17)/IF(A661="Lightning",100,30000))^2</f>
        <v>0.26582871300678051</v>
      </c>
      <c r="K661" s="2">
        <f t="shared" si="40"/>
        <v>566</v>
      </c>
      <c r="L661" s="2">
        <f t="shared" si="41"/>
        <v>0</v>
      </c>
      <c r="M661" s="2">
        <f t="shared" si="42"/>
        <v>0</v>
      </c>
      <c r="N661" s="2">
        <v>1.170936373842757E-2</v>
      </c>
      <c r="O661" s="2">
        <f t="shared" si="43"/>
        <v>0</v>
      </c>
      <c r="P661" s="2">
        <v>-1.2801063145936524</v>
      </c>
      <c r="Q661" s="2">
        <v>0.52685424158266869</v>
      </c>
    </row>
    <row r="662" spans="1:17" ht="15">
      <c r="A662" s="2" t="s">
        <v>13</v>
      </c>
      <c r="B662" s="2">
        <v>1448.2032293686643</v>
      </c>
      <c r="C662" s="2">
        <v>668.35864494787529</v>
      </c>
      <c r="D662" s="2">
        <v>581.95448890328407</v>
      </c>
      <c r="E662" s="2">
        <v>167.54308003699407</v>
      </c>
      <c r="F662" s="2">
        <v>25.979770227335393</v>
      </c>
      <c r="G662" s="2">
        <v>0.84164457088103517</v>
      </c>
      <c r="H662" s="2">
        <v>50</v>
      </c>
      <c r="I662" s="2">
        <v>25</v>
      </c>
      <c r="J662" s="2">
        <f>(IF(A662='Hybrid Calculator'!$B$6,0,1))^2+((B662-'Hybrid Calculator'!$B$7)/1500)^2+((C662-'Hybrid Calculator'!$B$8)/1300)^2+((D662-'Hybrid Calculator'!$B$9)/800)^2+((E662-'Hybrid Calculator'!$B$10)/350)^2+((F662-'Hybrid Calculator'!$B$11)/30)^2+(G662-'Hybrid Calculator'!$B$12)^2+((H662-'Hybrid Calculator'!$E$14)/IF(A662="Lightning",100,30000))^2+((I662-'Hybrid Calculator'!$E$17)/IF(A662="Lightning",100,30000))^2</f>
        <v>9.5400807921222783E-2</v>
      </c>
      <c r="K662" s="2">
        <f t="shared" si="40"/>
        <v>189</v>
      </c>
      <c r="L662" s="2">
        <f t="shared" si="41"/>
        <v>0</v>
      </c>
      <c r="M662" s="2">
        <f t="shared" si="42"/>
        <v>0</v>
      </c>
      <c r="N662" s="2">
        <v>-2.6935924092950092E-3</v>
      </c>
      <c r="O662" s="2">
        <f t="shared" si="43"/>
        <v>0</v>
      </c>
      <c r="P662" s="2">
        <v>-1.3137507814260587</v>
      </c>
      <c r="Q662" s="2">
        <v>-0.52012761053333634</v>
      </c>
    </row>
    <row r="663" spans="1:17" ht="15">
      <c r="A663" s="2" t="s">
        <v>13</v>
      </c>
      <c r="B663" s="2">
        <v>1471.9530451926403</v>
      </c>
      <c r="C663" s="2">
        <v>1154.4910604134202</v>
      </c>
      <c r="D663" s="2">
        <v>433.5562034510076</v>
      </c>
      <c r="E663" s="2">
        <v>257.48529848176986</v>
      </c>
      <c r="F663" s="2">
        <v>10.241567784454674</v>
      </c>
      <c r="G663" s="2">
        <v>0.84348609260283414</v>
      </c>
      <c r="H663" s="2">
        <v>40</v>
      </c>
      <c r="I663" s="2">
        <v>25</v>
      </c>
      <c r="J663" s="2">
        <f>(IF(A663='Hybrid Calculator'!$B$6,0,1))^2+((B663-'Hybrid Calculator'!$B$7)/1500)^2+((C663-'Hybrid Calculator'!$B$8)/1300)^2+((D663-'Hybrid Calculator'!$B$9)/800)^2+((E663-'Hybrid Calculator'!$B$10)/350)^2+((F663-'Hybrid Calculator'!$B$11)/30)^2+(G663-'Hybrid Calculator'!$B$12)^2+((H663-'Hybrid Calculator'!$E$14)/IF(A663="Lightning",100,30000))^2+((I663-'Hybrid Calculator'!$E$17)/IF(A663="Lightning",100,30000))^2</f>
        <v>0.24338093970808919</v>
      </c>
      <c r="K663" s="2">
        <f t="shared" si="40"/>
        <v>528</v>
      </c>
      <c r="L663" s="2">
        <f t="shared" si="41"/>
        <v>0</v>
      </c>
      <c r="M663" s="2">
        <f t="shared" si="42"/>
        <v>0</v>
      </c>
      <c r="N663" s="2">
        <v>4.8022814551598181E-3</v>
      </c>
      <c r="O663" s="2">
        <f t="shared" si="43"/>
        <v>0</v>
      </c>
      <c r="P663" s="2">
        <v>1.6433065201079202</v>
      </c>
      <c r="Q663" s="2">
        <v>-0.75706050063899966</v>
      </c>
    </row>
    <row r="664" spans="1:17" ht="15">
      <c r="A664" s="2" t="s">
        <v>13</v>
      </c>
      <c r="B664" s="2">
        <v>1361.7710595019162</v>
      </c>
      <c r="C664" s="2">
        <v>1068.986366072204</v>
      </c>
      <c r="D664" s="2">
        <v>401.95724163204432</v>
      </c>
      <c r="E664" s="2">
        <v>218.78422981360927</v>
      </c>
      <c r="F664" s="2">
        <v>19.364979224279523</v>
      </c>
      <c r="G664" s="2">
        <v>0.80029887496726593</v>
      </c>
      <c r="H664" s="2">
        <v>45</v>
      </c>
      <c r="I664" s="2">
        <v>25</v>
      </c>
      <c r="J664" s="2">
        <f>(IF(A664='Hybrid Calculator'!$B$6,0,1))^2+((B664-'Hybrid Calculator'!$B$7)/1500)^2+((C664-'Hybrid Calculator'!$B$8)/1300)^2+((D664-'Hybrid Calculator'!$B$9)/800)^2+((E664-'Hybrid Calculator'!$B$10)/350)^2+((F664-'Hybrid Calculator'!$B$11)/30)^2+(G664-'Hybrid Calculator'!$B$12)^2+((H664-'Hybrid Calculator'!$E$14)/IF(A664="Lightning",100,30000))^2+((I664-'Hybrid Calculator'!$E$17)/IF(A664="Lightning",100,30000))^2</f>
        <v>8.751401805489141E-2</v>
      </c>
      <c r="K664" s="2">
        <f t="shared" si="40"/>
        <v>163</v>
      </c>
      <c r="L664" s="2">
        <f t="shared" si="41"/>
        <v>0</v>
      </c>
      <c r="M664" s="2">
        <f t="shared" si="42"/>
        <v>0</v>
      </c>
      <c r="N664" s="2">
        <v>4.869598428682842E-4</v>
      </c>
      <c r="O664" s="2">
        <f t="shared" si="43"/>
        <v>0</v>
      </c>
      <c r="P664" s="2">
        <v>0.68628339169241315</v>
      </c>
      <c r="Q664" s="2">
        <v>-2.2723629978841018</v>
      </c>
    </row>
    <row r="665" spans="1:17" ht="15">
      <c r="A665" s="2" t="s">
        <v>13</v>
      </c>
      <c r="B665" s="2">
        <v>1411.6186134167947</v>
      </c>
      <c r="C665" s="2">
        <v>1067.6004064502195</v>
      </c>
      <c r="D665" s="2">
        <v>731.53275931254029</v>
      </c>
      <c r="E665" s="2">
        <v>149.13868454284966</v>
      </c>
      <c r="F665" s="2">
        <v>19.25569984363392</v>
      </c>
      <c r="G665" s="2">
        <v>0.79310456412378705</v>
      </c>
      <c r="H665" s="2">
        <v>35</v>
      </c>
      <c r="I665" s="2">
        <v>25</v>
      </c>
      <c r="J665" s="2">
        <f>(IF(A665='Hybrid Calculator'!$B$6,0,1))^2+((B665-'Hybrid Calculator'!$B$7)/1500)^2+((C665-'Hybrid Calculator'!$B$8)/1300)^2+((D665-'Hybrid Calculator'!$B$9)/800)^2+((E665-'Hybrid Calculator'!$B$10)/350)^2+((F665-'Hybrid Calculator'!$B$11)/30)^2+(G665-'Hybrid Calculator'!$B$12)^2+((H665-'Hybrid Calculator'!$E$14)/IF(A665="Lightning",100,30000))^2+((I665-'Hybrid Calculator'!$E$17)/IF(A665="Lightning",100,30000))^2</f>
        <v>0.13572284498706552</v>
      </c>
      <c r="K665" s="2">
        <f t="shared" si="40"/>
        <v>294</v>
      </c>
      <c r="L665" s="2">
        <f t="shared" si="41"/>
        <v>0</v>
      </c>
      <c r="M665" s="2">
        <f t="shared" si="42"/>
        <v>0</v>
      </c>
      <c r="N665" s="2">
        <v>6.4926099642841351E-3</v>
      </c>
      <c r="O665" s="2">
        <f t="shared" si="43"/>
        <v>0</v>
      </c>
      <c r="P665" s="2">
        <v>0.58939376365641039</v>
      </c>
      <c r="Q665" s="2">
        <v>-6.036491056646355</v>
      </c>
    </row>
    <row r="666" spans="1:17" ht="15">
      <c r="A666" s="2" t="s">
        <v>13</v>
      </c>
      <c r="B666" s="2">
        <v>1394.7354150703177</v>
      </c>
      <c r="C666" s="2">
        <v>1042.7805047133006</v>
      </c>
      <c r="D666" s="2">
        <v>733.41667018830776</v>
      </c>
      <c r="E666" s="2">
        <v>284.60773882223293</v>
      </c>
      <c r="F666" s="2">
        <v>8.482246202416718</v>
      </c>
      <c r="G666" s="2">
        <v>0.79653409619582816</v>
      </c>
      <c r="H666" s="2">
        <v>35</v>
      </c>
      <c r="I666" s="2">
        <v>25</v>
      </c>
      <c r="J666" s="2">
        <f>(IF(A666='Hybrid Calculator'!$B$6,0,1))^2+((B666-'Hybrid Calculator'!$B$7)/1500)^2+((C666-'Hybrid Calculator'!$B$8)/1300)^2+((D666-'Hybrid Calculator'!$B$9)/800)^2+((E666-'Hybrid Calculator'!$B$10)/350)^2+((F666-'Hybrid Calculator'!$B$11)/30)^2+(G666-'Hybrid Calculator'!$B$12)^2+((H666-'Hybrid Calculator'!$E$14)/IF(A666="Lightning",100,30000))^2+((I666-'Hybrid Calculator'!$E$17)/IF(A666="Lightning",100,30000))^2</f>
        <v>0.38999686155746993</v>
      </c>
      <c r="K666" s="2">
        <f t="shared" si="40"/>
        <v>679</v>
      </c>
      <c r="L666" s="2">
        <f t="shared" si="41"/>
        <v>0</v>
      </c>
      <c r="M666" s="2">
        <f t="shared" si="42"/>
        <v>0</v>
      </c>
      <c r="N666" s="2">
        <v>4.8858769831923166E-3</v>
      </c>
      <c r="O666" s="2">
        <f t="shared" si="43"/>
        <v>0</v>
      </c>
      <c r="P666" s="2">
        <v>1.393407252908446</v>
      </c>
      <c r="Q666" s="2">
        <v>-3.9816603916622171</v>
      </c>
    </row>
    <row r="667" spans="1:17" ht="15">
      <c r="A667" s="2" t="s">
        <v>13</v>
      </c>
      <c r="B667" s="2">
        <v>1426.3071866123937</v>
      </c>
      <c r="C667" s="2">
        <v>839.22682576812804</v>
      </c>
      <c r="D667" s="2">
        <v>402.68053887411952</v>
      </c>
      <c r="E667" s="2">
        <v>185.24789558257908</v>
      </c>
      <c r="F667" s="2">
        <v>13.492219537030905</v>
      </c>
      <c r="G667" s="2">
        <v>0.847013001088053</v>
      </c>
      <c r="H667" s="2">
        <v>55</v>
      </c>
      <c r="I667" s="2">
        <v>25</v>
      </c>
      <c r="J667" s="2">
        <f>(IF(A667='Hybrid Calculator'!$B$6,0,1))^2+((B667-'Hybrid Calculator'!$B$7)/1500)^2+((C667-'Hybrid Calculator'!$B$8)/1300)^2+((D667-'Hybrid Calculator'!$B$9)/800)^2+((E667-'Hybrid Calculator'!$B$10)/350)^2+((F667-'Hybrid Calculator'!$B$11)/30)^2+(G667-'Hybrid Calculator'!$B$12)^2+((H667-'Hybrid Calculator'!$E$14)/IF(A667="Lightning",100,30000))^2+((I667-'Hybrid Calculator'!$E$17)/IF(A667="Lightning",100,30000))^2</f>
        <v>5.6104146494639705E-2</v>
      </c>
      <c r="K667" s="2">
        <f t="shared" si="40"/>
        <v>72</v>
      </c>
      <c r="L667" s="2">
        <f t="shared" si="41"/>
        <v>0</v>
      </c>
      <c r="M667" s="2">
        <f t="shared" si="42"/>
        <v>0</v>
      </c>
      <c r="N667" s="2">
        <v>-4.2684883881858315E-3</v>
      </c>
      <c r="O667" s="2">
        <f t="shared" si="43"/>
        <v>0</v>
      </c>
      <c r="P667" s="2">
        <v>-0.18387806976808463</v>
      </c>
      <c r="Q667" s="2">
        <v>4.8067012818876265</v>
      </c>
    </row>
    <row r="668" spans="1:17" ht="15">
      <c r="A668" s="2" t="s">
        <v>13</v>
      </c>
      <c r="B668" s="2">
        <v>1456.6859726328403</v>
      </c>
      <c r="C668" s="2">
        <v>1050.6964556756429</v>
      </c>
      <c r="D668" s="2">
        <v>424.66318886727095</v>
      </c>
      <c r="E668" s="2">
        <v>104.29780206875876</v>
      </c>
      <c r="F668" s="2">
        <v>17.504483461380005</v>
      </c>
      <c r="G668" s="2">
        <v>0.83304061031201859</v>
      </c>
      <c r="H668" s="2">
        <v>45</v>
      </c>
      <c r="I668" s="2">
        <v>25</v>
      </c>
      <c r="J668" s="2">
        <f>(IF(A668='Hybrid Calculator'!$B$6,0,1))^2+((B668-'Hybrid Calculator'!$B$7)/1500)^2+((C668-'Hybrid Calculator'!$B$8)/1300)^2+((D668-'Hybrid Calculator'!$B$9)/800)^2+((E668-'Hybrid Calculator'!$B$10)/350)^2+((F668-'Hybrid Calculator'!$B$11)/30)^2+(G668-'Hybrid Calculator'!$B$12)^2+((H668-'Hybrid Calculator'!$E$14)/IF(A668="Lightning",100,30000))^2+((I668-'Hybrid Calculator'!$E$17)/IF(A668="Lightning",100,30000))^2</f>
        <v>5.3969935752856829E-2</v>
      </c>
      <c r="K668" s="2">
        <f t="shared" si="40"/>
        <v>64</v>
      </c>
      <c r="L668" s="2">
        <f t="shared" si="41"/>
        <v>0</v>
      </c>
      <c r="M668" s="2">
        <f t="shared" si="42"/>
        <v>0</v>
      </c>
      <c r="N668" s="2">
        <v>9.1695912062794704E-3</v>
      </c>
      <c r="O668" s="2">
        <f t="shared" si="43"/>
        <v>0</v>
      </c>
      <c r="P668" s="2">
        <v>0.62247797872059607</v>
      </c>
      <c r="Q668" s="2">
        <v>2.920216771174637</v>
      </c>
    </row>
    <row r="669" spans="1:17" ht="15">
      <c r="A669" s="2" t="s">
        <v>13</v>
      </c>
      <c r="B669" s="2">
        <v>1441.8987305019982</v>
      </c>
      <c r="C669" s="2">
        <v>685.79581619706005</v>
      </c>
      <c r="D669" s="2">
        <v>678.86128844693303</v>
      </c>
      <c r="E669" s="2">
        <v>286.61207521334291</v>
      </c>
      <c r="F669" s="2">
        <v>10.069010487291962</v>
      </c>
      <c r="G669" s="2">
        <v>0.79278362972196192</v>
      </c>
      <c r="H669" s="2">
        <v>40</v>
      </c>
      <c r="I669" s="2">
        <v>25</v>
      </c>
      <c r="J669" s="2">
        <f>(IF(A669='Hybrid Calculator'!$B$6,0,1))^2+((B669-'Hybrid Calculator'!$B$7)/1500)^2+((C669-'Hybrid Calculator'!$B$8)/1300)^2+((D669-'Hybrid Calculator'!$B$9)/800)^2+((E669-'Hybrid Calculator'!$B$10)/350)^2+((F669-'Hybrid Calculator'!$B$11)/30)^2+(G669-'Hybrid Calculator'!$B$12)^2+((H669-'Hybrid Calculator'!$E$14)/IF(A669="Lightning",100,30000))^2+((I669-'Hybrid Calculator'!$E$17)/IF(A669="Lightning",100,30000))^2</f>
        <v>0.30813800456409635</v>
      </c>
      <c r="K669" s="2">
        <f t="shared" si="40"/>
        <v>605</v>
      </c>
      <c r="L669" s="2">
        <f t="shared" si="41"/>
        <v>0</v>
      </c>
      <c r="M669" s="2">
        <f t="shared" si="42"/>
        <v>0</v>
      </c>
      <c r="N669" s="2">
        <v>1.8991340214546959E-2</v>
      </c>
      <c r="O669" s="2">
        <f t="shared" si="43"/>
        <v>0</v>
      </c>
      <c r="P669" s="2">
        <v>-1.0648726797064043</v>
      </c>
      <c r="Q669" s="2">
        <v>8.6249493964323847</v>
      </c>
    </row>
    <row r="670" spans="1:17" ht="15">
      <c r="A670" s="2" t="s">
        <v>13</v>
      </c>
      <c r="B670" s="2">
        <v>1457.0166074903682</v>
      </c>
      <c r="C670" s="2">
        <v>1050.6367711466737</v>
      </c>
      <c r="D670" s="2">
        <v>488.4228304028511</v>
      </c>
      <c r="E670" s="2">
        <v>302.62718429556116</v>
      </c>
      <c r="F670" s="2">
        <v>14.420177469961345</v>
      </c>
      <c r="G670" s="2">
        <v>0.81258035439765086</v>
      </c>
      <c r="H670" s="2">
        <v>40</v>
      </c>
      <c r="I670" s="2">
        <v>25</v>
      </c>
      <c r="J670" s="2">
        <f>(IF(A670='Hybrid Calculator'!$B$6,0,1))^2+((B670-'Hybrid Calculator'!$B$7)/1500)^2+((C670-'Hybrid Calculator'!$B$8)/1300)^2+((D670-'Hybrid Calculator'!$B$9)/800)^2+((E670-'Hybrid Calculator'!$B$10)/350)^2+((F670-'Hybrid Calculator'!$B$11)/30)^2+(G670-'Hybrid Calculator'!$B$12)^2+((H670-'Hybrid Calculator'!$E$14)/IF(A670="Lightning",100,30000))^2+((I670-'Hybrid Calculator'!$E$17)/IF(A670="Lightning",100,30000))^2</f>
        <v>0.24319777675998103</v>
      </c>
      <c r="K670" s="2">
        <f t="shared" si="40"/>
        <v>527</v>
      </c>
      <c r="L670" s="2">
        <f t="shared" si="41"/>
        <v>0</v>
      </c>
      <c r="M670" s="2">
        <f t="shared" si="42"/>
        <v>0</v>
      </c>
      <c r="N670" s="2">
        <v>1.9277141662896957E-2</v>
      </c>
      <c r="O670" s="2">
        <f t="shared" si="43"/>
        <v>0</v>
      </c>
      <c r="P670" s="2">
        <v>1.2262332107985543</v>
      </c>
      <c r="Q670" s="2">
        <v>1.797864592988617</v>
      </c>
    </row>
    <row r="671" spans="1:17" ht="15">
      <c r="A671" s="2" t="s">
        <v>13</v>
      </c>
      <c r="B671" s="2">
        <v>1455.6760824169032</v>
      </c>
      <c r="C671" s="2">
        <v>671.47916434332728</v>
      </c>
      <c r="D671" s="2">
        <v>601.98323642835021</v>
      </c>
      <c r="E671" s="2">
        <v>136.90193048212677</v>
      </c>
      <c r="F671" s="2">
        <v>29.547042464371771</v>
      </c>
      <c r="G671" s="2">
        <v>0.81561842125840489</v>
      </c>
      <c r="H671" s="2">
        <v>50</v>
      </c>
      <c r="I671" s="2">
        <v>25</v>
      </c>
      <c r="J671" s="2">
        <f>(IF(A671='Hybrid Calculator'!$B$6,0,1))^2+((B671-'Hybrid Calculator'!$B$7)/1500)^2+((C671-'Hybrid Calculator'!$B$8)/1300)^2+((D671-'Hybrid Calculator'!$B$9)/800)^2+((E671-'Hybrid Calculator'!$B$10)/350)^2+((F671-'Hybrid Calculator'!$B$11)/30)^2+(G671-'Hybrid Calculator'!$B$12)^2+((H671-'Hybrid Calculator'!$E$14)/IF(A671="Lightning",100,30000))^2+((I671-'Hybrid Calculator'!$E$17)/IF(A671="Lightning",100,30000))^2</f>
        <v>0.17254345663516357</v>
      </c>
      <c r="K671" s="2">
        <f t="shared" si="40"/>
        <v>388</v>
      </c>
      <c r="L671" s="2">
        <f t="shared" si="41"/>
        <v>0</v>
      </c>
      <c r="M671" s="2">
        <f t="shared" si="42"/>
        <v>0</v>
      </c>
      <c r="N671" s="2">
        <v>-1.993867533684357E-3</v>
      </c>
      <c r="O671" s="2">
        <f t="shared" si="43"/>
        <v>0</v>
      </c>
      <c r="P671" s="2">
        <v>-1.3309549190550598</v>
      </c>
      <c r="Q671" s="2">
        <v>-2.4535195866924369</v>
      </c>
    </row>
    <row r="672" spans="1:17" ht="15">
      <c r="A672" s="2" t="s">
        <v>13</v>
      </c>
      <c r="B672" s="2">
        <v>1451.1193748563528</v>
      </c>
      <c r="C672" s="2">
        <v>655.65285518532619</v>
      </c>
      <c r="D672" s="2">
        <v>548.2901768758893</v>
      </c>
      <c r="E672" s="2">
        <v>236.93220548564568</v>
      </c>
      <c r="F672" s="2">
        <v>20.175062907859683</v>
      </c>
      <c r="G672" s="2">
        <v>0.80839154717745265</v>
      </c>
      <c r="H672" s="2">
        <v>50</v>
      </c>
      <c r="I672" s="2">
        <v>25</v>
      </c>
      <c r="J672" s="2">
        <f>(IF(A672='Hybrid Calculator'!$B$6,0,1))^2+((B672-'Hybrid Calculator'!$B$7)/1500)^2+((C672-'Hybrid Calculator'!$B$8)/1300)^2+((D672-'Hybrid Calculator'!$B$9)/800)^2+((E672-'Hybrid Calculator'!$B$10)/350)^2+((F672-'Hybrid Calculator'!$B$11)/30)^2+(G672-'Hybrid Calculator'!$B$12)^2+((H672-'Hybrid Calculator'!$E$14)/IF(A672="Lightning",100,30000))^2+((I672-'Hybrid Calculator'!$E$17)/IF(A672="Lightning",100,30000))^2</f>
        <v>9.1240309262734534E-2</v>
      </c>
      <c r="K672" s="2">
        <f t="shared" si="40"/>
        <v>178</v>
      </c>
      <c r="L672" s="2">
        <f t="shared" si="41"/>
        <v>0</v>
      </c>
      <c r="M672" s="2">
        <f t="shared" si="42"/>
        <v>0</v>
      </c>
      <c r="N672" s="2">
        <v>-4.7695103756930646E-3</v>
      </c>
      <c r="O672" s="2">
        <f t="shared" si="43"/>
        <v>0</v>
      </c>
      <c r="P672" s="2">
        <v>-0.542884985256471</v>
      </c>
      <c r="Q672" s="2">
        <v>-3.6303958295256962</v>
      </c>
    </row>
    <row r="673" spans="1:17" ht="15">
      <c r="A673" s="2" t="s">
        <v>13</v>
      </c>
      <c r="B673" s="2">
        <v>1484.8417016328312</v>
      </c>
      <c r="C673" s="2">
        <v>681.55586554203182</v>
      </c>
      <c r="D673" s="2">
        <v>399.56032792106271</v>
      </c>
      <c r="E673" s="2">
        <v>142.03749752603471</v>
      </c>
      <c r="F673" s="2">
        <v>10.163613420445472</v>
      </c>
      <c r="G673" s="2">
        <v>0.84034324400592597</v>
      </c>
      <c r="H673" s="2">
        <v>65</v>
      </c>
      <c r="I673" s="2">
        <v>25</v>
      </c>
      <c r="J673" s="2">
        <f>(IF(A673='Hybrid Calculator'!$B$6,0,1))^2+((B673-'Hybrid Calculator'!$B$7)/1500)^2+((C673-'Hybrid Calculator'!$B$8)/1300)^2+((D673-'Hybrid Calculator'!$B$9)/800)^2+((E673-'Hybrid Calculator'!$B$10)/350)^2+((F673-'Hybrid Calculator'!$B$11)/30)^2+(G673-'Hybrid Calculator'!$B$12)^2+((H673-'Hybrid Calculator'!$E$14)/IF(A673="Lightning",100,30000))^2+((I673-'Hybrid Calculator'!$E$17)/IF(A673="Lightning",100,30000))^2</f>
        <v>0.13479173403553391</v>
      </c>
      <c r="K673" s="2">
        <f t="shared" si="40"/>
        <v>291</v>
      </c>
      <c r="L673" s="2">
        <f t="shared" si="41"/>
        <v>0</v>
      </c>
      <c r="M673" s="2">
        <f t="shared" si="42"/>
        <v>0</v>
      </c>
      <c r="N673" s="2">
        <v>5.8673093189076653E-4</v>
      </c>
      <c r="O673" s="2">
        <f t="shared" si="43"/>
        <v>0</v>
      </c>
      <c r="P673" s="2">
        <v>7.2924971225084789E-2</v>
      </c>
      <c r="Q673" s="2">
        <v>18.247299545105534</v>
      </c>
    </row>
    <row r="674" spans="1:17" ht="15">
      <c r="A674" s="2" t="s">
        <v>13</v>
      </c>
      <c r="B674" s="2">
        <v>1398.612208943814</v>
      </c>
      <c r="C674" s="2">
        <v>1130.8437246247195</v>
      </c>
      <c r="D674" s="2">
        <v>721.80008832365274</v>
      </c>
      <c r="E674" s="2">
        <v>227.7775732637383</v>
      </c>
      <c r="F674" s="2">
        <v>10.125535914674401</v>
      </c>
      <c r="G674" s="2">
        <v>0.84365140076028189</v>
      </c>
      <c r="H674" s="2">
        <v>35</v>
      </c>
      <c r="I674" s="2">
        <v>25</v>
      </c>
      <c r="J674" s="2">
        <f>(IF(A674='Hybrid Calculator'!$B$6,0,1))^2+((B674-'Hybrid Calculator'!$B$7)/1500)^2+((C674-'Hybrid Calculator'!$B$8)/1300)^2+((D674-'Hybrid Calculator'!$B$9)/800)^2+((E674-'Hybrid Calculator'!$B$10)/350)^2+((F674-'Hybrid Calculator'!$B$11)/30)^2+(G674-'Hybrid Calculator'!$B$12)^2+((H674-'Hybrid Calculator'!$E$14)/IF(A674="Lightning",100,30000))^2+((I674-'Hybrid Calculator'!$E$17)/IF(A674="Lightning",100,30000))^2</f>
        <v>0.27421352767940538</v>
      </c>
      <c r="K674" s="2">
        <f t="shared" si="40"/>
        <v>577</v>
      </c>
      <c r="L674" s="2">
        <f t="shared" si="41"/>
        <v>0</v>
      </c>
      <c r="M674" s="2">
        <f t="shared" si="42"/>
        <v>0</v>
      </c>
      <c r="N674" s="2">
        <v>5.742705010229221E-3</v>
      </c>
      <c r="O674" s="2">
        <f t="shared" si="43"/>
        <v>0</v>
      </c>
      <c r="P674" s="2">
        <v>0.3375104411127765</v>
      </c>
      <c r="Q674" s="2">
        <v>-6.2533169501375596</v>
      </c>
    </row>
    <row r="675" spans="1:17" ht="15">
      <c r="A675" s="2" t="s">
        <v>13</v>
      </c>
      <c r="B675" s="2">
        <v>1373.5431236797012</v>
      </c>
      <c r="C675" s="2">
        <v>831.19698606897146</v>
      </c>
      <c r="D675" s="2">
        <v>452.57269972935319</v>
      </c>
      <c r="E675" s="2">
        <v>153.40261922217906</v>
      </c>
      <c r="F675" s="2">
        <v>12.732445590663701</v>
      </c>
      <c r="G675" s="2">
        <v>0.80015093831811102</v>
      </c>
      <c r="H675" s="2">
        <v>55</v>
      </c>
      <c r="I675" s="2">
        <v>25</v>
      </c>
      <c r="J675" s="2">
        <f>(IF(A675='Hybrid Calculator'!$B$6,0,1))^2+((B675-'Hybrid Calculator'!$B$7)/1500)^2+((C675-'Hybrid Calculator'!$B$8)/1300)^2+((D675-'Hybrid Calculator'!$B$9)/800)^2+((E675-'Hybrid Calculator'!$B$10)/350)^2+((F675-'Hybrid Calculator'!$B$11)/30)^2+(G675-'Hybrid Calculator'!$B$12)^2+((H675-'Hybrid Calculator'!$E$14)/IF(A675="Lightning",100,30000))^2+((I675-'Hybrid Calculator'!$E$17)/IF(A675="Lightning",100,30000))^2</f>
        <v>4.4849873066514861E-2</v>
      </c>
      <c r="K675" s="2">
        <f t="shared" si="40"/>
        <v>41</v>
      </c>
      <c r="L675" s="2">
        <f t="shared" si="41"/>
        <v>0</v>
      </c>
      <c r="M675" s="2">
        <f t="shared" si="42"/>
        <v>0</v>
      </c>
      <c r="N675" s="2">
        <v>5.3297372341631899E-3</v>
      </c>
      <c r="O675" s="2">
        <f t="shared" si="43"/>
        <v>0</v>
      </c>
      <c r="P675" s="2">
        <v>-0.17386101130150422</v>
      </c>
      <c r="Q675" s="2">
        <v>8.6990725862547151</v>
      </c>
    </row>
    <row r="676" spans="1:17" ht="15">
      <c r="A676" s="2" t="s">
        <v>13</v>
      </c>
      <c r="B676" s="2">
        <v>1428.3069561934099</v>
      </c>
      <c r="C676" s="2">
        <v>910.5614697211422</v>
      </c>
      <c r="D676" s="2">
        <v>524.66570250689983</v>
      </c>
      <c r="E676" s="2">
        <v>281.80780411465093</v>
      </c>
      <c r="F676" s="2">
        <v>25.086162065155804</v>
      </c>
      <c r="G676" s="2">
        <v>0.79987954185111454</v>
      </c>
      <c r="H676" s="2">
        <v>40</v>
      </c>
      <c r="I676" s="2">
        <v>25</v>
      </c>
      <c r="J676" s="2">
        <f>(IF(A676='Hybrid Calculator'!$B$6,0,1))^2+((B676-'Hybrid Calculator'!$B$7)/1500)^2+((C676-'Hybrid Calculator'!$B$8)/1300)^2+((D676-'Hybrid Calculator'!$B$9)/800)^2+((E676-'Hybrid Calculator'!$B$10)/350)^2+((F676-'Hybrid Calculator'!$B$11)/30)^2+(G676-'Hybrid Calculator'!$B$12)^2+((H676-'Hybrid Calculator'!$E$14)/IF(A676="Lightning",100,30000))^2+((I676-'Hybrid Calculator'!$E$17)/IF(A676="Lightning",100,30000))^2</f>
        <v>0.20355063599374479</v>
      </c>
      <c r="K676" s="2">
        <f t="shared" si="40"/>
        <v>453</v>
      </c>
      <c r="L676" s="2">
        <f t="shared" si="41"/>
        <v>0</v>
      </c>
      <c r="M676" s="2">
        <f t="shared" si="42"/>
        <v>0</v>
      </c>
      <c r="N676" s="2">
        <v>-1.0789365744633406E-2</v>
      </c>
      <c r="O676" s="2">
        <f t="shared" si="43"/>
        <v>0</v>
      </c>
      <c r="P676" s="2">
        <v>0.62587791118043157</v>
      </c>
      <c r="Q676" s="2">
        <v>-13.693018329749748</v>
      </c>
    </row>
    <row r="677" spans="1:17" ht="15">
      <c r="A677" s="2" t="s">
        <v>13</v>
      </c>
      <c r="B677" s="2">
        <v>1432.8239090158604</v>
      </c>
      <c r="C677" s="2">
        <v>827.78089088387787</v>
      </c>
      <c r="D677" s="2">
        <v>467.44164256379008</v>
      </c>
      <c r="E677" s="2">
        <v>232.82230114098638</v>
      </c>
      <c r="F677" s="2">
        <v>16.784485034178942</v>
      </c>
      <c r="G677" s="2">
        <v>0.81591594761237507</v>
      </c>
      <c r="H677" s="2">
        <v>50</v>
      </c>
      <c r="I677" s="2">
        <v>25</v>
      </c>
      <c r="J677" s="2">
        <f>(IF(A677='Hybrid Calculator'!$B$6,0,1))^2+((B677-'Hybrid Calculator'!$B$7)/1500)^2+((C677-'Hybrid Calculator'!$B$8)/1300)^2+((D677-'Hybrid Calculator'!$B$9)/800)^2+((E677-'Hybrid Calculator'!$B$10)/350)^2+((F677-'Hybrid Calculator'!$B$11)/30)^2+(G677-'Hybrid Calculator'!$B$12)^2+((H677-'Hybrid Calculator'!$E$14)/IF(A677="Lightning",100,30000))^2+((I677-'Hybrid Calculator'!$E$17)/IF(A677="Lightning",100,30000))^2</f>
        <v>6.1258514978915123E-2</v>
      </c>
      <c r="K677" s="2">
        <f t="shared" si="40"/>
        <v>85</v>
      </c>
      <c r="L677" s="2">
        <f t="shared" si="41"/>
        <v>0</v>
      </c>
      <c r="M677" s="2">
        <f t="shared" si="42"/>
        <v>0</v>
      </c>
      <c r="N677" s="2">
        <v>5.2608426159028721E-3</v>
      </c>
      <c r="O677" s="2">
        <f t="shared" si="43"/>
        <v>0</v>
      </c>
      <c r="P677" s="2">
        <v>-1.1233079979606373</v>
      </c>
      <c r="Q677" s="2">
        <v>5.2243067051867911</v>
      </c>
    </row>
    <row r="678" spans="1:17" ht="15">
      <c r="A678" s="2" t="s">
        <v>13</v>
      </c>
      <c r="B678" s="2">
        <v>1481.0320066753775</v>
      </c>
      <c r="C678" s="2">
        <v>974.05995744047686</v>
      </c>
      <c r="D678" s="2">
        <v>690.98633360117674</v>
      </c>
      <c r="E678" s="2">
        <v>312.10292990552261</v>
      </c>
      <c r="F678" s="2">
        <v>24.580782525241375</v>
      </c>
      <c r="G678" s="2">
        <v>0.79072011800715702</v>
      </c>
      <c r="H678" s="2">
        <v>30</v>
      </c>
      <c r="I678" s="2">
        <v>25</v>
      </c>
      <c r="J678" s="2">
        <f>(IF(A678='Hybrid Calculator'!$B$6,0,1))^2+((B678-'Hybrid Calculator'!$B$7)/1500)^2+((C678-'Hybrid Calculator'!$B$8)/1300)^2+((D678-'Hybrid Calculator'!$B$9)/800)^2+((E678-'Hybrid Calculator'!$B$10)/350)^2+((F678-'Hybrid Calculator'!$B$11)/30)^2+(G678-'Hybrid Calculator'!$B$12)^2+((H678-'Hybrid Calculator'!$E$14)/IF(A678="Lightning",100,30000))^2+((I678-'Hybrid Calculator'!$E$17)/IF(A678="Lightning",100,30000))^2</f>
        <v>0.36394652559216067</v>
      </c>
      <c r="K678" s="2">
        <f t="shared" si="40"/>
        <v>662</v>
      </c>
      <c r="L678" s="2">
        <f t="shared" si="41"/>
        <v>0</v>
      </c>
      <c r="M678" s="2">
        <f t="shared" si="42"/>
        <v>0</v>
      </c>
      <c r="N678" s="2">
        <v>1.3226701397636598E-2</v>
      </c>
      <c r="O678" s="2">
        <f t="shared" si="43"/>
        <v>0</v>
      </c>
      <c r="P678" s="2">
        <v>0.64941671251020239</v>
      </c>
      <c r="Q678" s="2">
        <v>-21.98310195667932</v>
      </c>
    </row>
    <row r="679" spans="1:17" ht="15">
      <c r="A679" s="2" t="s">
        <v>13</v>
      </c>
      <c r="B679" s="2">
        <v>1427.8501919587143</v>
      </c>
      <c r="C679" s="2">
        <v>1146.7811908340082</v>
      </c>
      <c r="D679" s="2">
        <v>636.22594447806478</v>
      </c>
      <c r="E679" s="2">
        <v>289.16221244260669</v>
      </c>
      <c r="F679" s="2">
        <v>11.580106033477932</v>
      </c>
      <c r="G679" s="2">
        <v>0.85105549627449373</v>
      </c>
      <c r="H679" s="2">
        <v>35</v>
      </c>
      <c r="I679" s="2">
        <v>25</v>
      </c>
      <c r="J679" s="2">
        <f>(IF(A679='Hybrid Calculator'!$B$6,0,1))^2+((B679-'Hybrid Calculator'!$B$7)/1500)^2+((C679-'Hybrid Calculator'!$B$8)/1300)^2+((D679-'Hybrid Calculator'!$B$9)/800)^2+((E679-'Hybrid Calculator'!$B$10)/350)^2+((F679-'Hybrid Calculator'!$B$11)/30)^2+(G679-'Hybrid Calculator'!$B$12)^2+((H679-'Hybrid Calculator'!$E$14)/IF(A679="Lightning",100,30000))^2+((I679-'Hybrid Calculator'!$E$17)/IF(A679="Lightning",100,30000))^2</f>
        <v>0.31587822377506086</v>
      </c>
      <c r="K679" s="2">
        <f t="shared" si="40"/>
        <v>617</v>
      </c>
      <c r="L679" s="2">
        <f t="shared" si="41"/>
        <v>0</v>
      </c>
      <c r="M679" s="2">
        <f t="shared" si="42"/>
        <v>0</v>
      </c>
      <c r="N679" s="2">
        <v>1.6721936905363943E-2</v>
      </c>
      <c r="O679" s="2">
        <f t="shared" si="43"/>
        <v>0</v>
      </c>
      <c r="P679" s="2">
        <v>-8.9829458662457284E-2</v>
      </c>
      <c r="Q679" s="2">
        <v>1.2958418093492128</v>
      </c>
    </row>
    <row r="680" spans="1:17" ht="15">
      <c r="A680" s="2" t="s">
        <v>13</v>
      </c>
      <c r="B680" s="2">
        <v>1418.4642366366461</v>
      </c>
      <c r="C680" s="2">
        <v>898.5571734723635</v>
      </c>
      <c r="D680" s="2">
        <v>646.99585735797882</v>
      </c>
      <c r="E680" s="2">
        <v>282.43498677155003</v>
      </c>
      <c r="F680" s="2">
        <v>21.672815862111747</v>
      </c>
      <c r="G680" s="2">
        <v>0.83141574486857284</v>
      </c>
      <c r="H680" s="2">
        <v>40</v>
      </c>
      <c r="I680" s="2">
        <v>25</v>
      </c>
      <c r="J680" s="2">
        <f>(IF(A680='Hybrid Calculator'!$B$6,0,1))^2+((B680-'Hybrid Calculator'!$B$7)/1500)^2+((C680-'Hybrid Calculator'!$B$8)/1300)^2+((D680-'Hybrid Calculator'!$B$9)/800)^2+((E680-'Hybrid Calculator'!$B$10)/350)^2+((F680-'Hybrid Calculator'!$B$11)/30)^2+(G680-'Hybrid Calculator'!$B$12)^2+((H680-'Hybrid Calculator'!$E$14)/IF(A680="Lightning",100,30000))^2+((I680-'Hybrid Calculator'!$E$17)/IF(A680="Lightning",100,30000))^2</f>
        <v>0.19966762071604333</v>
      </c>
      <c r="K680" s="2">
        <f t="shared" si="40"/>
        <v>446</v>
      </c>
      <c r="L680" s="2">
        <f t="shared" si="41"/>
        <v>0</v>
      </c>
      <c r="M680" s="2">
        <f t="shared" si="42"/>
        <v>0</v>
      </c>
      <c r="N680" s="2">
        <v>-2.6807811446791785E-3</v>
      </c>
      <c r="O680" s="2">
        <f t="shared" si="43"/>
        <v>0</v>
      </c>
      <c r="P680" s="2">
        <v>-1.0944587901557767</v>
      </c>
      <c r="Q680" s="2">
        <v>-12.332356469647493</v>
      </c>
    </row>
    <row r="681" spans="1:17" ht="15">
      <c r="A681" s="2" t="s">
        <v>13</v>
      </c>
      <c r="B681" s="2">
        <v>1400.5954188178293</v>
      </c>
      <c r="C681" s="2">
        <v>707.97775434330106</v>
      </c>
      <c r="D681" s="2">
        <v>549.99536341056228</v>
      </c>
      <c r="E681" s="2">
        <v>190.44259706977755</v>
      </c>
      <c r="F681" s="2">
        <v>10.015601692255586</v>
      </c>
      <c r="G681" s="2">
        <v>0.79827367269434035</v>
      </c>
      <c r="H681" s="2">
        <v>55</v>
      </c>
      <c r="I681" s="2">
        <v>25</v>
      </c>
      <c r="J681" s="2">
        <f>(IF(A681='Hybrid Calculator'!$B$6,0,1))^2+((B681-'Hybrid Calculator'!$B$7)/1500)^2+((C681-'Hybrid Calculator'!$B$8)/1300)^2+((D681-'Hybrid Calculator'!$B$9)/800)^2+((E681-'Hybrid Calculator'!$B$10)/350)^2+((F681-'Hybrid Calculator'!$B$11)/30)^2+(G681-'Hybrid Calculator'!$B$12)^2+((H681-'Hybrid Calculator'!$E$14)/IF(A681="Lightning",100,30000))^2+((I681-'Hybrid Calculator'!$E$17)/IF(A681="Lightning",100,30000))^2</f>
        <v>0.11241257844096433</v>
      </c>
      <c r="K681" s="2">
        <f t="shared" si="40"/>
        <v>235</v>
      </c>
      <c r="L681" s="2">
        <f t="shared" si="41"/>
        <v>0</v>
      </c>
      <c r="M681" s="2">
        <f t="shared" si="42"/>
        <v>0</v>
      </c>
      <c r="N681" s="2">
        <v>-2.6648889210609816E-3</v>
      </c>
      <c r="O681" s="2">
        <f t="shared" si="43"/>
        <v>0</v>
      </c>
      <c r="P681" s="2">
        <v>0.28245508664161179</v>
      </c>
      <c r="Q681" s="2">
        <v>9.9669842853904811</v>
      </c>
    </row>
    <row r="682" spans="1:17" ht="15">
      <c r="A682" s="2" t="s">
        <v>13</v>
      </c>
      <c r="B682" s="2">
        <v>1449.7610935941339</v>
      </c>
      <c r="C682" s="2">
        <v>902.14154351269826</v>
      </c>
      <c r="D682" s="2">
        <v>599.94440395385027</v>
      </c>
      <c r="E682" s="2">
        <v>82.136544848326594</v>
      </c>
      <c r="F682" s="2">
        <v>20.437097555026412</v>
      </c>
      <c r="G682" s="2">
        <v>0.85045860463054856</v>
      </c>
      <c r="H682" s="2">
        <v>45</v>
      </c>
      <c r="I682" s="2">
        <v>25</v>
      </c>
      <c r="J682" s="2">
        <f>(IF(A682='Hybrid Calculator'!$B$6,0,1))^2+((B682-'Hybrid Calculator'!$B$7)/1500)^2+((C682-'Hybrid Calculator'!$B$8)/1300)^2+((D682-'Hybrid Calculator'!$B$9)/800)^2+((E682-'Hybrid Calculator'!$B$10)/350)^2+((F682-'Hybrid Calculator'!$B$11)/30)^2+(G682-'Hybrid Calculator'!$B$12)^2+((H682-'Hybrid Calculator'!$E$14)/IF(A682="Lightning",100,30000))^2+((I682-'Hybrid Calculator'!$E$17)/IF(A682="Lightning",100,30000))^2</f>
        <v>6.2681346702480614E-2</v>
      </c>
      <c r="K682" s="2">
        <f t="shared" si="40"/>
        <v>90</v>
      </c>
      <c r="L682" s="2">
        <f t="shared" si="41"/>
        <v>0</v>
      </c>
      <c r="M682" s="2">
        <f t="shared" si="42"/>
        <v>0</v>
      </c>
      <c r="N682" s="2">
        <v>-1.2547070916264946E-2</v>
      </c>
      <c r="O682" s="2">
        <f t="shared" si="43"/>
        <v>0</v>
      </c>
      <c r="P682" s="2">
        <v>-0.77550344641859681</v>
      </c>
      <c r="Q682" s="2">
        <v>-4.3063289803790212</v>
      </c>
    </row>
    <row r="683" spans="1:17" ht="15">
      <c r="A683" s="2" t="s">
        <v>13</v>
      </c>
      <c r="B683" s="2">
        <v>1419.601675181184</v>
      </c>
      <c r="C683" s="2">
        <v>876.42834337893873</v>
      </c>
      <c r="D683" s="2">
        <v>375.66585252061486</v>
      </c>
      <c r="E683" s="2">
        <v>297.24629099480808</v>
      </c>
      <c r="F683" s="2">
        <v>24.855091099161655</v>
      </c>
      <c r="G683" s="2">
        <v>0.80815331463236362</v>
      </c>
      <c r="H683" s="2">
        <v>45</v>
      </c>
      <c r="I683" s="2">
        <v>25</v>
      </c>
      <c r="J683" s="2">
        <f>(IF(A683='Hybrid Calculator'!$B$6,0,1))^2+((B683-'Hybrid Calculator'!$B$7)/1500)^2+((C683-'Hybrid Calculator'!$B$8)/1300)^2+((D683-'Hybrid Calculator'!$B$9)/800)^2+((E683-'Hybrid Calculator'!$B$10)/350)^2+((F683-'Hybrid Calculator'!$B$11)/30)^2+(G683-'Hybrid Calculator'!$B$12)^2+((H683-'Hybrid Calculator'!$E$14)/IF(A683="Lightning",100,30000))^2+((I683-'Hybrid Calculator'!$E$17)/IF(A683="Lightning",100,30000))^2</f>
        <v>0.24908748209428483</v>
      </c>
      <c r="K683" s="2">
        <f t="shared" si="40"/>
        <v>535</v>
      </c>
      <c r="L683" s="2">
        <f t="shared" si="41"/>
        <v>0</v>
      </c>
      <c r="M683" s="2">
        <f t="shared" si="42"/>
        <v>0</v>
      </c>
      <c r="N683" s="2">
        <v>-3.6510777071192546E-3</v>
      </c>
      <c r="O683" s="2">
        <f t="shared" si="43"/>
        <v>0</v>
      </c>
      <c r="P683" s="2">
        <v>-0.36132499698191367</v>
      </c>
      <c r="Q683" s="2">
        <v>-2.7897333513767535</v>
      </c>
    </row>
    <row r="684" spans="1:17" ht="15">
      <c r="A684" s="2" t="s">
        <v>13</v>
      </c>
      <c r="B684" s="2">
        <v>1480.0304258940741</v>
      </c>
      <c r="C684" s="2">
        <v>730.30996198067442</v>
      </c>
      <c r="D684" s="2">
        <v>745.63696272671223</v>
      </c>
      <c r="E684" s="2">
        <v>148.63116862950847</v>
      </c>
      <c r="F684" s="2">
        <v>17.238242269493639</v>
      </c>
      <c r="G684" s="2">
        <v>0.84220448641804979</v>
      </c>
      <c r="H684" s="2">
        <v>45</v>
      </c>
      <c r="I684" s="2">
        <v>25</v>
      </c>
      <c r="J684" s="2">
        <f>(IF(A684='Hybrid Calculator'!$B$6,0,1))^2+((B684-'Hybrid Calculator'!$B$7)/1500)^2+((C684-'Hybrid Calculator'!$B$8)/1300)^2+((D684-'Hybrid Calculator'!$B$9)/800)^2+((E684-'Hybrid Calculator'!$B$10)/350)^2+((F684-'Hybrid Calculator'!$B$11)/30)^2+(G684-'Hybrid Calculator'!$B$12)^2+((H684-'Hybrid Calculator'!$E$14)/IF(A684="Lightning",100,30000))^2+((I684-'Hybrid Calculator'!$E$17)/IF(A684="Lightning",100,30000))^2</f>
        <v>0.10887731181130289</v>
      </c>
      <c r="K684" s="2">
        <f t="shared" si="40"/>
        <v>224</v>
      </c>
      <c r="L684" s="2">
        <f t="shared" si="41"/>
        <v>0</v>
      </c>
      <c r="M684" s="2">
        <f t="shared" si="42"/>
        <v>0</v>
      </c>
      <c r="N684" s="2">
        <v>1.4466536111651829E-2</v>
      </c>
      <c r="O684" s="2">
        <f t="shared" si="43"/>
        <v>0</v>
      </c>
      <c r="P684" s="2">
        <v>0.10977600826762313</v>
      </c>
      <c r="Q684" s="2">
        <v>0.86937078000687507</v>
      </c>
    </row>
    <row r="685" spans="1:17" ht="15">
      <c r="A685" s="2" t="s">
        <v>13</v>
      </c>
      <c r="B685" s="2">
        <v>1444.2885199910961</v>
      </c>
      <c r="C685" s="2">
        <v>747.97629243694246</v>
      </c>
      <c r="D685" s="2">
        <v>375.6078670732677</v>
      </c>
      <c r="E685" s="2">
        <v>223.35457503329962</v>
      </c>
      <c r="F685" s="2">
        <v>15.306138071697205</v>
      </c>
      <c r="G685" s="2">
        <v>0.81121409561485058</v>
      </c>
      <c r="H685" s="2">
        <v>55</v>
      </c>
      <c r="I685" s="2">
        <v>25</v>
      </c>
      <c r="J685" s="2">
        <f>(IF(A685='Hybrid Calculator'!$B$6,0,1))^2+((B685-'Hybrid Calculator'!$B$7)/1500)^2+((C685-'Hybrid Calculator'!$B$8)/1300)^2+((D685-'Hybrid Calculator'!$B$9)/800)^2+((E685-'Hybrid Calculator'!$B$10)/350)^2+((F685-'Hybrid Calculator'!$B$11)/30)^2+(G685-'Hybrid Calculator'!$B$12)^2+((H685-'Hybrid Calculator'!$E$14)/IF(A685="Lightning",100,30000))^2+((I685-'Hybrid Calculator'!$E$17)/IF(A685="Lightning",100,30000))^2</f>
        <v>8.8338647013454286E-2</v>
      </c>
      <c r="K685" s="2">
        <f t="shared" si="40"/>
        <v>167</v>
      </c>
      <c r="L685" s="2">
        <f t="shared" si="41"/>
        <v>0</v>
      </c>
      <c r="M685" s="2">
        <f t="shared" si="42"/>
        <v>0</v>
      </c>
      <c r="N685" s="2">
        <v>2.1131520937802684E-3</v>
      </c>
      <c r="O685" s="2">
        <f t="shared" si="43"/>
        <v>0</v>
      </c>
      <c r="P685" s="2">
        <v>-1.19814063176009</v>
      </c>
      <c r="Q685" s="2">
        <v>13.306960144339655</v>
      </c>
    </row>
    <row r="686" spans="1:17" ht="15">
      <c r="A686" s="2" t="s">
        <v>13</v>
      </c>
      <c r="B686" s="2">
        <v>1376.4081919100136</v>
      </c>
      <c r="C686" s="2">
        <v>951.21324871433899</v>
      </c>
      <c r="D686" s="2">
        <v>680.00641074031591</v>
      </c>
      <c r="E686" s="2">
        <v>89.540445927996188</v>
      </c>
      <c r="F686" s="2">
        <v>18.540225613862276</v>
      </c>
      <c r="G686" s="2">
        <v>0.79710630297893659</v>
      </c>
      <c r="H686" s="2">
        <v>45</v>
      </c>
      <c r="I686" s="2">
        <v>25</v>
      </c>
      <c r="J686" s="2">
        <f>(IF(A686='Hybrid Calculator'!$B$6,0,1))^2+((B686-'Hybrid Calculator'!$B$7)/1500)^2+((C686-'Hybrid Calculator'!$B$8)/1300)^2+((D686-'Hybrid Calculator'!$B$9)/800)^2+((E686-'Hybrid Calculator'!$B$10)/350)^2+((F686-'Hybrid Calculator'!$B$11)/30)^2+(G686-'Hybrid Calculator'!$B$12)^2+((H686-'Hybrid Calculator'!$E$14)/IF(A686="Lightning",100,30000))^2+((I686-'Hybrid Calculator'!$E$17)/IF(A686="Lightning",100,30000))^2</f>
        <v>9.0605196498646581E-2</v>
      </c>
      <c r="K686" s="2">
        <f t="shared" si="40"/>
        <v>177</v>
      </c>
      <c r="L686" s="2">
        <f t="shared" si="41"/>
        <v>0</v>
      </c>
      <c r="M686" s="2">
        <f t="shared" si="42"/>
        <v>0</v>
      </c>
      <c r="N686" s="2">
        <v>3.5592859539212984E-3</v>
      </c>
      <c r="O686" s="2">
        <f t="shared" si="43"/>
        <v>0</v>
      </c>
      <c r="P686" s="2">
        <v>0.76030036081681374</v>
      </c>
      <c r="Q686" s="2">
        <v>6.3850947060820999</v>
      </c>
    </row>
    <row r="687" spans="1:17" ht="15">
      <c r="A687" s="2" t="s">
        <v>13</v>
      </c>
      <c r="B687" s="2">
        <v>1382.4953096103854</v>
      </c>
      <c r="C687" s="2">
        <v>776.10416531097144</v>
      </c>
      <c r="D687" s="2">
        <v>404.89749358966947</v>
      </c>
      <c r="E687" s="2">
        <v>295.5903335660696</v>
      </c>
      <c r="F687" s="2">
        <v>13.191652859095484</v>
      </c>
      <c r="G687" s="2">
        <v>0.85099157690536231</v>
      </c>
      <c r="H687" s="2">
        <v>50</v>
      </c>
      <c r="I687" s="2">
        <v>25</v>
      </c>
      <c r="J687" s="2">
        <f>(IF(A687='Hybrid Calculator'!$B$6,0,1))^2+((B687-'Hybrid Calculator'!$B$7)/1500)^2+((C687-'Hybrid Calculator'!$B$8)/1300)^2+((D687-'Hybrid Calculator'!$B$9)/800)^2+((E687-'Hybrid Calculator'!$B$10)/350)^2+((F687-'Hybrid Calculator'!$B$11)/30)^2+(G687-'Hybrid Calculator'!$B$12)^2+((H687-'Hybrid Calculator'!$E$14)/IF(A687="Lightning",100,30000))^2+((I687-'Hybrid Calculator'!$E$17)/IF(A687="Lightning",100,30000))^2</f>
        <v>0.22346908583184583</v>
      </c>
      <c r="K687" s="2">
        <f t="shared" si="40"/>
        <v>493</v>
      </c>
      <c r="L687" s="2">
        <f t="shared" si="41"/>
        <v>0</v>
      </c>
      <c r="M687" s="2">
        <f t="shared" si="42"/>
        <v>0</v>
      </c>
      <c r="N687" s="2">
        <v>3.8839946207325227E-3</v>
      </c>
      <c r="O687" s="2">
        <f t="shared" si="43"/>
        <v>0</v>
      </c>
      <c r="P687" s="2">
        <v>0.50879707647543171</v>
      </c>
      <c r="Q687" s="2">
        <v>5.4923935239701223</v>
      </c>
    </row>
    <row r="688" spans="1:17" ht="15">
      <c r="A688" s="2" t="s">
        <v>13</v>
      </c>
      <c r="B688" s="2">
        <v>1355.5733412969857</v>
      </c>
      <c r="C688" s="2">
        <v>1039.107764873188</v>
      </c>
      <c r="D688" s="2">
        <v>661.24290805310011</v>
      </c>
      <c r="E688" s="2">
        <v>139.9714222480543</v>
      </c>
      <c r="F688" s="2">
        <v>29.175830349326134</v>
      </c>
      <c r="G688" s="2">
        <v>0.81610906927147886</v>
      </c>
      <c r="H688" s="2">
        <v>35</v>
      </c>
      <c r="I688" s="2">
        <v>25</v>
      </c>
      <c r="J688" s="2">
        <f>(IF(A688='Hybrid Calculator'!$B$6,0,1))^2+((B688-'Hybrid Calculator'!$B$7)/1500)^2+((C688-'Hybrid Calculator'!$B$8)/1300)^2+((D688-'Hybrid Calculator'!$B$9)/800)^2+((E688-'Hybrid Calculator'!$B$10)/350)^2+((F688-'Hybrid Calculator'!$B$11)/30)^2+(G688-'Hybrid Calculator'!$B$12)^2+((H688-'Hybrid Calculator'!$E$14)/IF(A688="Lightning",100,30000))^2+((I688-'Hybrid Calculator'!$E$17)/IF(A688="Lightning",100,30000))^2</f>
        <v>0.21390011190259797</v>
      </c>
      <c r="K688" s="2">
        <f t="shared" si="40"/>
        <v>477</v>
      </c>
      <c r="L688" s="2">
        <f t="shared" si="41"/>
        <v>0</v>
      </c>
      <c r="M688" s="2">
        <f t="shared" si="42"/>
        <v>0</v>
      </c>
      <c r="N688" s="2">
        <v>1.0748963630673014E-2</v>
      </c>
      <c r="O688" s="2">
        <f t="shared" si="43"/>
        <v>0</v>
      </c>
      <c r="P688" s="2">
        <v>0.32991579168143659</v>
      </c>
      <c r="Q688" s="2">
        <v>-24.106265524969785</v>
      </c>
    </row>
    <row r="689" spans="1:17" ht="15">
      <c r="A689" s="2" t="s">
        <v>13</v>
      </c>
      <c r="B689" s="2">
        <v>1351.3758850400336</v>
      </c>
      <c r="C689" s="2">
        <v>731.97798409964889</v>
      </c>
      <c r="D689" s="2">
        <v>539.18624641373754</v>
      </c>
      <c r="E689" s="2">
        <v>162.02438475564122</v>
      </c>
      <c r="F689" s="2">
        <v>25.428609168622643</v>
      </c>
      <c r="G689" s="2">
        <v>0.84367694502230739</v>
      </c>
      <c r="H689" s="2">
        <v>50</v>
      </c>
      <c r="I689" s="2">
        <v>25</v>
      </c>
      <c r="J689" s="2">
        <f>(IF(A689='Hybrid Calculator'!$B$6,0,1))^2+((B689-'Hybrid Calculator'!$B$7)/1500)^2+((C689-'Hybrid Calculator'!$B$8)/1300)^2+((D689-'Hybrid Calculator'!$B$9)/800)^2+((E689-'Hybrid Calculator'!$B$10)/350)^2+((F689-'Hybrid Calculator'!$B$11)/30)^2+(G689-'Hybrid Calculator'!$B$12)^2+((H689-'Hybrid Calculator'!$E$14)/IF(A689="Lightning",100,30000))^2+((I689-'Hybrid Calculator'!$E$17)/IF(A689="Lightning",100,30000))^2</f>
        <v>6.8131032674079078E-2</v>
      </c>
      <c r="K689" s="2">
        <f t="shared" si="40"/>
        <v>108</v>
      </c>
      <c r="L689" s="2">
        <f t="shared" si="41"/>
        <v>0</v>
      </c>
      <c r="M689" s="2">
        <f t="shared" si="42"/>
        <v>0</v>
      </c>
      <c r="N689" s="2">
        <v>-1.0105604918483779E-2</v>
      </c>
      <c r="O689" s="2">
        <f t="shared" si="43"/>
        <v>0</v>
      </c>
      <c r="P689" s="2">
        <v>-0.700509318151461</v>
      </c>
      <c r="Q689" s="2">
        <v>-7.8812276109081267</v>
      </c>
    </row>
    <row r="690" spans="1:17" ht="15">
      <c r="A690" s="2" t="s">
        <v>13</v>
      </c>
      <c r="B690" s="2">
        <v>1397.1637268783525</v>
      </c>
      <c r="C690" s="2">
        <v>764.20033742906526</v>
      </c>
      <c r="D690" s="2">
        <v>639.29433673620224</v>
      </c>
      <c r="E690" s="2">
        <v>173.92688510706648</v>
      </c>
      <c r="F690" s="2">
        <v>26.25558530818671</v>
      </c>
      <c r="G690" s="2">
        <v>0.85786374281859024</v>
      </c>
      <c r="H690" s="2">
        <v>45</v>
      </c>
      <c r="I690" s="2">
        <v>25</v>
      </c>
      <c r="J690" s="2">
        <f>(IF(A690='Hybrid Calculator'!$B$6,0,1))^2+((B690-'Hybrid Calculator'!$B$7)/1500)^2+((C690-'Hybrid Calculator'!$B$8)/1300)^2+((D690-'Hybrid Calculator'!$B$9)/800)^2+((E690-'Hybrid Calculator'!$B$10)/350)^2+((F690-'Hybrid Calculator'!$B$11)/30)^2+(G690-'Hybrid Calculator'!$B$12)^2+((H690-'Hybrid Calculator'!$E$14)/IF(A690="Lightning",100,30000))^2+((I690-'Hybrid Calculator'!$E$17)/IF(A690="Lightning",100,30000))^2</f>
        <v>0.11045683306845905</v>
      </c>
      <c r="K690" s="2">
        <f t="shared" si="40"/>
        <v>231</v>
      </c>
      <c r="L690" s="2">
        <f t="shared" si="41"/>
        <v>0</v>
      </c>
      <c r="M690" s="2">
        <f t="shared" si="42"/>
        <v>0</v>
      </c>
      <c r="N690" s="2">
        <v>-1.0515441060355624E-2</v>
      </c>
      <c r="O690" s="2">
        <f t="shared" si="43"/>
        <v>0</v>
      </c>
      <c r="P690" s="2">
        <v>8.5617891440350036E-2</v>
      </c>
      <c r="Q690" s="2">
        <v>-1.9387307584422615</v>
      </c>
    </row>
    <row r="691" spans="1:17" ht="15">
      <c r="A691" s="2" t="s">
        <v>13</v>
      </c>
      <c r="B691" s="2">
        <v>1482.8241514856927</v>
      </c>
      <c r="C691" s="2">
        <v>1060.0349805317819</v>
      </c>
      <c r="D691" s="2">
        <v>491.17775177583098</v>
      </c>
      <c r="E691" s="2">
        <v>324.81365887913853</v>
      </c>
      <c r="F691" s="2">
        <v>9.2815256319008768</v>
      </c>
      <c r="G691" s="2">
        <v>0.84296433930285275</v>
      </c>
      <c r="H691" s="2">
        <v>40</v>
      </c>
      <c r="I691" s="2">
        <v>25</v>
      </c>
      <c r="J691" s="2">
        <f>(IF(A691='Hybrid Calculator'!$B$6,0,1))^2+((B691-'Hybrid Calculator'!$B$7)/1500)^2+((C691-'Hybrid Calculator'!$B$8)/1300)^2+((D691-'Hybrid Calculator'!$B$9)/800)^2+((E691-'Hybrid Calculator'!$B$10)/350)^2+((F691-'Hybrid Calculator'!$B$11)/30)^2+(G691-'Hybrid Calculator'!$B$12)^2+((H691-'Hybrid Calculator'!$E$14)/IF(A691="Lightning",100,30000))^2+((I691-'Hybrid Calculator'!$E$17)/IF(A691="Lightning",100,30000))^2</f>
        <v>0.38212880314488679</v>
      </c>
      <c r="K691" s="2">
        <f t="shared" si="40"/>
        <v>675</v>
      </c>
      <c r="L691" s="2">
        <f t="shared" si="41"/>
        <v>0</v>
      </c>
      <c r="M691" s="2">
        <f t="shared" si="42"/>
        <v>0</v>
      </c>
      <c r="N691" s="2">
        <v>1.2179340754122858E-2</v>
      </c>
      <c r="O691" s="2">
        <f t="shared" si="43"/>
        <v>0</v>
      </c>
      <c r="P691" s="2">
        <v>1.4464019222613302</v>
      </c>
      <c r="Q691" s="2">
        <v>1.8816909652261984</v>
      </c>
    </row>
    <row r="692" spans="1:17" ht="15">
      <c r="A692" s="2" t="s">
        <v>13</v>
      </c>
      <c r="B692" s="2">
        <v>1406.9719456136227</v>
      </c>
      <c r="C692" s="2">
        <v>873.79174850648269</v>
      </c>
      <c r="D692" s="2">
        <v>450.69349873811007</v>
      </c>
      <c r="E692" s="2">
        <v>167.75890112156048</v>
      </c>
      <c r="F692" s="2">
        <v>25.063759563490748</v>
      </c>
      <c r="G692" s="2">
        <v>0.80139381994726144</v>
      </c>
      <c r="H692" s="2">
        <v>50</v>
      </c>
      <c r="I692" s="2">
        <v>25</v>
      </c>
      <c r="J692" s="2">
        <f>(IF(A692='Hybrid Calculator'!$B$6,0,1))^2+((B692-'Hybrid Calculator'!$B$7)/1500)^2+((C692-'Hybrid Calculator'!$B$8)/1300)^2+((D692-'Hybrid Calculator'!$B$9)/800)^2+((E692-'Hybrid Calculator'!$B$10)/350)^2+((F692-'Hybrid Calculator'!$B$11)/30)^2+(G692-'Hybrid Calculator'!$B$12)^2+((H692-'Hybrid Calculator'!$E$14)/IF(A692="Lightning",100,30000))^2+((I692-'Hybrid Calculator'!$E$17)/IF(A692="Lightning",100,30000))^2</f>
        <v>5.5068672504829677E-2</v>
      </c>
      <c r="K692" s="2">
        <f t="shared" si="40"/>
        <v>68</v>
      </c>
      <c r="L692" s="2">
        <f t="shared" si="41"/>
        <v>0</v>
      </c>
      <c r="M692" s="2">
        <f t="shared" si="42"/>
        <v>0</v>
      </c>
      <c r="N692" s="2">
        <v>-1.8741762038868792E-2</v>
      </c>
      <c r="O692" s="2">
        <f t="shared" si="43"/>
        <v>0</v>
      </c>
      <c r="P692" s="2">
        <v>0.24654543676012963</v>
      </c>
      <c r="Q692" s="2">
        <v>-2.7731978449712642</v>
      </c>
    </row>
    <row r="693" spans="1:17" ht="15">
      <c r="A693" s="2" t="s">
        <v>13</v>
      </c>
      <c r="B693" s="2">
        <v>1457.4546410352923</v>
      </c>
      <c r="C693" s="2">
        <v>911.0443519661203</v>
      </c>
      <c r="D693" s="2">
        <v>352.09266999736428</v>
      </c>
      <c r="E693" s="2">
        <v>202.47159495018423</v>
      </c>
      <c r="F693" s="2">
        <v>15.972927477676421</v>
      </c>
      <c r="G693" s="2">
        <v>0.841874056016095</v>
      </c>
      <c r="H693" s="2">
        <v>50</v>
      </c>
      <c r="I693" s="2">
        <v>25</v>
      </c>
      <c r="J693" s="2">
        <f>(IF(A693='Hybrid Calculator'!$B$6,0,1))^2+((B693-'Hybrid Calculator'!$B$7)/1500)^2+((C693-'Hybrid Calculator'!$B$8)/1300)^2+((D693-'Hybrid Calculator'!$B$9)/800)^2+((E693-'Hybrid Calculator'!$B$10)/350)^2+((F693-'Hybrid Calculator'!$B$11)/30)^2+(G693-'Hybrid Calculator'!$B$12)^2+((H693-'Hybrid Calculator'!$E$14)/IF(A693="Lightning",100,30000))^2+((I693-'Hybrid Calculator'!$E$17)/IF(A693="Lightning",100,30000))^2</f>
        <v>6.6905062015740355E-2</v>
      </c>
      <c r="K693" s="2">
        <f t="shared" si="40"/>
        <v>101</v>
      </c>
      <c r="L693" s="2">
        <f t="shared" si="41"/>
        <v>0</v>
      </c>
      <c r="M693" s="2">
        <f t="shared" si="42"/>
        <v>0</v>
      </c>
      <c r="N693" s="2">
        <v>4.5733724974379442E-3</v>
      </c>
      <c r="O693" s="2">
        <f t="shared" si="43"/>
        <v>0</v>
      </c>
      <c r="P693" s="2">
        <v>0.1517079957857419</v>
      </c>
      <c r="Q693" s="2">
        <v>16.011969543461873</v>
      </c>
    </row>
    <row r="694" spans="1:17" ht="15">
      <c r="A694" s="2" t="s">
        <v>13</v>
      </c>
      <c r="B694" s="2">
        <v>1457.5972818536684</v>
      </c>
      <c r="C694" s="2">
        <v>820.94658432761207</v>
      </c>
      <c r="D694" s="2">
        <v>729.52129282057285</v>
      </c>
      <c r="E694" s="2">
        <v>313.97459572879598</v>
      </c>
      <c r="F694" s="2">
        <v>18.821577125228941</v>
      </c>
      <c r="G694" s="2">
        <v>0.80545684988377619</v>
      </c>
      <c r="H694" s="2">
        <v>35</v>
      </c>
      <c r="I694" s="2">
        <v>25</v>
      </c>
      <c r="J694" s="2">
        <f>(IF(A694='Hybrid Calculator'!$B$6,0,1))^2+((B694-'Hybrid Calculator'!$B$7)/1500)^2+((C694-'Hybrid Calculator'!$B$8)/1300)^2+((D694-'Hybrid Calculator'!$B$9)/800)^2+((E694-'Hybrid Calculator'!$B$10)/350)^2+((F694-'Hybrid Calculator'!$B$11)/30)^2+(G694-'Hybrid Calculator'!$B$12)^2+((H694-'Hybrid Calculator'!$E$14)/IF(A694="Lightning",100,30000))^2+((I694-'Hybrid Calculator'!$E$17)/IF(A694="Lightning",100,30000))^2</f>
        <v>0.32560183729599418</v>
      </c>
      <c r="K694" s="2">
        <f t="shared" si="40"/>
        <v>631</v>
      </c>
      <c r="L694" s="2">
        <f t="shared" si="41"/>
        <v>0</v>
      </c>
      <c r="M694" s="2">
        <f t="shared" si="42"/>
        <v>0</v>
      </c>
      <c r="N694" s="2">
        <v>8.1567428194444513E-3</v>
      </c>
      <c r="O694" s="2">
        <f t="shared" si="43"/>
        <v>0</v>
      </c>
      <c r="P694" s="2">
        <v>0.8475283184644482</v>
      </c>
      <c r="Q694" s="2">
        <v>-6.1523877270128651</v>
      </c>
    </row>
    <row r="695" spans="1:17" ht="15">
      <c r="A695" s="2" t="s">
        <v>13</v>
      </c>
      <c r="B695" s="2">
        <v>1351.4524117461406</v>
      </c>
      <c r="C695" s="2">
        <v>864.64507575146854</v>
      </c>
      <c r="D695" s="2">
        <v>502.71347416564822</v>
      </c>
      <c r="E695" s="2">
        <v>261.25797796528786</v>
      </c>
      <c r="F695" s="2">
        <v>29.541490431409329</v>
      </c>
      <c r="G695" s="2">
        <v>0.81085311777889735</v>
      </c>
      <c r="H695" s="2">
        <v>45</v>
      </c>
      <c r="I695" s="2">
        <v>25</v>
      </c>
      <c r="J695" s="2">
        <f>(IF(A695='Hybrid Calculator'!$B$6,0,1))^2+((B695-'Hybrid Calculator'!$B$7)/1500)^2+((C695-'Hybrid Calculator'!$B$8)/1300)^2+((D695-'Hybrid Calculator'!$B$9)/800)^2+((E695-'Hybrid Calculator'!$B$10)/350)^2+((F695-'Hybrid Calculator'!$B$11)/30)^2+(G695-'Hybrid Calculator'!$B$12)^2+((H695-'Hybrid Calculator'!$E$14)/IF(A695="Lightning",100,30000))^2+((I695-'Hybrid Calculator'!$E$17)/IF(A695="Lightning",100,30000))^2</f>
        <v>0.24163441245416351</v>
      </c>
      <c r="K695" s="2">
        <f t="shared" si="40"/>
        <v>522</v>
      </c>
      <c r="L695" s="2">
        <f t="shared" si="41"/>
        <v>0</v>
      </c>
      <c r="M695" s="2">
        <f t="shared" si="42"/>
        <v>0</v>
      </c>
      <c r="N695" s="2">
        <v>-1.6775646575885039E-2</v>
      </c>
      <c r="O695" s="2">
        <f t="shared" si="43"/>
        <v>0</v>
      </c>
      <c r="P695" s="2">
        <v>0.71689800440017137</v>
      </c>
      <c r="Q695" s="2">
        <v>-9.4982848191755238</v>
      </c>
    </row>
    <row r="696" spans="1:17" ht="15">
      <c r="A696" s="2" t="s">
        <v>13</v>
      </c>
      <c r="B696" s="2">
        <v>1484.6002049278468</v>
      </c>
      <c r="C696" s="2">
        <v>779.91012044949457</v>
      </c>
      <c r="D696" s="2">
        <v>532.57561679929495</v>
      </c>
      <c r="E696" s="2">
        <v>188.11252222629264</v>
      </c>
      <c r="F696" s="2">
        <v>12.846662741154432</v>
      </c>
      <c r="G696" s="2">
        <v>0.84884045835817235</v>
      </c>
      <c r="H696" s="2">
        <v>50</v>
      </c>
      <c r="I696" s="2">
        <v>25</v>
      </c>
      <c r="J696" s="2">
        <f>(IF(A696='Hybrid Calculator'!$B$6,0,1))^2+((B696-'Hybrid Calculator'!$B$7)/1500)^2+((C696-'Hybrid Calculator'!$B$8)/1300)^2+((D696-'Hybrid Calculator'!$B$9)/800)^2+((E696-'Hybrid Calculator'!$B$10)/350)^2+((F696-'Hybrid Calculator'!$B$11)/30)^2+(G696-'Hybrid Calculator'!$B$12)^2+((H696-'Hybrid Calculator'!$E$14)/IF(A696="Lightning",100,30000))^2+((I696-'Hybrid Calculator'!$E$17)/IF(A696="Lightning",100,30000))^2</f>
        <v>5.4344484895458532E-2</v>
      </c>
      <c r="K696" s="2">
        <f t="shared" si="40"/>
        <v>65</v>
      </c>
      <c r="L696" s="2">
        <f t="shared" si="41"/>
        <v>0</v>
      </c>
      <c r="M696" s="2">
        <f t="shared" si="42"/>
        <v>0</v>
      </c>
      <c r="N696" s="2">
        <v>-2.6766863198679491E-3</v>
      </c>
      <c r="O696" s="2">
        <f t="shared" si="43"/>
        <v>0</v>
      </c>
      <c r="P696" s="2">
        <v>-4.2119527418549296E-2</v>
      </c>
      <c r="Q696" s="2">
        <v>4.5709000717204162</v>
      </c>
    </row>
    <row r="697" spans="1:17" ht="15">
      <c r="A697" s="2" t="s">
        <v>13</v>
      </c>
      <c r="B697" s="2">
        <v>1466.6645981487818</v>
      </c>
      <c r="C697" s="2">
        <v>1144.4564535049722</v>
      </c>
      <c r="D697" s="2">
        <v>554.13202838972211</v>
      </c>
      <c r="E697" s="2">
        <v>179.36411958187819</v>
      </c>
      <c r="F697" s="2">
        <v>18.574433671776205</v>
      </c>
      <c r="G697" s="2">
        <v>0.81036684583406904</v>
      </c>
      <c r="H697" s="2">
        <v>35</v>
      </c>
      <c r="I697" s="2">
        <v>25</v>
      </c>
      <c r="J697" s="2">
        <f>(IF(A697='Hybrid Calculator'!$B$6,0,1))^2+((B697-'Hybrid Calculator'!$B$7)/1500)^2+((C697-'Hybrid Calculator'!$B$8)/1300)^2+((D697-'Hybrid Calculator'!$B$9)/800)^2+((E697-'Hybrid Calculator'!$B$10)/350)^2+((F697-'Hybrid Calculator'!$B$11)/30)^2+(G697-'Hybrid Calculator'!$B$12)^2+((H697-'Hybrid Calculator'!$E$14)/IF(A697="Lightning",100,30000))^2+((I697-'Hybrid Calculator'!$E$17)/IF(A697="Lightning",100,30000))^2</f>
        <v>8.6292325715028678E-2</v>
      </c>
      <c r="K697" s="2">
        <f t="shared" si="40"/>
        <v>156</v>
      </c>
      <c r="L697" s="2">
        <f t="shared" si="41"/>
        <v>0</v>
      </c>
      <c r="M697" s="2">
        <f t="shared" si="42"/>
        <v>0</v>
      </c>
      <c r="N697" s="2">
        <v>-5.2214500651392992E-3</v>
      </c>
      <c r="O697" s="2">
        <f t="shared" si="43"/>
        <v>0</v>
      </c>
      <c r="P697" s="2">
        <v>0.88167291406524839</v>
      </c>
      <c r="Q697" s="2">
        <v>-11.641406431171845</v>
      </c>
    </row>
    <row r="698" spans="1:17" ht="15">
      <c r="A698" s="2" t="s">
        <v>13</v>
      </c>
      <c r="B698" s="2">
        <v>1424.03317282442</v>
      </c>
      <c r="C698" s="2">
        <v>610.424975969363</v>
      </c>
      <c r="D698" s="2">
        <v>587.8889761865139</v>
      </c>
      <c r="E698" s="2">
        <v>231.57127886777744</v>
      </c>
      <c r="F698" s="2">
        <v>29.293745479546487</v>
      </c>
      <c r="G698" s="2">
        <v>0.85009766483446592</v>
      </c>
      <c r="H698" s="2">
        <v>50</v>
      </c>
      <c r="I698" s="2">
        <v>25</v>
      </c>
      <c r="J698" s="2">
        <f>(IF(A698='Hybrid Calculator'!$B$6,0,1))^2+((B698-'Hybrid Calculator'!$B$7)/1500)^2+((C698-'Hybrid Calculator'!$B$8)/1300)^2+((D698-'Hybrid Calculator'!$B$9)/800)^2+((E698-'Hybrid Calculator'!$B$10)/350)^2+((F698-'Hybrid Calculator'!$B$11)/30)^2+(G698-'Hybrid Calculator'!$B$12)^2+((H698-'Hybrid Calculator'!$E$14)/IF(A698="Lightning",100,30000))^2+((I698-'Hybrid Calculator'!$E$17)/IF(A698="Lightning",100,30000))^2</f>
        <v>0.23070528641904514</v>
      </c>
      <c r="K698" s="2">
        <f t="shared" si="40"/>
        <v>505</v>
      </c>
      <c r="L698" s="2">
        <f t="shared" si="41"/>
        <v>0</v>
      </c>
      <c r="M698" s="2">
        <f t="shared" si="42"/>
        <v>0</v>
      </c>
      <c r="N698" s="2">
        <v>-1.4816949142187896E-2</v>
      </c>
      <c r="O698" s="2">
        <f t="shared" si="43"/>
        <v>0</v>
      </c>
      <c r="P698" s="2">
        <v>-0.56582199069157468</v>
      </c>
      <c r="Q698" s="2">
        <v>-4.6456915494336499</v>
      </c>
    </row>
    <row r="699" spans="1:17" ht="15">
      <c r="A699" s="2" t="s">
        <v>13</v>
      </c>
      <c r="B699" s="2">
        <v>1437.2233932721429</v>
      </c>
      <c r="C699" s="2">
        <v>1051.0848745703697</v>
      </c>
      <c r="D699" s="2">
        <v>691.10057046636939</v>
      </c>
      <c r="E699" s="2">
        <v>155.92670165468007</v>
      </c>
      <c r="F699" s="2">
        <v>25.783809961285442</v>
      </c>
      <c r="G699" s="2">
        <v>0.8137659674417228</v>
      </c>
      <c r="H699" s="2">
        <v>35</v>
      </c>
      <c r="I699" s="2">
        <v>25</v>
      </c>
      <c r="J699" s="2">
        <f>(IF(A699='Hybrid Calculator'!$B$6,0,1))^2+((B699-'Hybrid Calculator'!$B$7)/1500)^2+((C699-'Hybrid Calculator'!$B$8)/1300)^2+((D699-'Hybrid Calculator'!$B$9)/800)^2+((E699-'Hybrid Calculator'!$B$10)/350)^2+((F699-'Hybrid Calculator'!$B$11)/30)^2+(G699-'Hybrid Calculator'!$B$12)^2+((H699-'Hybrid Calculator'!$E$14)/IF(A699="Lightning",100,30000))^2+((I699-'Hybrid Calculator'!$E$17)/IF(A699="Lightning",100,30000))^2</f>
        <v>0.16282849013558889</v>
      </c>
      <c r="K699" s="2">
        <f t="shared" si="40"/>
        <v>361</v>
      </c>
      <c r="L699" s="2">
        <f t="shared" si="41"/>
        <v>0</v>
      </c>
      <c r="M699" s="2">
        <f t="shared" si="42"/>
        <v>0</v>
      </c>
      <c r="N699" s="2">
        <v>1.2005237750547515E-3</v>
      </c>
      <c r="O699" s="2">
        <f t="shared" si="43"/>
        <v>0</v>
      </c>
      <c r="P699" s="2">
        <v>-0.22388874410607684</v>
      </c>
      <c r="Q699" s="2">
        <v>-23.271475452950199</v>
      </c>
    </row>
    <row r="700" spans="1:17" ht="15">
      <c r="A700" s="2" t="s">
        <v>13</v>
      </c>
      <c r="B700" s="2">
        <v>1413.3190616033971</v>
      </c>
      <c r="C700" s="2">
        <v>801.17755898972973</v>
      </c>
      <c r="D700" s="2">
        <v>460.65942291170359</v>
      </c>
      <c r="E700" s="2">
        <v>248.96830784389749</v>
      </c>
      <c r="F700" s="2">
        <v>10.783515388146043</v>
      </c>
      <c r="G700" s="2">
        <v>0.83500665652798489</v>
      </c>
      <c r="H700" s="2">
        <v>50</v>
      </c>
      <c r="I700" s="2">
        <v>25</v>
      </c>
      <c r="J700" s="2">
        <f>(IF(A700='Hybrid Calculator'!$B$6,0,1))^2+((B700-'Hybrid Calculator'!$B$7)/1500)^2+((C700-'Hybrid Calculator'!$B$8)/1300)^2+((D700-'Hybrid Calculator'!$B$9)/800)^2+((E700-'Hybrid Calculator'!$B$10)/350)^2+((F700-'Hybrid Calculator'!$B$11)/30)^2+(G700-'Hybrid Calculator'!$B$12)^2+((H700-'Hybrid Calculator'!$E$14)/IF(A700="Lightning",100,30000))^2+((I700-'Hybrid Calculator'!$E$17)/IF(A700="Lightning",100,30000))^2</f>
        <v>0.15023162195705023</v>
      </c>
      <c r="K700" s="2">
        <f t="shared" si="40"/>
        <v>327</v>
      </c>
      <c r="L700" s="2">
        <f t="shared" si="41"/>
        <v>0</v>
      </c>
      <c r="M700" s="2">
        <f t="shared" si="42"/>
        <v>0</v>
      </c>
      <c r="N700" s="2">
        <v>-1.2622927303278519E-3</v>
      </c>
      <c r="O700" s="2">
        <f t="shared" si="43"/>
        <v>0</v>
      </c>
      <c r="P700" s="2">
        <v>-0.86580130725558035</v>
      </c>
      <c r="Q700" s="2">
        <v>9.1282999494735577</v>
      </c>
    </row>
    <row r="701" spans="1:17" ht="15">
      <c r="A701" s="2" t="s">
        <v>13</v>
      </c>
      <c r="B701" s="2">
        <v>1358.003594877664</v>
      </c>
      <c r="C701" s="2">
        <v>1116.4204049156979</v>
      </c>
      <c r="D701" s="2">
        <v>582.57629806175828</v>
      </c>
      <c r="E701" s="2">
        <v>303.09902333654463</v>
      </c>
      <c r="F701" s="2">
        <v>26.553590454626828</v>
      </c>
      <c r="G701" s="2">
        <v>0.7974613099405542</v>
      </c>
      <c r="H701" s="2">
        <v>35</v>
      </c>
      <c r="I701" s="2">
        <v>25</v>
      </c>
      <c r="J701" s="2">
        <f>(IF(A701='Hybrid Calculator'!$B$6,0,1))^2+((B701-'Hybrid Calculator'!$B$7)/1500)^2+((C701-'Hybrid Calculator'!$B$8)/1300)^2+((D701-'Hybrid Calculator'!$B$9)/800)^2+((E701-'Hybrid Calculator'!$B$10)/350)^2+((F701-'Hybrid Calculator'!$B$11)/30)^2+(G701-'Hybrid Calculator'!$B$12)^2+((H701-'Hybrid Calculator'!$E$14)/IF(A701="Lightning",100,30000))^2+((I701-'Hybrid Calculator'!$E$17)/IF(A701="Lightning",100,30000))^2</f>
        <v>0.34106557076540772</v>
      </c>
      <c r="K701" s="2">
        <f t="shared" si="40"/>
        <v>640</v>
      </c>
      <c r="L701" s="2">
        <f t="shared" si="41"/>
        <v>0</v>
      </c>
      <c r="M701" s="2">
        <f t="shared" si="42"/>
        <v>0</v>
      </c>
      <c r="N701" s="2">
        <v>-4.1153020314104172E-3</v>
      </c>
      <c r="O701" s="2">
        <f t="shared" si="43"/>
        <v>0</v>
      </c>
      <c r="P701" s="2">
        <v>0.47506822371224899</v>
      </c>
      <c r="Q701" s="2">
        <v>-16.211658122217614</v>
      </c>
    </row>
    <row r="702" spans="1:17" ht="15">
      <c r="A702" s="2" t="s">
        <v>81</v>
      </c>
      <c r="B702" s="2">
        <v>1031.5097128972411</v>
      </c>
      <c r="C702" s="2">
        <v>1207.8387301764451</v>
      </c>
      <c r="D702" s="2">
        <v>482.79454130679369</v>
      </c>
      <c r="E702" s="2">
        <v>285.18492494011298</v>
      </c>
      <c r="F702" s="2">
        <v>29.665858259424567</v>
      </c>
      <c r="G702" s="2">
        <v>0.8597224311647006</v>
      </c>
      <c r="H702" s="2">
        <v>12630</v>
      </c>
      <c r="I702" s="2">
        <v>1200</v>
      </c>
      <c r="J702" s="2">
        <f>(IF(A702='Hybrid Calculator'!$B$6,0,1))^2+((B702-'Hybrid Calculator'!$B$7)/1500)^2+((C702-'Hybrid Calculator'!$B$8)/1300)^2+((D702-'Hybrid Calculator'!$B$9)/800)^2+((E702-'Hybrid Calculator'!$B$10)/350)^2+((F702-'Hybrid Calculator'!$B$11)/30)^2+(G702-'Hybrid Calculator'!$B$12)^2+((H702-'Hybrid Calculator'!$E$14)/IF(A702="Lightning",100,30000))^2+((I702-'Hybrid Calculator'!$E$17)/IF(A702="Lightning",100,30000))^2</f>
        <v>1.61171134648373</v>
      </c>
      <c r="K702" s="2">
        <f t="shared" si="40"/>
        <v>1360</v>
      </c>
      <c r="L702" s="2">
        <f t="shared" si="41"/>
        <v>0</v>
      </c>
      <c r="M702" s="2">
        <f t="shared" si="42"/>
        <v>0</v>
      </c>
      <c r="N702" s="2">
        <v>3.083893298707352</v>
      </c>
      <c r="O702" s="2">
        <f t="shared" si="43"/>
        <v>0</v>
      </c>
      <c r="P702" s="2">
        <v>36.850963076286462</v>
      </c>
      <c r="Q702" s="2">
        <v>-11.535571186875131</v>
      </c>
    </row>
    <row r="703" spans="1:17" ht="15">
      <c r="A703" s="2" t="s">
        <v>81</v>
      </c>
      <c r="B703" s="2">
        <v>951.19219465414062</v>
      </c>
      <c r="C703" s="2">
        <v>1133.9398104930297</v>
      </c>
      <c r="D703" s="2">
        <v>514.00313386693597</v>
      </c>
      <c r="E703" s="2">
        <v>211.76690670661628</v>
      </c>
      <c r="F703" s="2">
        <v>18.507448483724147</v>
      </c>
      <c r="G703" s="2">
        <v>0.80234821107704191</v>
      </c>
      <c r="H703" s="2">
        <v>13415</v>
      </c>
      <c r="I703" s="2">
        <v>1200</v>
      </c>
      <c r="J703" s="2">
        <f>(IF(A703='Hybrid Calculator'!$B$6,0,1))^2+((B703-'Hybrid Calculator'!$B$7)/1500)^2+((C703-'Hybrid Calculator'!$B$8)/1300)^2+((D703-'Hybrid Calculator'!$B$9)/800)^2+((E703-'Hybrid Calculator'!$B$10)/350)^2+((F703-'Hybrid Calculator'!$B$11)/30)^2+(G703-'Hybrid Calculator'!$B$12)^2+((H703-'Hybrid Calculator'!$E$14)/IF(A703="Lightning",100,30000))^2+((I703-'Hybrid Calculator'!$E$17)/IF(A703="Lightning",100,30000))^2</f>
        <v>1.3792466550274021</v>
      </c>
      <c r="K703" s="2">
        <f t="shared" si="40"/>
        <v>913</v>
      </c>
      <c r="L703" s="2">
        <f t="shared" si="41"/>
        <v>0</v>
      </c>
      <c r="M703" s="2">
        <f t="shared" si="42"/>
        <v>0</v>
      </c>
      <c r="N703" s="2">
        <v>1.2255416742465286</v>
      </c>
      <c r="O703" s="2">
        <f t="shared" si="43"/>
        <v>0</v>
      </c>
      <c r="P703" s="2">
        <v>63.941753617474205</v>
      </c>
      <c r="Q703" s="2">
        <v>-4.3470060230357603</v>
      </c>
    </row>
    <row r="704" spans="1:17" ht="15">
      <c r="A704" s="2" t="s">
        <v>81</v>
      </c>
      <c r="B704" s="2">
        <v>1093.2033142773435</v>
      </c>
      <c r="C704" s="2">
        <v>955.79999448964372</v>
      </c>
      <c r="D704" s="2">
        <v>589.55203481018543</v>
      </c>
      <c r="E704" s="2">
        <v>108.2310081529431</v>
      </c>
      <c r="F704" s="2">
        <v>10.451923833228648</v>
      </c>
      <c r="G704" s="2">
        <v>0.81453818282810975</v>
      </c>
      <c r="H704" s="2">
        <v>12935</v>
      </c>
      <c r="I704" s="2">
        <v>1200</v>
      </c>
      <c r="J704" s="2">
        <f>(IF(A704='Hybrid Calculator'!$B$6,0,1))^2+((B704-'Hybrid Calculator'!$B$7)/1500)^2+((C704-'Hybrid Calculator'!$B$8)/1300)^2+((D704-'Hybrid Calculator'!$B$9)/800)^2+((E704-'Hybrid Calculator'!$B$10)/350)^2+((F704-'Hybrid Calculator'!$B$11)/30)^2+(G704-'Hybrid Calculator'!$B$12)^2+((H704-'Hybrid Calculator'!$E$14)/IF(A704="Lightning",100,30000))^2+((I704-'Hybrid Calculator'!$E$17)/IF(A704="Lightning",100,30000))^2</f>
        <v>1.3403269967030531</v>
      </c>
      <c r="K704" s="2">
        <f t="shared" si="40"/>
        <v>802</v>
      </c>
      <c r="L704" s="2">
        <f t="shared" si="41"/>
        <v>0</v>
      </c>
      <c r="M704" s="2">
        <f t="shared" si="42"/>
        <v>0</v>
      </c>
      <c r="N704" s="2">
        <v>4.365247897273548</v>
      </c>
      <c r="O704" s="2">
        <f t="shared" si="43"/>
        <v>0</v>
      </c>
      <c r="P704" s="2">
        <v>-19.49563542949727</v>
      </c>
      <c r="Q704" s="2">
        <v>7.9693220250831018</v>
      </c>
    </row>
    <row r="705" spans="1:17" ht="15">
      <c r="A705" s="2" t="s">
        <v>81</v>
      </c>
      <c r="B705" s="2">
        <v>1085.1878991699778</v>
      </c>
      <c r="C705" s="2">
        <v>1134.1964469756931</v>
      </c>
      <c r="D705" s="2">
        <v>592.67470641061664</v>
      </c>
      <c r="E705" s="2">
        <v>211.32207549642771</v>
      </c>
      <c r="F705" s="2">
        <v>24.432476240675896</v>
      </c>
      <c r="G705" s="2">
        <v>0.7986163841560483</v>
      </c>
      <c r="H705" s="2">
        <v>11035</v>
      </c>
      <c r="I705" s="2">
        <v>1195</v>
      </c>
      <c r="J705" s="2">
        <f>(IF(A705='Hybrid Calculator'!$B$6,0,1))^2+((B705-'Hybrid Calculator'!$B$7)/1500)^2+((C705-'Hybrid Calculator'!$B$8)/1300)^2+((D705-'Hybrid Calculator'!$B$9)/800)^2+((E705-'Hybrid Calculator'!$B$10)/350)^2+((F705-'Hybrid Calculator'!$B$11)/30)^2+(G705-'Hybrid Calculator'!$B$12)^2+((H705-'Hybrid Calculator'!$E$14)/IF(A705="Lightning",100,30000))^2+((I705-'Hybrid Calculator'!$E$17)/IF(A705="Lightning",100,30000))^2</f>
        <v>1.3183903409385993</v>
      </c>
      <c r="K705" s="2">
        <f t="shared" si="40"/>
        <v>759</v>
      </c>
      <c r="L705" s="2">
        <f t="shared" si="41"/>
        <v>0</v>
      </c>
      <c r="M705" s="2">
        <f t="shared" si="42"/>
        <v>0</v>
      </c>
      <c r="N705" s="2">
        <v>1.2191331423583449</v>
      </c>
      <c r="O705" s="2">
        <f t="shared" si="43"/>
        <v>0</v>
      </c>
      <c r="P705" s="2">
        <v>34.74989914968819</v>
      </c>
      <c r="Q705" s="2">
        <v>-10.71499341975732</v>
      </c>
    </row>
    <row r="706" spans="1:17" ht="15">
      <c r="A706" s="2" t="s">
        <v>81</v>
      </c>
      <c r="B706" s="2">
        <v>1000.0206758733839</v>
      </c>
      <c r="C706" s="2">
        <v>820.64614099217579</v>
      </c>
      <c r="D706" s="2">
        <v>578.47949769347906</v>
      </c>
      <c r="E706" s="2">
        <v>286.45339210750535</v>
      </c>
      <c r="F706" s="2">
        <v>20.45329699292779</v>
      </c>
      <c r="G706" s="2">
        <v>0.82617933623725548</v>
      </c>
      <c r="H706" s="2">
        <v>12685</v>
      </c>
      <c r="I706" s="2">
        <v>1200</v>
      </c>
      <c r="J706" s="2">
        <f>(IF(A706='Hybrid Calculator'!$B$6,0,1))^2+((B706-'Hybrid Calculator'!$B$7)/1500)^2+((C706-'Hybrid Calculator'!$B$8)/1300)^2+((D706-'Hybrid Calculator'!$B$9)/800)^2+((E706-'Hybrid Calculator'!$B$10)/350)^2+((F706-'Hybrid Calculator'!$B$11)/30)^2+(G706-'Hybrid Calculator'!$B$12)^2+((H706-'Hybrid Calculator'!$E$14)/IF(A706="Lightning",100,30000))^2+((I706-'Hybrid Calculator'!$E$17)/IF(A706="Lightning",100,30000))^2</f>
        <v>1.4255923262421542</v>
      </c>
      <c r="K706" s="2">
        <f t="shared" ref="K706:K769" si="44">RANK(J706,$J$2:$J$1401,1)</f>
        <v>1050</v>
      </c>
      <c r="L706" s="2">
        <f t="shared" ref="L706:L769" si="45">IF(K706&lt;=7,1,0)</f>
        <v>0</v>
      </c>
      <c r="M706" s="2">
        <f t="shared" ref="M706:M769" si="46">IF(L706=1,1/(J706+0.000001),0)</f>
        <v>0</v>
      </c>
      <c r="N706" s="2">
        <v>-2.4046149441555826</v>
      </c>
      <c r="O706" s="2">
        <f t="shared" ref="O706:O769" si="47">M706</f>
        <v>0</v>
      </c>
      <c r="P706" s="2">
        <v>29.327634749891331</v>
      </c>
      <c r="Q706" s="2">
        <v>-4.7949977210719226</v>
      </c>
    </row>
    <row r="707" spans="1:17" ht="15">
      <c r="A707" s="2" t="s">
        <v>81</v>
      </c>
      <c r="B707" s="2">
        <v>1099.187308375258</v>
      </c>
      <c r="C707" s="2">
        <v>1206.1619297368452</v>
      </c>
      <c r="D707" s="2">
        <v>497.40886436775327</v>
      </c>
      <c r="E707" s="2">
        <v>226.49307727813721</v>
      </c>
      <c r="F707" s="2">
        <v>25.465657840017229</v>
      </c>
      <c r="G707" s="2">
        <v>0.85143979571294048</v>
      </c>
      <c r="H707" s="2">
        <v>11080</v>
      </c>
      <c r="I707" s="2">
        <v>1195</v>
      </c>
      <c r="J707" s="2">
        <f>(IF(A707='Hybrid Calculator'!$B$6,0,1))^2+((B707-'Hybrid Calculator'!$B$7)/1500)^2+((C707-'Hybrid Calculator'!$B$8)/1300)^2+((D707-'Hybrid Calculator'!$B$9)/800)^2+((E707-'Hybrid Calculator'!$B$10)/350)^2+((F707-'Hybrid Calculator'!$B$11)/30)^2+(G707-'Hybrid Calculator'!$B$12)^2+((H707-'Hybrid Calculator'!$E$14)/IF(A707="Lightning",100,30000))^2+((I707-'Hybrid Calculator'!$E$17)/IF(A707="Lightning",100,30000))^2</f>
        <v>1.3616145644097868</v>
      </c>
      <c r="K707" s="2">
        <f t="shared" si="44"/>
        <v>859</v>
      </c>
      <c r="L707" s="2">
        <f t="shared" si="45"/>
        <v>0</v>
      </c>
      <c r="M707" s="2">
        <f t="shared" si="46"/>
        <v>0</v>
      </c>
      <c r="N707" s="2">
        <v>1.8298033324867333</v>
      </c>
      <c r="O707" s="2">
        <f t="shared" si="47"/>
        <v>0</v>
      </c>
      <c r="P707" s="2">
        <v>50.138452886108553</v>
      </c>
      <c r="Q707" s="2">
        <v>-17.233704256428837</v>
      </c>
    </row>
    <row r="708" spans="1:17" ht="15">
      <c r="A708" s="2" t="s">
        <v>81</v>
      </c>
      <c r="B708" s="2">
        <v>1067.857681424357</v>
      </c>
      <c r="C708" s="2">
        <v>784.52665294753388</v>
      </c>
      <c r="D708" s="2">
        <v>553.34872379899025</v>
      </c>
      <c r="E708" s="2">
        <v>285.56793961441144</v>
      </c>
      <c r="F708" s="2">
        <v>10.965923084877431</v>
      </c>
      <c r="G708" s="2">
        <v>0.83555202593794098</v>
      </c>
      <c r="H708" s="2">
        <v>13175</v>
      </c>
      <c r="I708" s="2">
        <v>1200</v>
      </c>
      <c r="J708" s="2">
        <f>(IF(A708='Hybrid Calculator'!$B$6,0,1))^2+((B708-'Hybrid Calculator'!$B$7)/1500)^2+((C708-'Hybrid Calculator'!$B$8)/1300)^2+((D708-'Hybrid Calculator'!$B$9)/800)^2+((E708-'Hybrid Calculator'!$B$10)/350)^2+((F708-'Hybrid Calculator'!$B$11)/30)^2+(G708-'Hybrid Calculator'!$B$12)^2+((H708-'Hybrid Calculator'!$E$14)/IF(A708="Lightning",100,30000))^2+((I708-'Hybrid Calculator'!$E$17)/IF(A708="Lightning",100,30000))^2</f>
        <v>1.4699540359306109</v>
      </c>
      <c r="K708" s="2">
        <f t="shared" si="44"/>
        <v>1159</v>
      </c>
      <c r="L708" s="2">
        <f t="shared" si="45"/>
        <v>0</v>
      </c>
      <c r="M708" s="2">
        <f t="shared" si="46"/>
        <v>0</v>
      </c>
      <c r="N708" s="2">
        <v>2.2207865619631946</v>
      </c>
      <c r="O708" s="2">
        <f t="shared" si="47"/>
        <v>0</v>
      </c>
      <c r="P708" s="2">
        <v>-10.815084894937627</v>
      </c>
      <c r="Q708" s="2">
        <v>6.5664659810447574</v>
      </c>
    </row>
    <row r="709" spans="1:17" ht="15">
      <c r="A709" s="2" t="s">
        <v>81</v>
      </c>
      <c r="B709" s="2">
        <v>1053.2479654881172</v>
      </c>
      <c r="C709" s="2">
        <v>1055.7119848206639</v>
      </c>
      <c r="D709" s="2">
        <v>746.90941413864493</v>
      </c>
      <c r="E709" s="2">
        <v>165.6226981850341</v>
      </c>
      <c r="F709" s="2">
        <v>23.902782463934273</v>
      </c>
      <c r="G709" s="2">
        <v>0.81600905871950091</v>
      </c>
      <c r="H709" s="2">
        <v>10865</v>
      </c>
      <c r="I709" s="2">
        <v>1195</v>
      </c>
      <c r="J709" s="2">
        <f>(IF(A709='Hybrid Calculator'!$B$6,0,1))^2+((B709-'Hybrid Calculator'!$B$7)/1500)^2+((C709-'Hybrid Calculator'!$B$8)/1300)^2+((D709-'Hybrid Calculator'!$B$9)/800)^2+((E709-'Hybrid Calculator'!$B$10)/350)^2+((F709-'Hybrid Calculator'!$B$11)/30)^2+(G709-'Hybrid Calculator'!$B$12)^2+((H709-'Hybrid Calculator'!$E$14)/IF(A709="Lightning",100,30000))^2+((I709-'Hybrid Calculator'!$E$17)/IF(A709="Lightning",100,30000))^2</f>
        <v>1.3476415549918646</v>
      </c>
      <c r="K709" s="2">
        <f t="shared" si="44"/>
        <v>825</v>
      </c>
      <c r="L709" s="2">
        <f t="shared" si="45"/>
        <v>0</v>
      </c>
      <c r="M709" s="2">
        <f t="shared" si="46"/>
        <v>0</v>
      </c>
      <c r="N709" s="2">
        <v>2.4272357725786549</v>
      </c>
      <c r="O709" s="2">
        <f t="shared" si="47"/>
        <v>0</v>
      </c>
      <c r="P709" s="2">
        <v>25.830964699939159</v>
      </c>
      <c r="Q709" s="2">
        <v>-11.642794800769707</v>
      </c>
    </row>
    <row r="710" spans="1:17" ht="15">
      <c r="A710" s="2" t="s">
        <v>81</v>
      </c>
      <c r="B710" s="2">
        <v>1089.1690787859261</v>
      </c>
      <c r="C710" s="2">
        <v>800.53080482175574</v>
      </c>
      <c r="D710" s="2">
        <v>375.440070964396</v>
      </c>
      <c r="E710" s="2">
        <v>160.3432502434589</v>
      </c>
      <c r="F710" s="2">
        <v>21.871306823566556</v>
      </c>
      <c r="G710" s="2">
        <v>0.82240361257689076</v>
      </c>
      <c r="H710" s="2">
        <v>16005</v>
      </c>
      <c r="I710" s="2">
        <v>1200</v>
      </c>
      <c r="J710" s="2">
        <f>(IF(A710='Hybrid Calculator'!$B$6,0,1))^2+((B710-'Hybrid Calculator'!$B$7)/1500)^2+((C710-'Hybrid Calculator'!$B$8)/1300)^2+((D710-'Hybrid Calculator'!$B$9)/800)^2+((E710-'Hybrid Calculator'!$B$10)/350)^2+((F710-'Hybrid Calculator'!$B$11)/30)^2+(G710-'Hybrid Calculator'!$B$12)^2+((H710-'Hybrid Calculator'!$E$14)/IF(A710="Lightning",100,30000))^2+((I710-'Hybrid Calculator'!$E$17)/IF(A710="Lightning",100,30000))^2</f>
        <v>1.3737044200710411</v>
      </c>
      <c r="K710" s="2">
        <f t="shared" si="44"/>
        <v>901</v>
      </c>
      <c r="L710" s="2">
        <f t="shared" si="45"/>
        <v>0</v>
      </c>
      <c r="M710" s="2">
        <f t="shared" si="46"/>
        <v>0</v>
      </c>
      <c r="N710" s="2">
        <v>-2.5413306007850167</v>
      </c>
      <c r="O710" s="2">
        <f t="shared" si="47"/>
        <v>0</v>
      </c>
      <c r="P710" s="2">
        <v>23.931865846675919</v>
      </c>
      <c r="Q710" s="2">
        <v>-2.2472812741784765</v>
      </c>
    </row>
    <row r="711" spans="1:17" ht="15">
      <c r="A711" s="2" t="s">
        <v>81</v>
      </c>
      <c r="B711" s="2">
        <v>957.21649673068896</v>
      </c>
      <c r="C711" s="2">
        <v>923.40033252257854</v>
      </c>
      <c r="D711" s="2">
        <v>468.11466300860047</v>
      </c>
      <c r="E711" s="2">
        <v>144.91973740048707</v>
      </c>
      <c r="F711" s="2">
        <v>15.472391427028924</v>
      </c>
      <c r="G711" s="2">
        <v>0.79487954320851717</v>
      </c>
      <c r="H711" s="2">
        <v>13920</v>
      </c>
      <c r="I711" s="2">
        <v>1200</v>
      </c>
      <c r="J711" s="2">
        <f>(IF(A711='Hybrid Calculator'!$B$6,0,1))^2+((B711-'Hybrid Calculator'!$B$7)/1500)^2+((C711-'Hybrid Calculator'!$B$8)/1300)^2+((D711-'Hybrid Calculator'!$B$9)/800)^2+((E711-'Hybrid Calculator'!$B$10)/350)^2+((F711-'Hybrid Calculator'!$B$11)/30)^2+(G711-'Hybrid Calculator'!$B$12)^2+((H711-'Hybrid Calculator'!$E$14)/IF(A711="Lightning",100,30000))^2+((I711-'Hybrid Calculator'!$E$17)/IF(A711="Lightning",100,30000))^2</f>
        <v>1.3283432132308814</v>
      </c>
      <c r="K711" s="2">
        <f t="shared" si="44"/>
        <v>772</v>
      </c>
      <c r="L711" s="2">
        <f t="shared" si="45"/>
        <v>0</v>
      </c>
      <c r="M711" s="2">
        <f t="shared" si="46"/>
        <v>0</v>
      </c>
      <c r="N711" s="2">
        <v>0.72919548356273367</v>
      </c>
      <c r="O711" s="2">
        <f t="shared" si="47"/>
        <v>0</v>
      </c>
      <c r="P711" s="2">
        <v>31.856175127075858</v>
      </c>
      <c r="Q711" s="2">
        <v>5.146884463726451</v>
      </c>
    </row>
    <row r="712" spans="1:17" ht="15">
      <c r="A712" s="2" t="s">
        <v>81</v>
      </c>
      <c r="B712" s="2">
        <v>1077.4069374194369</v>
      </c>
      <c r="C712" s="2">
        <v>1110.9792310395278</v>
      </c>
      <c r="D712" s="2">
        <v>662.60938607156277</v>
      </c>
      <c r="E712" s="2">
        <v>225.48622322035953</v>
      </c>
      <c r="F712" s="2">
        <v>9.2956118704751134</v>
      </c>
      <c r="G712" s="2">
        <v>0.82672517542494461</v>
      </c>
      <c r="H712" s="2">
        <v>10700</v>
      </c>
      <c r="I712" s="2">
        <v>1195</v>
      </c>
      <c r="J712" s="2">
        <f>(IF(A712='Hybrid Calculator'!$B$6,0,1))^2+((B712-'Hybrid Calculator'!$B$7)/1500)^2+((C712-'Hybrid Calculator'!$B$8)/1300)^2+((D712-'Hybrid Calculator'!$B$9)/800)^2+((E712-'Hybrid Calculator'!$B$10)/350)^2+((F712-'Hybrid Calculator'!$B$11)/30)^2+(G712-'Hybrid Calculator'!$B$12)^2+((H712-'Hybrid Calculator'!$E$14)/IF(A712="Lightning",100,30000))^2+((I712-'Hybrid Calculator'!$E$17)/IF(A712="Lightning",100,30000))^2</f>
        <v>1.4035564747923113</v>
      </c>
      <c r="K712" s="2">
        <f t="shared" si="44"/>
        <v>986</v>
      </c>
      <c r="L712" s="2">
        <f t="shared" si="45"/>
        <v>0</v>
      </c>
      <c r="M712" s="2">
        <f t="shared" si="46"/>
        <v>0</v>
      </c>
      <c r="N712" s="2">
        <v>3.8139415315780809</v>
      </c>
      <c r="O712" s="2">
        <f t="shared" si="47"/>
        <v>0</v>
      </c>
      <c r="P712" s="2">
        <v>35.895767963502749</v>
      </c>
      <c r="Q712" s="2">
        <v>-2.2248317881574167</v>
      </c>
    </row>
    <row r="713" spans="1:17" ht="15">
      <c r="A713" s="2" t="s">
        <v>81</v>
      </c>
      <c r="B713" s="2">
        <v>1038.39132724097</v>
      </c>
      <c r="C713" s="2">
        <v>640.67254313267767</v>
      </c>
      <c r="D713" s="2">
        <v>668.95514009520411</v>
      </c>
      <c r="E713" s="2">
        <v>141.87134922947735</v>
      </c>
      <c r="F713" s="2">
        <v>27.060200631152838</v>
      </c>
      <c r="G713" s="2">
        <v>0.81433793434873225</v>
      </c>
      <c r="H713" s="2">
        <v>14735</v>
      </c>
      <c r="I713" s="2">
        <v>1200</v>
      </c>
      <c r="J713" s="2">
        <f>(IF(A713='Hybrid Calculator'!$B$6,0,1))^2+((B713-'Hybrid Calculator'!$B$7)/1500)^2+((C713-'Hybrid Calculator'!$B$8)/1300)^2+((D713-'Hybrid Calculator'!$B$9)/800)^2+((E713-'Hybrid Calculator'!$B$10)/350)^2+((F713-'Hybrid Calculator'!$B$11)/30)^2+(G713-'Hybrid Calculator'!$B$12)^2+((H713-'Hybrid Calculator'!$E$14)/IF(A713="Lightning",100,30000))^2+((I713-'Hybrid Calculator'!$E$17)/IF(A713="Lightning",100,30000))^2</f>
        <v>1.4600947786254217</v>
      </c>
      <c r="K713" s="2">
        <f t="shared" si="44"/>
        <v>1133</v>
      </c>
      <c r="L713" s="2">
        <f t="shared" si="45"/>
        <v>0</v>
      </c>
      <c r="M713" s="2">
        <f t="shared" si="46"/>
        <v>0</v>
      </c>
      <c r="N713" s="2">
        <v>-3.8325265722866959</v>
      </c>
      <c r="O713" s="2">
        <f t="shared" si="47"/>
        <v>0</v>
      </c>
      <c r="P713" s="2">
        <v>-66.016080402529951</v>
      </c>
      <c r="Q713" s="2">
        <v>-9.6320680135299881</v>
      </c>
    </row>
    <row r="714" spans="1:17" ht="15">
      <c r="A714" s="2" t="s">
        <v>81</v>
      </c>
      <c r="B714" s="2">
        <v>998.47616520710289</v>
      </c>
      <c r="C714" s="2">
        <v>705.30671178130433</v>
      </c>
      <c r="D714" s="2">
        <v>539.45966642349958</v>
      </c>
      <c r="E714" s="2">
        <v>108.55047798948362</v>
      </c>
      <c r="F714" s="2">
        <v>11.818534582853317</v>
      </c>
      <c r="G714" s="2">
        <v>0.82013187965611001</v>
      </c>
      <c r="H714" s="2">
        <v>15800</v>
      </c>
      <c r="I714" s="2">
        <v>1200</v>
      </c>
      <c r="J714" s="2">
        <f>(IF(A714='Hybrid Calculator'!$B$6,0,1))^2+((B714-'Hybrid Calculator'!$B$7)/1500)^2+((C714-'Hybrid Calculator'!$B$8)/1300)^2+((D714-'Hybrid Calculator'!$B$9)/800)^2+((E714-'Hybrid Calculator'!$B$10)/350)^2+((F714-'Hybrid Calculator'!$B$11)/30)^2+(G714-'Hybrid Calculator'!$B$12)^2+((H714-'Hybrid Calculator'!$E$14)/IF(A714="Lightning",100,30000))^2+((I714-'Hybrid Calculator'!$E$17)/IF(A714="Lightning",100,30000))^2</f>
        <v>1.4364618966377374</v>
      </c>
      <c r="K714" s="2">
        <f t="shared" si="44"/>
        <v>1073</v>
      </c>
      <c r="L714" s="2">
        <f t="shared" si="45"/>
        <v>0</v>
      </c>
      <c r="M714" s="2">
        <f t="shared" si="46"/>
        <v>0</v>
      </c>
      <c r="N714" s="2">
        <v>-2.6033242011877462</v>
      </c>
      <c r="O714" s="2">
        <f t="shared" si="47"/>
        <v>0</v>
      </c>
      <c r="P714" s="2">
        <v>-3.3909381842036055</v>
      </c>
      <c r="Q714" s="2">
        <v>10.709431828741799</v>
      </c>
    </row>
    <row r="715" spans="1:17" ht="15">
      <c r="A715" s="2" t="s">
        <v>81</v>
      </c>
      <c r="B715" s="2">
        <v>1041.4569729124196</v>
      </c>
      <c r="C715" s="2">
        <v>614.07137827482074</v>
      </c>
      <c r="D715" s="2">
        <v>481.9182020612061</v>
      </c>
      <c r="E715" s="2">
        <v>104.82069889083505</v>
      </c>
      <c r="F715" s="2">
        <v>28.489766916725785</v>
      </c>
      <c r="G715" s="2">
        <v>0.83604268578346819</v>
      </c>
      <c r="H715" s="2">
        <v>17810</v>
      </c>
      <c r="I715" s="2">
        <v>1200</v>
      </c>
      <c r="J715" s="2">
        <f>(IF(A715='Hybrid Calculator'!$B$6,0,1))^2+((B715-'Hybrid Calculator'!$B$7)/1500)^2+((C715-'Hybrid Calculator'!$B$8)/1300)^2+((D715-'Hybrid Calculator'!$B$9)/800)^2+((E715-'Hybrid Calculator'!$B$10)/350)^2+((F715-'Hybrid Calculator'!$B$11)/30)^2+(G715-'Hybrid Calculator'!$B$12)^2+((H715-'Hybrid Calculator'!$E$14)/IF(A715="Lightning",100,30000))^2+((I715-'Hybrid Calculator'!$E$17)/IF(A715="Lightning",100,30000))^2</f>
        <v>1.5786290823787783</v>
      </c>
      <c r="K715" s="2">
        <f t="shared" si="44"/>
        <v>1333</v>
      </c>
      <c r="L715" s="2">
        <f t="shared" si="45"/>
        <v>0</v>
      </c>
      <c r="M715" s="2">
        <f t="shared" si="46"/>
        <v>0</v>
      </c>
      <c r="N715" s="2">
        <v>-0.62285596786696829</v>
      </c>
      <c r="O715" s="2">
        <f t="shared" si="47"/>
        <v>0</v>
      </c>
      <c r="P715" s="2">
        <v>-12.254319415540522</v>
      </c>
      <c r="Q715" s="2">
        <v>-5.1655759554562337</v>
      </c>
    </row>
    <row r="716" spans="1:17" ht="15">
      <c r="A716" s="2" t="s">
        <v>81</v>
      </c>
      <c r="B716" s="2">
        <v>987.9093203227967</v>
      </c>
      <c r="C716" s="2">
        <v>1019.5554961333983</v>
      </c>
      <c r="D716" s="2">
        <v>421.16653975099325</v>
      </c>
      <c r="E716" s="2">
        <v>191.87888198764995</v>
      </c>
      <c r="F716" s="2">
        <v>8.4450587891042233</v>
      </c>
      <c r="G716" s="2">
        <v>0.82396409262204551</v>
      </c>
      <c r="H716" s="2">
        <v>15280</v>
      </c>
      <c r="I716" s="2">
        <v>1200</v>
      </c>
      <c r="J716" s="2">
        <f>(IF(A716='Hybrid Calculator'!$B$6,0,1))^2+((B716-'Hybrid Calculator'!$B$7)/1500)^2+((C716-'Hybrid Calculator'!$B$8)/1300)^2+((D716-'Hybrid Calculator'!$B$9)/800)^2+((E716-'Hybrid Calculator'!$B$10)/350)^2+((F716-'Hybrid Calculator'!$B$11)/30)^2+(G716-'Hybrid Calculator'!$B$12)^2+((H716-'Hybrid Calculator'!$E$14)/IF(A716="Lightning",100,30000))^2+((I716-'Hybrid Calculator'!$E$17)/IF(A716="Lightning",100,30000))^2</f>
        <v>1.4975597464254402</v>
      </c>
      <c r="K716" s="2">
        <f t="shared" si="44"/>
        <v>1206</v>
      </c>
      <c r="L716" s="2">
        <f t="shared" si="45"/>
        <v>0</v>
      </c>
      <c r="M716" s="2">
        <f t="shared" si="46"/>
        <v>0</v>
      </c>
      <c r="N716" s="2">
        <v>4.4680219415649844</v>
      </c>
      <c r="O716" s="2">
        <f t="shared" si="47"/>
        <v>0</v>
      </c>
      <c r="P716" s="2">
        <v>23.015126480008348</v>
      </c>
      <c r="Q716" s="2">
        <v>8.9199436124201839</v>
      </c>
    </row>
    <row r="717" spans="1:17" ht="15">
      <c r="A717" s="2" t="s">
        <v>81</v>
      </c>
      <c r="B717" s="2">
        <v>969.8545474675484</v>
      </c>
      <c r="C717" s="2">
        <v>1146.1456733522937</v>
      </c>
      <c r="D717" s="2">
        <v>461.00363628938794</v>
      </c>
      <c r="E717" s="2">
        <v>93.826114125549793</v>
      </c>
      <c r="F717" s="2">
        <v>27.503600510302931</v>
      </c>
      <c r="G717" s="2">
        <v>0.79583197805564854</v>
      </c>
      <c r="H717" s="2">
        <v>12575</v>
      </c>
      <c r="I717" s="2">
        <v>1200</v>
      </c>
      <c r="J717" s="2">
        <f>(IF(A717='Hybrid Calculator'!$B$6,0,1))^2+((B717-'Hybrid Calculator'!$B$7)/1500)^2+((C717-'Hybrid Calculator'!$B$8)/1300)^2+((D717-'Hybrid Calculator'!$B$9)/800)^2+((E717-'Hybrid Calculator'!$B$10)/350)^2+((F717-'Hybrid Calculator'!$B$11)/30)^2+(G717-'Hybrid Calculator'!$B$12)^2+((H717-'Hybrid Calculator'!$E$14)/IF(A717="Lightning",100,30000))^2+((I717-'Hybrid Calculator'!$E$17)/IF(A717="Lightning",100,30000))^2</f>
        <v>1.4385965195118278</v>
      </c>
      <c r="K717" s="2">
        <f t="shared" si="44"/>
        <v>1080</v>
      </c>
      <c r="L717" s="2">
        <f t="shared" si="45"/>
        <v>0</v>
      </c>
      <c r="M717" s="2">
        <f t="shared" si="46"/>
        <v>0</v>
      </c>
      <c r="N717" s="2">
        <v>-1.389159465305795</v>
      </c>
      <c r="O717" s="2">
        <f t="shared" si="47"/>
        <v>0</v>
      </c>
      <c r="P717" s="2">
        <v>57.488439047895099</v>
      </c>
      <c r="Q717" s="2">
        <v>-14.546768829153621</v>
      </c>
    </row>
    <row r="718" spans="1:17" ht="15">
      <c r="A718" s="2" t="s">
        <v>81</v>
      </c>
      <c r="B718" s="2">
        <v>1096.4431300992146</v>
      </c>
      <c r="C718" s="2">
        <v>758.33389490144327</v>
      </c>
      <c r="D718" s="2">
        <v>706.8338505923748</v>
      </c>
      <c r="E718" s="2">
        <v>179.7402886277996</v>
      </c>
      <c r="F718" s="2">
        <v>9.1391759580001235</v>
      </c>
      <c r="G718" s="2">
        <v>0.82835677223047244</v>
      </c>
      <c r="H718" s="2">
        <v>13000</v>
      </c>
      <c r="I718" s="2">
        <v>1200</v>
      </c>
      <c r="J718" s="2">
        <f>(IF(A718='Hybrid Calculator'!$B$6,0,1))^2+((B718-'Hybrid Calculator'!$B$7)/1500)^2+((C718-'Hybrid Calculator'!$B$8)/1300)^2+((D718-'Hybrid Calculator'!$B$9)/800)^2+((E718-'Hybrid Calculator'!$B$10)/350)^2+((F718-'Hybrid Calculator'!$B$11)/30)^2+(G718-'Hybrid Calculator'!$B$12)^2+((H718-'Hybrid Calculator'!$E$14)/IF(A718="Lightning",100,30000))^2+((I718-'Hybrid Calculator'!$E$17)/IF(A718="Lightning",100,30000))^2</f>
        <v>1.4123151312981852</v>
      </c>
      <c r="K718" s="2">
        <f t="shared" si="44"/>
        <v>1014</v>
      </c>
      <c r="L718" s="2">
        <f t="shared" si="45"/>
        <v>0</v>
      </c>
      <c r="M718" s="2">
        <f t="shared" si="46"/>
        <v>0</v>
      </c>
      <c r="N718" s="2">
        <v>-0.15924487109262486</v>
      </c>
      <c r="O718" s="2">
        <f t="shared" si="47"/>
        <v>0</v>
      </c>
      <c r="P718" s="2">
        <v>-44.651656520410143</v>
      </c>
      <c r="Q718" s="2">
        <v>7.603738514471388</v>
      </c>
    </row>
    <row r="719" spans="1:17" ht="15">
      <c r="A719" s="2" t="s">
        <v>81</v>
      </c>
      <c r="B719" s="2">
        <v>971.29712867317721</v>
      </c>
      <c r="C719" s="2">
        <v>1200.2313036471605</v>
      </c>
      <c r="D719" s="2">
        <v>420.24459829553962</v>
      </c>
      <c r="E719" s="2">
        <v>320.25317013729364</v>
      </c>
      <c r="F719" s="2">
        <v>27.099499927368015</v>
      </c>
      <c r="G719" s="2">
        <v>0.84189576524309817</v>
      </c>
      <c r="H719" s="2">
        <v>12855</v>
      </c>
      <c r="I719" s="2">
        <v>1200</v>
      </c>
      <c r="J719" s="2">
        <f>(IF(A719='Hybrid Calculator'!$B$6,0,1))^2+((B719-'Hybrid Calculator'!$B$7)/1500)^2+((C719-'Hybrid Calculator'!$B$8)/1300)^2+((D719-'Hybrid Calculator'!$B$9)/800)^2+((E719-'Hybrid Calculator'!$B$10)/350)^2+((F719-'Hybrid Calculator'!$B$11)/30)^2+(G719-'Hybrid Calculator'!$B$12)^2+((H719-'Hybrid Calculator'!$E$14)/IF(A719="Lightning",100,30000))^2+((I719-'Hybrid Calculator'!$E$17)/IF(A719="Lightning",100,30000))^2</f>
        <v>1.676997166074413</v>
      </c>
      <c r="K719" s="2">
        <f t="shared" si="44"/>
        <v>1388</v>
      </c>
      <c r="L719" s="2">
        <f t="shared" si="45"/>
        <v>0</v>
      </c>
      <c r="M719" s="2">
        <f t="shared" si="46"/>
        <v>0</v>
      </c>
      <c r="N719" s="2">
        <v>2.8305460563528584</v>
      </c>
      <c r="O719" s="2">
        <f t="shared" si="47"/>
        <v>0</v>
      </c>
      <c r="P719" s="2">
        <v>30.844985606892806</v>
      </c>
      <c r="Q719" s="2">
        <v>-15.423828236923214</v>
      </c>
    </row>
    <row r="720" spans="1:17" ht="15">
      <c r="A720" s="2" t="s">
        <v>81</v>
      </c>
      <c r="B720" s="2">
        <v>1060.8208189718425</v>
      </c>
      <c r="C720" s="2">
        <v>856.14030914148316</v>
      </c>
      <c r="D720" s="2">
        <v>474.01102129369974</v>
      </c>
      <c r="E720" s="2">
        <v>292.27880293736234</v>
      </c>
      <c r="F720" s="2">
        <v>24.145914951339364</v>
      </c>
      <c r="G720" s="2">
        <v>0.84815687041031196</v>
      </c>
      <c r="H720" s="2">
        <v>13180</v>
      </c>
      <c r="I720" s="2">
        <v>1200</v>
      </c>
      <c r="J720" s="2">
        <f>(IF(A720='Hybrid Calculator'!$B$6,0,1))^2+((B720-'Hybrid Calculator'!$B$7)/1500)^2+((C720-'Hybrid Calculator'!$B$8)/1300)^2+((D720-'Hybrid Calculator'!$B$9)/800)^2+((E720-'Hybrid Calculator'!$B$10)/350)^2+((F720-'Hybrid Calculator'!$B$11)/30)^2+(G720-'Hybrid Calculator'!$B$12)^2+((H720-'Hybrid Calculator'!$E$14)/IF(A720="Lightning",100,30000))^2+((I720-'Hybrid Calculator'!$E$17)/IF(A720="Lightning",100,30000))^2</f>
        <v>1.4545709697784599</v>
      </c>
      <c r="K720" s="2">
        <f t="shared" si="44"/>
        <v>1114</v>
      </c>
      <c r="L720" s="2">
        <f t="shared" si="45"/>
        <v>0</v>
      </c>
      <c r="M720" s="2">
        <f t="shared" si="46"/>
        <v>0</v>
      </c>
      <c r="N720" s="2">
        <v>-2.2160322335227818</v>
      </c>
      <c r="O720" s="2">
        <f t="shared" si="47"/>
        <v>0</v>
      </c>
      <c r="P720" s="2">
        <v>-25.424613687159308</v>
      </c>
      <c r="Q720" s="2">
        <v>-6.5495356773092226</v>
      </c>
    </row>
    <row r="721" spans="1:17" ht="15">
      <c r="A721" s="2" t="s">
        <v>81</v>
      </c>
      <c r="B721" s="2">
        <v>955.93619399005547</v>
      </c>
      <c r="C721" s="2">
        <v>724.41646971274167</v>
      </c>
      <c r="D721" s="2">
        <v>705.50325149670243</v>
      </c>
      <c r="E721" s="2">
        <v>170.07796109654009</v>
      </c>
      <c r="F721" s="2">
        <v>14.794586621690542</v>
      </c>
      <c r="G721" s="2">
        <v>0.80428625179920354</v>
      </c>
      <c r="H721" s="2">
        <v>15595</v>
      </c>
      <c r="I721" s="2">
        <v>1200</v>
      </c>
      <c r="J721" s="2">
        <f>(IF(A721='Hybrid Calculator'!$B$6,0,1))^2+((B721-'Hybrid Calculator'!$B$7)/1500)^2+((C721-'Hybrid Calculator'!$B$8)/1300)^2+((D721-'Hybrid Calculator'!$B$9)/800)^2+((E721-'Hybrid Calculator'!$B$10)/350)^2+((F721-'Hybrid Calculator'!$B$11)/30)^2+(G721-'Hybrid Calculator'!$B$12)^2+((H721-'Hybrid Calculator'!$E$14)/IF(A721="Lightning",100,30000))^2+((I721-'Hybrid Calculator'!$E$17)/IF(A721="Lightning",100,30000))^2</f>
        <v>1.4619300948437242</v>
      </c>
      <c r="K721" s="2">
        <f t="shared" si="44"/>
        <v>1140</v>
      </c>
      <c r="L721" s="2">
        <f t="shared" si="45"/>
        <v>0</v>
      </c>
      <c r="M721" s="2">
        <f t="shared" si="46"/>
        <v>0</v>
      </c>
      <c r="N721" s="2">
        <v>3.9212310118173832</v>
      </c>
      <c r="O721" s="2">
        <f t="shared" si="47"/>
        <v>0</v>
      </c>
      <c r="P721" s="2">
        <v>-52.666152841001804</v>
      </c>
      <c r="Q721" s="2">
        <v>7.2858410135380609</v>
      </c>
    </row>
    <row r="722" spans="1:17" ht="15">
      <c r="A722" s="2" t="s">
        <v>81</v>
      </c>
      <c r="B722" s="2">
        <v>992.81780158635229</v>
      </c>
      <c r="C722" s="2">
        <v>758.58144887024537</v>
      </c>
      <c r="D722" s="2">
        <v>682.07687847316265</v>
      </c>
      <c r="E722" s="2">
        <v>305.35483137471601</v>
      </c>
      <c r="F722" s="2">
        <v>13.254567329771817</v>
      </c>
      <c r="G722" s="2">
        <v>0.85961208493215968</v>
      </c>
      <c r="H722" s="2">
        <v>14290</v>
      </c>
      <c r="I722" s="2">
        <v>1200</v>
      </c>
      <c r="J722" s="2">
        <f>(IF(A722='Hybrid Calculator'!$B$6,0,1))^2+((B722-'Hybrid Calculator'!$B$7)/1500)^2+((C722-'Hybrid Calculator'!$B$8)/1300)^2+((D722-'Hybrid Calculator'!$B$9)/800)^2+((E722-'Hybrid Calculator'!$B$10)/350)^2+((F722-'Hybrid Calculator'!$B$11)/30)^2+(G722-'Hybrid Calculator'!$B$12)^2+((H722-'Hybrid Calculator'!$E$14)/IF(A722="Lightning",100,30000))^2+((I722-'Hybrid Calculator'!$E$17)/IF(A722="Lightning",100,30000))^2</f>
        <v>1.5957638857669829</v>
      </c>
      <c r="K722" s="2">
        <f t="shared" si="44"/>
        <v>1347</v>
      </c>
      <c r="L722" s="2">
        <f t="shared" si="45"/>
        <v>0</v>
      </c>
      <c r="M722" s="2">
        <f t="shared" si="46"/>
        <v>0</v>
      </c>
      <c r="N722" s="2">
        <v>-0.82572203410290967</v>
      </c>
      <c r="O722" s="2">
        <f t="shared" si="47"/>
        <v>0</v>
      </c>
      <c r="P722" s="2">
        <v>5.3608434733641843</v>
      </c>
      <c r="Q722" s="2">
        <v>4.1910678402900885</v>
      </c>
    </row>
    <row r="723" spans="1:17" ht="15">
      <c r="A723" s="2" t="s">
        <v>81</v>
      </c>
      <c r="B723" s="2">
        <v>1027.5372057571076</v>
      </c>
      <c r="C723" s="2">
        <v>1045.5665301997215</v>
      </c>
      <c r="D723" s="2">
        <v>523.61530689522624</v>
      </c>
      <c r="E723" s="2">
        <v>275.7106034969911</v>
      </c>
      <c r="F723" s="2">
        <v>8.1146483640186489</v>
      </c>
      <c r="G723" s="2">
        <v>0.82901422491297128</v>
      </c>
      <c r="H723" s="2">
        <v>11590</v>
      </c>
      <c r="I723" s="2">
        <v>1195</v>
      </c>
      <c r="J723" s="2">
        <f>(IF(A723='Hybrid Calculator'!$B$6,0,1))^2+((B723-'Hybrid Calculator'!$B$7)/1500)^2+((C723-'Hybrid Calculator'!$B$8)/1300)^2+((D723-'Hybrid Calculator'!$B$9)/800)^2+((E723-'Hybrid Calculator'!$B$10)/350)^2+((F723-'Hybrid Calculator'!$B$11)/30)^2+(G723-'Hybrid Calculator'!$B$12)^2+((H723-'Hybrid Calculator'!$E$14)/IF(A723="Lightning",100,30000))^2+((I723-'Hybrid Calculator'!$E$17)/IF(A723="Lightning",100,30000))^2</f>
        <v>1.4921296921320624</v>
      </c>
      <c r="K723" s="2">
        <f t="shared" si="44"/>
        <v>1194</v>
      </c>
      <c r="L723" s="2">
        <f t="shared" si="45"/>
        <v>0</v>
      </c>
      <c r="M723" s="2">
        <f t="shared" si="46"/>
        <v>0</v>
      </c>
      <c r="N723" s="2">
        <v>3.9633509038925467</v>
      </c>
      <c r="O723" s="2">
        <f t="shared" si="47"/>
        <v>0</v>
      </c>
      <c r="P723" s="2">
        <v>8.6956006706514017</v>
      </c>
      <c r="Q723" s="2">
        <v>2.5335365110936436</v>
      </c>
    </row>
    <row r="724" spans="1:17" ht="15">
      <c r="A724" s="2" t="s">
        <v>81</v>
      </c>
      <c r="B724" s="2">
        <v>1015.2858356479555</v>
      </c>
      <c r="C724" s="2">
        <v>777.6324728387408</v>
      </c>
      <c r="D724" s="2">
        <v>685.56682299822569</v>
      </c>
      <c r="E724" s="2">
        <v>242.79894422041252</v>
      </c>
      <c r="F724" s="2">
        <v>27.504801832139492</v>
      </c>
      <c r="G724" s="2">
        <v>0.85829180078813816</v>
      </c>
      <c r="H724" s="2">
        <v>14625</v>
      </c>
      <c r="I724" s="2">
        <v>1200</v>
      </c>
      <c r="J724" s="2">
        <f>(IF(A724='Hybrid Calculator'!$B$6,0,1))^2+((B724-'Hybrid Calculator'!$B$7)/1500)^2+((C724-'Hybrid Calculator'!$B$8)/1300)^2+((D724-'Hybrid Calculator'!$B$9)/800)^2+((E724-'Hybrid Calculator'!$B$10)/350)^2+((F724-'Hybrid Calculator'!$B$11)/30)^2+(G724-'Hybrid Calculator'!$B$12)^2+((H724-'Hybrid Calculator'!$E$14)/IF(A724="Lightning",100,30000))^2+((I724-'Hybrid Calculator'!$E$17)/IF(A724="Lightning",100,30000))^2</f>
        <v>1.5309401016545481</v>
      </c>
      <c r="K724" s="2">
        <f t="shared" si="44"/>
        <v>1265</v>
      </c>
      <c r="L724" s="2">
        <f t="shared" si="45"/>
        <v>0</v>
      </c>
      <c r="M724" s="2">
        <f t="shared" si="46"/>
        <v>0</v>
      </c>
      <c r="N724" s="2">
        <v>-3.3824789095171752</v>
      </c>
      <c r="O724" s="2">
        <f t="shared" si="47"/>
        <v>0</v>
      </c>
      <c r="P724" s="2">
        <v>14.384961972039036</v>
      </c>
      <c r="Q724" s="2">
        <v>-10.325991256881025</v>
      </c>
    </row>
    <row r="725" spans="1:17" ht="15">
      <c r="A725" s="2" t="s">
        <v>81</v>
      </c>
      <c r="B725" s="2">
        <v>1046.188332058955</v>
      </c>
      <c r="C725" s="2">
        <v>681.59938787575811</v>
      </c>
      <c r="D725" s="2">
        <v>580.49112530425191</v>
      </c>
      <c r="E725" s="2">
        <v>289.23390565440059</v>
      </c>
      <c r="F725" s="2">
        <v>19.072721822652966</v>
      </c>
      <c r="G725" s="2">
        <v>0.85199883082415917</v>
      </c>
      <c r="H725" s="2">
        <v>13785</v>
      </c>
      <c r="I725" s="2">
        <v>1200</v>
      </c>
      <c r="J725" s="2">
        <f>(IF(A725='Hybrid Calculator'!$B$6,0,1))^2+((B725-'Hybrid Calculator'!$B$7)/1500)^2+((C725-'Hybrid Calculator'!$B$8)/1300)^2+((D725-'Hybrid Calculator'!$B$9)/800)^2+((E725-'Hybrid Calculator'!$B$10)/350)^2+((F725-'Hybrid Calculator'!$B$11)/30)^2+(G725-'Hybrid Calculator'!$B$12)^2+((H725-'Hybrid Calculator'!$E$14)/IF(A725="Lightning",100,30000))^2+((I725-'Hybrid Calculator'!$E$17)/IF(A725="Lightning",100,30000))^2</f>
        <v>1.4614679946173568</v>
      </c>
      <c r="K725" s="2">
        <f t="shared" si="44"/>
        <v>1137</v>
      </c>
      <c r="L725" s="2">
        <f t="shared" si="45"/>
        <v>0</v>
      </c>
      <c r="M725" s="2">
        <f t="shared" si="46"/>
        <v>0</v>
      </c>
      <c r="N725" s="2">
        <v>-3.2851059951321133</v>
      </c>
      <c r="O725" s="2">
        <f t="shared" si="47"/>
        <v>0</v>
      </c>
      <c r="P725" s="2">
        <v>-23.874391384697901</v>
      </c>
      <c r="Q725" s="2">
        <v>8.3663596062119723</v>
      </c>
    </row>
    <row r="726" spans="1:17" ht="15">
      <c r="A726" s="2" t="s">
        <v>81</v>
      </c>
      <c r="B726" s="2">
        <v>1096.5801879065111</v>
      </c>
      <c r="C726" s="2">
        <v>698.30288590164855</v>
      </c>
      <c r="D726" s="2">
        <v>358.98438394069672</v>
      </c>
      <c r="E726" s="2">
        <v>96.316298337187618</v>
      </c>
      <c r="F726" s="2">
        <v>25.204589637927711</v>
      </c>
      <c r="G726" s="2">
        <v>0.81787453144555911</v>
      </c>
      <c r="H726" s="2">
        <v>18540</v>
      </c>
      <c r="I726" s="2">
        <v>1200</v>
      </c>
      <c r="J726" s="2">
        <f>(IF(A726='Hybrid Calculator'!$B$6,0,1))^2+((B726-'Hybrid Calculator'!$B$7)/1500)^2+((C726-'Hybrid Calculator'!$B$8)/1300)^2+((D726-'Hybrid Calculator'!$B$9)/800)^2+((E726-'Hybrid Calculator'!$B$10)/350)^2+((F726-'Hybrid Calculator'!$B$11)/30)^2+(G726-'Hybrid Calculator'!$B$12)^2+((H726-'Hybrid Calculator'!$E$14)/IF(A726="Lightning",100,30000))^2+((I726-'Hybrid Calculator'!$E$17)/IF(A726="Lightning",100,30000))^2</f>
        <v>1.5475026066253446</v>
      </c>
      <c r="K726" s="2">
        <f t="shared" si="44"/>
        <v>1297</v>
      </c>
      <c r="L726" s="2">
        <f t="shared" si="45"/>
        <v>0</v>
      </c>
      <c r="M726" s="2">
        <f t="shared" si="46"/>
        <v>0</v>
      </c>
      <c r="N726" s="2">
        <v>-2.0789654694444835</v>
      </c>
      <c r="O726" s="2">
        <f t="shared" si="47"/>
        <v>0</v>
      </c>
      <c r="P726" s="2">
        <v>-25.223242045629377</v>
      </c>
      <c r="Q726" s="2">
        <v>-1.6626198575731905</v>
      </c>
    </row>
    <row r="727" spans="1:17" ht="15">
      <c r="A727" s="2" t="s">
        <v>81</v>
      </c>
      <c r="B727" s="2">
        <v>1061.2753574620001</v>
      </c>
      <c r="C727" s="2">
        <v>815.7550704665482</v>
      </c>
      <c r="D727" s="2">
        <v>542.06923907622695</v>
      </c>
      <c r="E727" s="2">
        <v>170.37534112576395</v>
      </c>
      <c r="F727" s="2">
        <v>14.485983279999346</v>
      </c>
      <c r="G727" s="2">
        <v>0.80435838826932016</v>
      </c>
      <c r="H727" s="2">
        <v>13995</v>
      </c>
      <c r="I727" s="2">
        <v>1200</v>
      </c>
      <c r="J727" s="2">
        <f>(IF(A727='Hybrid Calculator'!$B$6,0,1))^2+((B727-'Hybrid Calculator'!$B$7)/1500)^2+((C727-'Hybrid Calculator'!$B$8)/1300)^2+((D727-'Hybrid Calculator'!$B$9)/800)^2+((E727-'Hybrid Calculator'!$B$10)/350)^2+((F727-'Hybrid Calculator'!$B$11)/30)^2+(G727-'Hybrid Calculator'!$B$12)^2+((H727-'Hybrid Calculator'!$E$14)/IF(A727="Lightning",100,30000))^2+((I727-'Hybrid Calculator'!$E$17)/IF(A727="Lightning",100,30000))^2</f>
        <v>1.3013976320658194</v>
      </c>
      <c r="K727" s="2">
        <f t="shared" si="44"/>
        <v>732</v>
      </c>
      <c r="L727" s="2">
        <f t="shared" si="45"/>
        <v>0</v>
      </c>
      <c r="M727" s="2">
        <f t="shared" si="46"/>
        <v>0</v>
      </c>
      <c r="N727" s="2">
        <v>-0.44042187788096498</v>
      </c>
      <c r="O727" s="2">
        <f t="shared" si="47"/>
        <v>0</v>
      </c>
      <c r="P727" s="2">
        <v>25.346578105816661</v>
      </c>
      <c r="Q727" s="2">
        <v>7.2725605983789592</v>
      </c>
    </row>
    <row r="728" spans="1:17" ht="15">
      <c r="A728" s="2" t="s">
        <v>81</v>
      </c>
      <c r="B728" s="2">
        <v>1057.9779805615544</v>
      </c>
      <c r="C728" s="2">
        <v>1178.5191417089663</v>
      </c>
      <c r="D728" s="2">
        <v>551.72141510993242</v>
      </c>
      <c r="E728" s="2">
        <v>100.57065587723628</v>
      </c>
      <c r="F728" s="2">
        <v>23.839212393388152</v>
      </c>
      <c r="G728" s="2">
        <v>0.83519009032519542</v>
      </c>
      <c r="H728" s="2">
        <v>11680</v>
      </c>
      <c r="I728" s="2">
        <v>1195</v>
      </c>
      <c r="J728" s="2">
        <f>(IF(A728='Hybrid Calculator'!$B$6,0,1))^2+((B728-'Hybrid Calculator'!$B$7)/1500)^2+((C728-'Hybrid Calculator'!$B$8)/1300)^2+((D728-'Hybrid Calculator'!$B$9)/800)^2+((E728-'Hybrid Calculator'!$B$10)/350)^2+((F728-'Hybrid Calculator'!$B$11)/30)^2+(G728-'Hybrid Calculator'!$B$12)^2+((H728-'Hybrid Calculator'!$E$14)/IF(A728="Lightning",100,30000))^2+((I728-'Hybrid Calculator'!$E$17)/IF(A728="Lightning",100,30000))^2</f>
        <v>1.3315664743059012</v>
      </c>
      <c r="K728" s="2">
        <f t="shared" si="44"/>
        <v>779</v>
      </c>
      <c r="L728" s="2">
        <f t="shared" si="45"/>
        <v>0</v>
      </c>
      <c r="M728" s="2">
        <f t="shared" si="46"/>
        <v>0</v>
      </c>
      <c r="N728" s="2">
        <v>-1.9027836587570732</v>
      </c>
      <c r="O728" s="2">
        <f t="shared" si="47"/>
        <v>0</v>
      </c>
      <c r="P728" s="2">
        <v>68.201213879312036</v>
      </c>
      <c r="Q728" s="2">
        <v>-12.075685916936209</v>
      </c>
    </row>
    <row r="729" spans="1:17" ht="15">
      <c r="A729" s="2" t="s">
        <v>81</v>
      </c>
      <c r="B729" s="2">
        <v>965.87611889699474</v>
      </c>
      <c r="C729" s="2">
        <v>1172.9412697488442</v>
      </c>
      <c r="D729" s="2">
        <v>608.75253984704614</v>
      </c>
      <c r="E729" s="2">
        <v>183.63505850546062</v>
      </c>
      <c r="F729" s="2">
        <v>26.020269964355975</v>
      </c>
      <c r="G729" s="2">
        <v>0.85699609328527004</v>
      </c>
      <c r="H729" s="2">
        <v>12695</v>
      </c>
      <c r="I729" s="2">
        <v>1200</v>
      </c>
      <c r="J729" s="2">
        <f>(IF(A729='Hybrid Calculator'!$B$6,0,1))^2+((B729-'Hybrid Calculator'!$B$7)/1500)^2+((C729-'Hybrid Calculator'!$B$8)/1300)^2+((D729-'Hybrid Calculator'!$B$9)/800)^2+((E729-'Hybrid Calculator'!$B$10)/350)^2+((F729-'Hybrid Calculator'!$B$11)/30)^2+(G729-'Hybrid Calculator'!$B$12)^2+((H729-'Hybrid Calculator'!$E$14)/IF(A729="Lightning",100,30000))^2+((I729-'Hybrid Calculator'!$E$17)/IF(A729="Lightning",100,30000))^2</f>
        <v>1.4265156260493395</v>
      </c>
      <c r="K729" s="2">
        <f t="shared" si="44"/>
        <v>1053</v>
      </c>
      <c r="L729" s="2">
        <f t="shared" si="45"/>
        <v>0</v>
      </c>
      <c r="M729" s="2">
        <f t="shared" si="46"/>
        <v>0</v>
      </c>
      <c r="N729" s="2">
        <v>0.74261272686754864</v>
      </c>
      <c r="O729" s="2">
        <f t="shared" si="47"/>
        <v>0</v>
      </c>
      <c r="P729" s="2">
        <v>55.380435942437998</v>
      </c>
      <c r="Q729" s="2">
        <v>-18.925804548984161</v>
      </c>
    </row>
    <row r="730" spans="1:17" ht="15">
      <c r="A730" s="2" t="s">
        <v>81</v>
      </c>
      <c r="B730" s="2">
        <v>987.30061883106828</v>
      </c>
      <c r="C730" s="2">
        <v>1241.2032460211776</v>
      </c>
      <c r="D730" s="2">
        <v>526.32466647773981</v>
      </c>
      <c r="E730" s="2">
        <v>148.68503062287346</v>
      </c>
      <c r="F730" s="2">
        <v>8.846078785136342</v>
      </c>
      <c r="G730" s="2">
        <v>0.84244694150285804</v>
      </c>
      <c r="H730" s="2">
        <v>13020</v>
      </c>
      <c r="I730" s="2">
        <v>1200</v>
      </c>
      <c r="J730" s="2">
        <f>(IF(A730='Hybrid Calculator'!$B$6,0,1))^2+((B730-'Hybrid Calculator'!$B$7)/1500)^2+((C730-'Hybrid Calculator'!$B$8)/1300)^2+((D730-'Hybrid Calculator'!$B$9)/800)^2+((E730-'Hybrid Calculator'!$B$10)/350)^2+((F730-'Hybrid Calculator'!$B$11)/30)^2+(G730-'Hybrid Calculator'!$B$12)^2+((H730-'Hybrid Calculator'!$E$14)/IF(A730="Lightning",100,30000))^2+((I730-'Hybrid Calculator'!$E$17)/IF(A730="Lightning",100,30000))^2</f>
        <v>1.4693036634297185</v>
      </c>
      <c r="K730" s="2">
        <f t="shared" si="44"/>
        <v>1157</v>
      </c>
      <c r="L730" s="2">
        <f t="shared" si="45"/>
        <v>0</v>
      </c>
      <c r="M730" s="2">
        <f t="shared" si="46"/>
        <v>0</v>
      </c>
      <c r="N730" s="2">
        <v>1.9727791910040651</v>
      </c>
      <c r="O730" s="2">
        <f t="shared" si="47"/>
        <v>0</v>
      </c>
      <c r="P730" s="2">
        <v>37.659892825810402</v>
      </c>
      <c r="Q730" s="2">
        <v>6.0829515484783769E-3</v>
      </c>
    </row>
    <row r="731" spans="1:17" ht="15">
      <c r="A731" s="2" t="s">
        <v>81</v>
      </c>
      <c r="B731" s="2">
        <v>1084.6642430522479</v>
      </c>
      <c r="C731" s="2">
        <v>1183.1658684881404</v>
      </c>
      <c r="D731" s="2">
        <v>701.19347954168916</v>
      </c>
      <c r="E731" s="2">
        <v>93.100824551656842</v>
      </c>
      <c r="F731" s="2">
        <v>26.392337903846055</v>
      </c>
      <c r="G731" s="2">
        <v>0.8391364833200351</v>
      </c>
      <c r="H731" s="2">
        <v>10815</v>
      </c>
      <c r="I731" s="2">
        <v>1195</v>
      </c>
      <c r="J731" s="2">
        <f>(IF(A731='Hybrid Calculator'!$B$6,0,1))^2+((B731-'Hybrid Calculator'!$B$7)/1500)^2+((C731-'Hybrid Calculator'!$B$8)/1300)^2+((D731-'Hybrid Calculator'!$B$9)/800)^2+((E731-'Hybrid Calculator'!$B$10)/350)^2+((F731-'Hybrid Calculator'!$B$11)/30)^2+(G731-'Hybrid Calculator'!$B$12)^2+((H731-'Hybrid Calculator'!$E$14)/IF(A731="Lightning",100,30000))^2+((I731-'Hybrid Calculator'!$E$17)/IF(A731="Lightning",100,30000))^2</f>
        <v>1.4066948933513301</v>
      </c>
      <c r="K731" s="2">
        <f t="shared" si="44"/>
        <v>997</v>
      </c>
      <c r="L731" s="2">
        <f t="shared" si="45"/>
        <v>0</v>
      </c>
      <c r="M731" s="2">
        <f t="shared" si="46"/>
        <v>0</v>
      </c>
      <c r="N731" s="2">
        <v>-1.5765604218948681</v>
      </c>
      <c r="O731" s="2">
        <f t="shared" si="47"/>
        <v>0</v>
      </c>
      <c r="P731" s="2">
        <v>61.911795696639274</v>
      </c>
      <c r="Q731" s="2">
        <v>-18.634327373723409</v>
      </c>
    </row>
    <row r="732" spans="1:17" ht="15">
      <c r="A732" s="2" t="s">
        <v>81</v>
      </c>
      <c r="B732" s="2">
        <v>1016.3391770562157</v>
      </c>
      <c r="C732" s="2">
        <v>617.76533793890849</v>
      </c>
      <c r="D732" s="2">
        <v>690.04735015332699</v>
      </c>
      <c r="E732" s="2">
        <v>211.21322233928367</v>
      </c>
      <c r="F732" s="2">
        <v>29.817953464575112</v>
      </c>
      <c r="G732" s="2">
        <v>0.82876764592481778</v>
      </c>
      <c r="H732" s="2">
        <v>14080</v>
      </c>
      <c r="I732" s="2">
        <v>1200</v>
      </c>
      <c r="J732" s="2">
        <f>(IF(A732='Hybrid Calculator'!$B$6,0,1))^2+((B732-'Hybrid Calculator'!$B$7)/1500)^2+((C732-'Hybrid Calculator'!$B$8)/1300)^2+((D732-'Hybrid Calculator'!$B$9)/800)^2+((E732-'Hybrid Calculator'!$B$10)/350)^2+((F732-'Hybrid Calculator'!$B$11)/30)^2+(G732-'Hybrid Calculator'!$B$12)^2+((H732-'Hybrid Calculator'!$E$14)/IF(A732="Lightning",100,30000))^2+((I732-'Hybrid Calculator'!$E$17)/IF(A732="Lightning",100,30000))^2</f>
        <v>1.5558114126619658</v>
      </c>
      <c r="K732" s="2">
        <f t="shared" si="44"/>
        <v>1312</v>
      </c>
      <c r="L732" s="2">
        <f t="shared" si="45"/>
        <v>0</v>
      </c>
      <c r="M732" s="2">
        <f t="shared" si="46"/>
        <v>0</v>
      </c>
      <c r="N732" s="2">
        <v>-2.9718758325030308</v>
      </c>
      <c r="O732" s="2">
        <f t="shared" si="47"/>
        <v>0</v>
      </c>
      <c r="P732" s="2">
        <v>11.704780000493429</v>
      </c>
      <c r="Q732" s="2">
        <v>-8.5454333952926618</v>
      </c>
    </row>
    <row r="733" spans="1:17" ht="15">
      <c r="A733" s="2" t="s">
        <v>81</v>
      </c>
      <c r="B733" s="2">
        <v>1092.8026383160613</v>
      </c>
      <c r="C733" s="2">
        <v>803.46403107978404</v>
      </c>
      <c r="D733" s="2">
        <v>546.78600607439876</v>
      </c>
      <c r="E733" s="2">
        <v>155.74261107947677</v>
      </c>
      <c r="F733" s="2">
        <v>10.52771721733734</v>
      </c>
      <c r="G733" s="2">
        <v>0.85266490312293175</v>
      </c>
      <c r="H733" s="2">
        <v>14200</v>
      </c>
      <c r="I733" s="2">
        <v>1200</v>
      </c>
      <c r="J733" s="2">
        <f>(IF(A733='Hybrid Calculator'!$B$6,0,1))^2+((B733-'Hybrid Calculator'!$B$7)/1500)^2+((C733-'Hybrid Calculator'!$B$8)/1300)^2+((D733-'Hybrid Calculator'!$B$9)/800)^2+((E733-'Hybrid Calculator'!$B$10)/350)^2+((F733-'Hybrid Calculator'!$B$11)/30)^2+(G733-'Hybrid Calculator'!$B$12)^2+((H733-'Hybrid Calculator'!$E$14)/IF(A733="Lightning",100,30000))^2+((I733-'Hybrid Calculator'!$E$17)/IF(A733="Lightning",100,30000))^2</f>
        <v>1.3497072141212507</v>
      </c>
      <c r="K733" s="2">
        <f t="shared" si="44"/>
        <v>832</v>
      </c>
      <c r="L733" s="2">
        <f t="shared" si="45"/>
        <v>0</v>
      </c>
      <c r="M733" s="2">
        <f t="shared" si="46"/>
        <v>0</v>
      </c>
      <c r="N733" s="2">
        <v>0.91563039084570619</v>
      </c>
      <c r="O733" s="2">
        <f t="shared" si="47"/>
        <v>0</v>
      </c>
      <c r="P733" s="2">
        <v>-25.976955327301312</v>
      </c>
      <c r="Q733" s="2">
        <v>6.5008168654962901</v>
      </c>
    </row>
    <row r="734" spans="1:17" ht="15">
      <c r="A734" s="2" t="s">
        <v>81</v>
      </c>
      <c r="B734" s="2">
        <v>972.93716897256672</v>
      </c>
      <c r="C734" s="2">
        <v>715.24178272811696</v>
      </c>
      <c r="D734" s="2">
        <v>461.90135460346937</v>
      </c>
      <c r="E734" s="2">
        <v>265.43658062117174</v>
      </c>
      <c r="F734" s="2">
        <v>19.737039521336555</v>
      </c>
      <c r="G734" s="2">
        <v>0.81196328951278707</v>
      </c>
      <c r="H734" s="2">
        <v>17295</v>
      </c>
      <c r="I734" s="2">
        <v>1200</v>
      </c>
      <c r="J734" s="2">
        <f>(IF(A734='Hybrid Calculator'!$B$6,0,1))^2+((B734-'Hybrid Calculator'!$B$7)/1500)^2+((C734-'Hybrid Calculator'!$B$8)/1300)^2+((D734-'Hybrid Calculator'!$B$9)/800)^2+((E734-'Hybrid Calculator'!$B$10)/350)^2+((F734-'Hybrid Calculator'!$B$11)/30)^2+(G734-'Hybrid Calculator'!$B$12)^2+((H734-'Hybrid Calculator'!$E$14)/IF(A734="Lightning",100,30000))^2+((I734-'Hybrid Calculator'!$E$17)/IF(A734="Lightning",100,30000))^2</f>
        <v>1.5463531492659461</v>
      </c>
      <c r="K734" s="2">
        <f t="shared" si="44"/>
        <v>1294</v>
      </c>
      <c r="L734" s="2">
        <f t="shared" si="45"/>
        <v>0</v>
      </c>
      <c r="M734" s="2">
        <f t="shared" si="46"/>
        <v>0</v>
      </c>
      <c r="N734" s="2">
        <v>0.31000749681004436</v>
      </c>
      <c r="O734" s="2">
        <f t="shared" si="47"/>
        <v>0</v>
      </c>
      <c r="P734" s="2">
        <v>-56.956072551692159</v>
      </c>
      <c r="Q734" s="2">
        <v>3.5342382054653854</v>
      </c>
    </row>
    <row r="735" spans="1:17" ht="15">
      <c r="A735" s="2" t="s">
        <v>81</v>
      </c>
      <c r="B735" s="2">
        <v>983.59585154103115</v>
      </c>
      <c r="C735" s="2">
        <v>1120.8516334882006</v>
      </c>
      <c r="D735" s="2">
        <v>392.26223351433873</v>
      </c>
      <c r="E735" s="2">
        <v>229.16727738454938</v>
      </c>
      <c r="F735" s="2">
        <v>27.483684903476387</v>
      </c>
      <c r="G735" s="2">
        <v>0.80847826411481949</v>
      </c>
      <c r="H735" s="2">
        <v>12275</v>
      </c>
      <c r="I735" s="2">
        <v>1200</v>
      </c>
      <c r="J735" s="2">
        <f>(IF(A735='Hybrid Calculator'!$B$6,0,1))^2+((B735-'Hybrid Calculator'!$B$7)/1500)^2+((C735-'Hybrid Calculator'!$B$8)/1300)^2+((D735-'Hybrid Calculator'!$B$9)/800)^2+((E735-'Hybrid Calculator'!$B$10)/350)^2+((F735-'Hybrid Calculator'!$B$11)/30)^2+(G735-'Hybrid Calculator'!$B$12)^2+((H735-'Hybrid Calculator'!$E$14)/IF(A735="Lightning",100,30000))^2+((I735-'Hybrid Calculator'!$E$17)/IF(A735="Lightning",100,30000))^2</f>
        <v>1.4566996887251886</v>
      </c>
      <c r="K735" s="2">
        <f t="shared" si="44"/>
        <v>1121</v>
      </c>
      <c r="L735" s="2">
        <f t="shared" si="45"/>
        <v>0</v>
      </c>
      <c r="M735" s="2">
        <f t="shared" si="46"/>
        <v>0</v>
      </c>
      <c r="N735" s="2">
        <v>-0.37360637820574993</v>
      </c>
      <c r="O735" s="2">
        <f t="shared" si="47"/>
        <v>0</v>
      </c>
      <c r="P735" s="2">
        <v>41.627741305559539</v>
      </c>
      <c r="Q735" s="2">
        <v>-5.095009313266587</v>
      </c>
    </row>
    <row r="736" spans="1:17" ht="15">
      <c r="A736" s="2" t="s">
        <v>81</v>
      </c>
      <c r="B736" s="2">
        <v>1026.1154306354001</v>
      </c>
      <c r="C736" s="2">
        <v>914.55053632380441</v>
      </c>
      <c r="D736" s="2">
        <v>617.64219254255295</v>
      </c>
      <c r="E736" s="2">
        <v>89.355676302220672</v>
      </c>
      <c r="F736" s="2">
        <v>13.818027342669666</v>
      </c>
      <c r="G736" s="2">
        <v>0.82549653108930221</v>
      </c>
      <c r="H736" s="2">
        <v>13190</v>
      </c>
      <c r="I736" s="2">
        <v>1200</v>
      </c>
      <c r="J736" s="2">
        <f>(IF(A736='Hybrid Calculator'!$B$6,0,1))^2+((B736-'Hybrid Calculator'!$B$7)/1500)^2+((C736-'Hybrid Calculator'!$B$8)/1300)^2+((D736-'Hybrid Calculator'!$B$9)/800)^2+((E736-'Hybrid Calculator'!$B$10)/350)^2+((F736-'Hybrid Calculator'!$B$11)/30)^2+(G736-'Hybrid Calculator'!$B$12)^2+((H736-'Hybrid Calculator'!$E$14)/IF(A736="Lightning",100,30000))^2+((I736-'Hybrid Calculator'!$E$17)/IF(A736="Lightning",100,30000))^2</f>
        <v>1.342592198404948</v>
      </c>
      <c r="K736" s="2">
        <f t="shared" si="44"/>
        <v>810</v>
      </c>
      <c r="L736" s="2">
        <f t="shared" si="45"/>
        <v>0</v>
      </c>
      <c r="M736" s="2">
        <f t="shared" si="46"/>
        <v>0</v>
      </c>
      <c r="N736" s="2">
        <v>2.5127339922208307</v>
      </c>
      <c r="O736" s="2">
        <f t="shared" si="47"/>
        <v>0</v>
      </c>
      <c r="P736" s="2">
        <v>-37.63674040715614</v>
      </c>
      <c r="Q736" s="2">
        <v>0.28832455169708737</v>
      </c>
    </row>
    <row r="737" spans="1:17" ht="15">
      <c r="A737" s="2" t="s">
        <v>81</v>
      </c>
      <c r="B737" s="2">
        <v>972.86710244370624</v>
      </c>
      <c r="C737" s="2">
        <v>1029.4563262723386</v>
      </c>
      <c r="D737" s="2">
        <v>469.95855187997222</v>
      </c>
      <c r="E737" s="2">
        <v>144.371999935247</v>
      </c>
      <c r="F737" s="2">
        <v>17.874410500284284</v>
      </c>
      <c r="G737" s="2">
        <v>0.81650925804860897</v>
      </c>
      <c r="H737" s="2">
        <v>15180</v>
      </c>
      <c r="I737" s="2">
        <v>1200</v>
      </c>
      <c r="J737" s="2">
        <f>(IF(A737='Hybrid Calculator'!$B$6,0,1))^2+((B737-'Hybrid Calculator'!$B$7)/1500)^2+((C737-'Hybrid Calculator'!$B$8)/1300)^2+((D737-'Hybrid Calculator'!$B$9)/800)^2+((E737-'Hybrid Calculator'!$B$10)/350)^2+((F737-'Hybrid Calculator'!$B$11)/30)^2+(G737-'Hybrid Calculator'!$B$12)^2+((H737-'Hybrid Calculator'!$E$14)/IF(A737="Lightning",100,30000))^2+((I737-'Hybrid Calculator'!$E$17)/IF(A737="Lightning",100,30000))^2</f>
        <v>1.3679130172237519</v>
      </c>
      <c r="K737" s="2">
        <f t="shared" si="44"/>
        <v>877</v>
      </c>
      <c r="L737" s="2">
        <f t="shared" si="45"/>
        <v>0</v>
      </c>
      <c r="M737" s="2">
        <f t="shared" si="46"/>
        <v>0</v>
      </c>
      <c r="N737" s="2">
        <v>3.4182296610823073</v>
      </c>
      <c r="O737" s="2">
        <f t="shared" si="47"/>
        <v>0</v>
      </c>
      <c r="P737" s="2">
        <v>29.699752439942131</v>
      </c>
      <c r="Q737" s="2">
        <v>-0.6547107505277836</v>
      </c>
    </row>
    <row r="738" spans="1:17" ht="15">
      <c r="A738" s="2" t="s">
        <v>81</v>
      </c>
      <c r="B738" s="2">
        <v>983.42990428209305</v>
      </c>
      <c r="C738" s="2">
        <v>802.95316971605644</v>
      </c>
      <c r="D738" s="2">
        <v>459.70203150063753</v>
      </c>
      <c r="E738" s="2">
        <v>247.75674239033833</v>
      </c>
      <c r="F738" s="2">
        <v>16.856695858761668</v>
      </c>
      <c r="G738" s="2">
        <v>0.85003391121746974</v>
      </c>
      <c r="H738" s="2">
        <v>16520</v>
      </c>
      <c r="I738" s="2">
        <v>1200</v>
      </c>
      <c r="J738" s="2">
        <f>(IF(A738='Hybrid Calculator'!$B$6,0,1))^2+((B738-'Hybrid Calculator'!$B$7)/1500)^2+((C738-'Hybrid Calculator'!$B$8)/1300)^2+((D738-'Hybrid Calculator'!$B$9)/800)^2+((E738-'Hybrid Calculator'!$B$10)/350)^2+((F738-'Hybrid Calculator'!$B$11)/30)^2+(G738-'Hybrid Calculator'!$B$12)^2+((H738-'Hybrid Calculator'!$E$14)/IF(A738="Lightning",100,30000))^2+((I738-'Hybrid Calculator'!$E$17)/IF(A738="Lightning",100,30000))^2</f>
        <v>1.4753555462245789</v>
      </c>
      <c r="K738" s="2">
        <f t="shared" si="44"/>
        <v>1168</v>
      </c>
      <c r="L738" s="2">
        <f t="shared" si="45"/>
        <v>0</v>
      </c>
      <c r="M738" s="2">
        <f t="shared" si="46"/>
        <v>0</v>
      </c>
      <c r="N738" s="2">
        <v>-1.0579621318779004</v>
      </c>
      <c r="O738" s="2">
        <f t="shared" si="47"/>
        <v>0</v>
      </c>
      <c r="P738" s="2">
        <v>11.938338297370137</v>
      </c>
      <c r="Q738" s="2">
        <v>4.7656331721769902</v>
      </c>
    </row>
    <row r="739" spans="1:17" ht="15">
      <c r="A739" s="2" t="s">
        <v>81</v>
      </c>
      <c r="B739" s="2">
        <v>993.91935231396928</v>
      </c>
      <c r="C739" s="2">
        <v>1229.7226244816557</v>
      </c>
      <c r="D739" s="2">
        <v>660.74431398883462</v>
      </c>
      <c r="E739" s="2">
        <v>188.54340880177915</v>
      </c>
      <c r="F739" s="2">
        <v>10.336644169408828</v>
      </c>
      <c r="G739" s="2">
        <v>0.80854866564739503</v>
      </c>
      <c r="H739" s="2">
        <v>10285</v>
      </c>
      <c r="I739" s="2">
        <v>1195</v>
      </c>
      <c r="J739" s="2">
        <f>(IF(A739='Hybrid Calculator'!$B$6,0,1))^2+((B739-'Hybrid Calculator'!$B$7)/1500)^2+((C739-'Hybrid Calculator'!$B$8)/1300)^2+((D739-'Hybrid Calculator'!$B$9)/800)^2+((E739-'Hybrid Calculator'!$B$10)/350)^2+((F739-'Hybrid Calculator'!$B$11)/30)^2+(G739-'Hybrid Calculator'!$B$12)^2+((H739-'Hybrid Calculator'!$E$14)/IF(A739="Lightning",100,30000))^2+((I739-'Hybrid Calculator'!$E$17)/IF(A739="Lightning",100,30000))^2</f>
        <v>1.4125024558973378</v>
      </c>
      <c r="K739" s="2">
        <f t="shared" si="44"/>
        <v>1016</v>
      </c>
      <c r="L739" s="2">
        <f t="shared" si="45"/>
        <v>0</v>
      </c>
      <c r="M739" s="2">
        <f t="shared" si="46"/>
        <v>0</v>
      </c>
      <c r="N739" s="2">
        <v>4.53063714962056</v>
      </c>
      <c r="O739" s="2">
        <f t="shared" si="47"/>
        <v>0</v>
      </c>
      <c r="P739" s="2">
        <v>-8.1973621306278801</v>
      </c>
      <c r="Q739" s="2">
        <v>-2.3000034141392689</v>
      </c>
    </row>
    <row r="740" spans="1:17" ht="15">
      <c r="A740" s="2" t="s">
        <v>81</v>
      </c>
      <c r="B740" s="2">
        <v>1032.4529425008222</v>
      </c>
      <c r="C740" s="2">
        <v>1117.9476339952089</v>
      </c>
      <c r="D740" s="2">
        <v>558.56618918478489</v>
      </c>
      <c r="E740" s="2">
        <v>161.54999575344846</v>
      </c>
      <c r="F740" s="2">
        <v>13.781468176282942</v>
      </c>
      <c r="G740" s="2">
        <v>0.82025789062259724</v>
      </c>
      <c r="H740" s="2">
        <v>11635</v>
      </c>
      <c r="I740" s="2">
        <v>1195</v>
      </c>
      <c r="J740" s="2">
        <f>(IF(A740='Hybrid Calculator'!$B$6,0,1))^2+((B740-'Hybrid Calculator'!$B$7)/1500)^2+((C740-'Hybrid Calculator'!$B$8)/1300)^2+((D740-'Hybrid Calculator'!$B$9)/800)^2+((E740-'Hybrid Calculator'!$B$10)/350)^2+((F740-'Hybrid Calculator'!$B$11)/30)^2+(G740-'Hybrid Calculator'!$B$12)^2+((H740-'Hybrid Calculator'!$E$14)/IF(A740="Lightning",100,30000))^2+((I740-'Hybrid Calculator'!$E$17)/IF(A740="Lightning",100,30000))^2</f>
        <v>1.292801178251</v>
      </c>
      <c r="K740" s="2">
        <f t="shared" si="44"/>
        <v>721</v>
      </c>
      <c r="L740" s="2">
        <f t="shared" si="45"/>
        <v>0</v>
      </c>
      <c r="M740" s="2">
        <f t="shared" si="46"/>
        <v>0</v>
      </c>
      <c r="N740" s="2">
        <v>2.1017915473574931</v>
      </c>
      <c r="O740" s="2">
        <f t="shared" si="47"/>
        <v>0</v>
      </c>
      <c r="P740" s="2">
        <v>-5.3792584297793837</v>
      </c>
      <c r="Q740" s="2">
        <v>0.4956831022800543</v>
      </c>
    </row>
    <row r="741" spans="1:17" ht="15">
      <c r="A741" s="2" t="s">
        <v>81</v>
      </c>
      <c r="B741" s="2">
        <v>1079.3917455128394</v>
      </c>
      <c r="C741" s="2">
        <v>1165.976471407339</v>
      </c>
      <c r="D741" s="2">
        <v>405.08522046729922</v>
      </c>
      <c r="E741" s="2">
        <v>93.140950235538185</v>
      </c>
      <c r="F741" s="2">
        <v>29.930286611896008</v>
      </c>
      <c r="G741" s="2">
        <v>0.83936960510909564</v>
      </c>
      <c r="H741" s="2">
        <v>12850</v>
      </c>
      <c r="I741" s="2">
        <v>1200</v>
      </c>
      <c r="J741" s="2">
        <f>(IF(A741='Hybrid Calculator'!$B$6,0,1))^2+((B741-'Hybrid Calculator'!$B$7)/1500)^2+((C741-'Hybrid Calculator'!$B$8)/1300)^2+((D741-'Hybrid Calculator'!$B$9)/800)^2+((E741-'Hybrid Calculator'!$B$10)/350)^2+((F741-'Hybrid Calculator'!$B$11)/30)^2+(G741-'Hybrid Calculator'!$B$12)^2+((H741-'Hybrid Calculator'!$E$14)/IF(A741="Lightning",100,30000))^2+((I741-'Hybrid Calculator'!$E$17)/IF(A741="Lightning",100,30000))^2</f>
        <v>1.4817539368335573</v>
      </c>
      <c r="K741" s="2">
        <f t="shared" si="44"/>
        <v>1179</v>
      </c>
      <c r="L741" s="2">
        <f t="shared" si="45"/>
        <v>0</v>
      </c>
      <c r="M741" s="2">
        <f t="shared" si="46"/>
        <v>0</v>
      </c>
      <c r="N741" s="2">
        <v>-0.79833761722699137</v>
      </c>
      <c r="O741" s="2">
        <f t="shared" si="47"/>
        <v>0</v>
      </c>
      <c r="P741" s="2">
        <v>4.6849669591611018</v>
      </c>
      <c r="Q741" s="2">
        <v>-12.492585561486976</v>
      </c>
    </row>
    <row r="742" spans="1:17" ht="15">
      <c r="A742" s="2" t="s">
        <v>81</v>
      </c>
      <c r="B742" s="2">
        <v>1087.899601412937</v>
      </c>
      <c r="C742" s="2">
        <v>684.2922815005295</v>
      </c>
      <c r="D742" s="2">
        <v>573.57467766851187</v>
      </c>
      <c r="E742" s="2">
        <v>164.23335553379729</v>
      </c>
      <c r="F742" s="2">
        <v>15.492046069353819</v>
      </c>
      <c r="G742" s="2">
        <v>0.80010891180718324</v>
      </c>
      <c r="H742" s="2">
        <v>15040</v>
      </c>
      <c r="I742" s="2">
        <v>1200</v>
      </c>
      <c r="J742" s="2">
        <f>(IF(A742='Hybrid Calculator'!$B$6,0,1))^2+((B742-'Hybrid Calculator'!$B$7)/1500)^2+((C742-'Hybrid Calculator'!$B$8)/1300)^2+((D742-'Hybrid Calculator'!$B$9)/800)^2+((E742-'Hybrid Calculator'!$B$10)/350)^2+((F742-'Hybrid Calculator'!$B$11)/30)^2+(G742-'Hybrid Calculator'!$B$12)^2+((H742-'Hybrid Calculator'!$E$14)/IF(A742="Lightning",100,30000))^2+((I742-'Hybrid Calculator'!$E$17)/IF(A742="Lightning",100,30000))^2</f>
        <v>1.3385146651706838</v>
      </c>
      <c r="K742" s="2">
        <f t="shared" si="44"/>
        <v>797</v>
      </c>
      <c r="L742" s="2">
        <f t="shared" si="45"/>
        <v>0</v>
      </c>
      <c r="M742" s="2">
        <f t="shared" si="46"/>
        <v>0</v>
      </c>
      <c r="N742" s="2">
        <v>-1.1820258534894492</v>
      </c>
      <c r="O742" s="2">
        <f t="shared" si="47"/>
        <v>0</v>
      </c>
      <c r="P742" s="2">
        <v>-54.378343613489051</v>
      </c>
      <c r="Q742" s="2">
        <v>11.740784451465061</v>
      </c>
    </row>
    <row r="743" spans="1:17" ht="15">
      <c r="A743" s="2" t="s">
        <v>81</v>
      </c>
      <c r="B743" s="2">
        <v>1079.2694628355093</v>
      </c>
      <c r="C743" s="2">
        <v>1198.1580457417294</v>
      </c>
      <c r="D743" s="2">
        <v>734.32765202596784</v>
      </c>
      <c r="E743" s="2">
        <v>254.63482078164816</v>
      </c>
      <c r="F743" s="2">
        <v>15.398913817945868</v>
      </c>
      <c r="G743" s="2">
        <v>0.84159735556226223</v>
      </c>
      <c r="H743" s="2">
        <v>9780</v>
      </c>
      <c r="I743" s="2">
        <v>1195</v>
      </c>
      <c r="J743" s="2">
        <f>(IF(A743='Hybrid Calculator'!$B$6,0,1))^2+((B743-'Hybrid Calculator'!$B$7)/1500)^2+((C743-'Hybrid Calculator'!$B$8)/1300)^2+((D743-'Hybrid Calculator'!$B$9)/800)^2+((E743-'Hybrid Calculator'!$B$10)/350)^2+((F743-'Hybrid Calculator'!$B$11)/30)^2+(G743-'Hybrid Calculator'!$B$12)^2+((H743-'Hybrid Calculator'!$E$14)/IF(A743="Lightning",100,30000))^2+((I743-'Hybrid Calculator'!$E$17)/IF(A743="Lightning",100,30000))^2</f>
        <v>1.4178844425726707</v>
      </c>
      <c r="K743" s="2">
        <f t="shared" si="44"/>
        <v>1033</v>
      </c>
      <c r="L743" s="2">
        <f t="shared" si="45"/>
        <v>0</v>
      </c>
      <c r="M743" s="2">
        <f t="shared" si="46"/>
        <v>0</v>
      </c>
      <c r="N743" s="2">
        <v>0.83017600726935825</v>
      </c>
      <c r="O743" s="2">
        <f t="shared" si="47"/>
        <v>0</v>
      </c>
      <c r="P743" s="2">
        <v>41.82649784537216</v>
      </c>
      <c r="Q743" s="2">
        <v>-0.97788521773441062</v>
      </c>
    </row>
    <row r="744" spans="1:17" ht="15">
      <c r="A744" s="2" t="s">
        <v>81</v>
      </c>
      <c r="B744" s="2">
        <v>1045.9228104446083</v>
      </c>
      <c r="C744" s="2">
        <v>1039.6838663029484</v>
      </c>
      <c r="D744" s="2">
        <v>375.23206006735563</v>
      </c>
      <c r="E744" s="2">
        <v>260.75675267027691</v>
      </c>
      <c r="F744" s="2">
        <v>24.962482757866383</v>
      </c>
      <c r="G744" s="2">
        <v>0.82756465027341619</v>
      </c>
      <c r="H744" s="2">
        <v>12760</v>
      </c>
      <c r="I744" s="2">
        <v>1200</v>
      </c>
      <c r="J744" s="2">
        <f>(IF(A744='Hybrid Calculator'!$B$6,0,1))^2+((B744-'Hybrid Calculator'!$B$7)/1500)^2+((C744-'Hybrid Calculator'!$B$8)/1300)^2+((D744-'Hybrid Calculator'!$B$9)/800)^2+((E744-'Hybrid Calculator'!$B$10)/350)^2+((F744-'Hybrid Calculator'!$B$11)/30)^2+(G744-'Hybrid Calculator'!$B$12)^2+((H744-'Hybrid Calculator'!$E$14)/IF(A744="Lightning",100,30000))^2+((I744-'Hybrid Calculator'!$E$17)/IF(A744="Lightning",100,30000))^2</f>
        <v>1.437107912078093</v>
      </c>
      <c r="K744" s="2">
        <f t="shared" si="44"/>
        <v>1076</v>
      </c>
      <c r="L744" s="2">
        <f t="shared" si="45"/>
        <v>0</v>
      </c>
      <c r="M744" s="2">
        <f t="shared" si="46"/>
        <v>0</v>
      </c>
      <c r="N744" s="2">
        <v>-1.6376525474397852</v>
      </c>
      <c r="O744" s="2">
        <f t="shared" si="47"/>
        <v>0</v>
      </c>
      <c r="P744" s="2">
        <v>14.903787298088901</v>
      </c>
      <c r="Q744" s="2">
        <v>-3.8462166015394814</v>
      </c>
    </row>
    <row r="745" spans="1:17" ht="15">
      <c r="A745" s="2" t="s">
        <v>81</v>
      </c>
      <c r="B745" s="2">
        <v>1075.4774744738825</v>
      </c>
      <c r="C745" s="2">
        <v>1157.3049522703514</v>
      </c>
      <c r="D745" s="2">
        <v>367.92122395709157</v>
      </c>
      <c r="E745" s="2">
        <v>92.333979364484549</v>
      </c>
      <c r="F745" s="2">
        <v>10.289642243180424</v>
      </c>
      <c r="G745" s="2">
        <v>0.79619921685662121</v>
      </c>
      <c r="H745" s="2">
        <v>13220</v>
      </c>
      <c r="I745" s="2">
        <v>1200</v>
      </c>
      <c r="J745" s="2">
        <f>(IF(A745='Hybrid Calculator'!$B$6,0,1))^2+((B745-'Hybrid Calculator'!$B$7)/1500)^2+((C745-'Hybrid Calculator'!$B$8)/1300)^2+((D745-'Hybrid Calculator'!$B$9)/800)^2+((E745-'Hybrid Calculator'!$B$10)/350)^2+((F745-'Hybrid Calculator'!$B$11)/30)^2+(G745-'Hybrid Calculator'!$B$12)^2+((H745-'Hybrid Calculator'!$E$14)/IF(A745="Lightning",100,30000))^2+((I745-'Hybrid Calculator'!$E$17)/IF(A745="Lightning",100,30000))^2</f>
        <v>1.434300344105276</v>
      </c>
      <c r="K745" s="2">
        <f t="shared" si="44"/>
        <v>1068</v>
      </c>
      <c r="L745" s="2">
        <f t="shared" si="45"/>
        <v>0</v>
      </c>
      <c r="M745" s="2">
        <f t="shared" si="46"/>
        <v>0</v>
      </c>
      <c r="N745" s="2">
        <v>4.4051525873483399</v>
      </c>
      <c r="O745" s="2">
        <f t="shared" si="47"/>
        <v>0</v>
      </c>
      <c r="P745" s="2">
        <v>-4.0870775278999645</v>
      </c>
      <c r="Q745" s="2">
        <v>10.161085321906967</v>
      </c>
    </row>
    <row r="746" spans="1:17" ht="15">
      <c r="A746" s="2" t="s">
        <v>81</v>
      </c>
      <c r="B746" s="2">
        <v>974.90067288745195</v>
      </c>
      <c r="C746" s="2">
        <v>1154.4421214726754</v>
      </c>
      <c r="D746" s="2">
        <v>704.26983833312988</v>
      </c>
      <c r="E746" s="2">
        <v>265.67415134748444</v>
      </c>
      <c r="F746" s="2">
        <v>14.669402497820556</v>
      </c>
      <c r="G746" s="2">
        <v>0.84213784597581254</v>
      </c>
      <c r="H746" s="2">
        <v>11745</v>
      </c>
      <c r="I746" s="2">
        <v>1195</v>
      </c>
      <c r="J746" s="2">
        <f>(IF(A746='Hybrid Calculator'!$B$6,0,1))^2+((B746-'Hybrid Calculator'!$B$7)/1500)^2+((C746-'Hybrid Calculator'!$B$8)/1300)^2+((D746-'Hybrid Calculator'!$B$9)/800)^2+((E746-'Hybrid Calculator'!$B$10)/350)^2+((F746-'Hybrid Calculator'!$B$11)/30)^2+(G746-'Hybrid Calculator'!$B$12)^2+((H746-'Hybrid Calculator'!$E$14)/IF(A746="Lightning",100,30000))^2+((I746-'Hybrid Calculator'!$E$17)/IF(A746="Lightning",100,30000))^2</f>
        <v>1.4895936922044273</v>
      </c>
      <c r="K746" s="2">
        <f t="shared" si="44"/>
        <v>1190</v>
      </c>
      <c r="L746" s="2">
        <f t="shared" si="45"/>
        <v>0</v>
      </c>
      <c r="M746" s="2">
        <f t="shared" si="46"/>
        <v>0</v>
      </c>
      <c r="N746" s="2">
        <v>2.4824729231442859</v>
      </c>
      <c r="O746" s="2">
        <f t="shared" si="47"/>
        <v>0</v>
      </c>
      <c r="P746" s="2">
        <v>65.183668873259649</v>
      </c>
      <c r="Q746" s="2">
        <v>-4.3751598992881782</v>
      </c>
    </row>
    <row r="747" spans="1:17" ht="15">
      <c r="A747" s="2" t="s">
        <v>81</v>
      </c>
      <c r="B747" s="2">
        <v>1066.8602541903965</v>
      </c>
      <c r="C747" s="2">
        <v>600.07135132327676</v>
      </c>
      <c r="D747" s="2">
        <v>731.23419051989913</v>
      </c>
      <c r="E747" s="2">
        <v>289.62645264808089</v>
      </c>
      <c r="F747" s="2">
        <v>10.649771524127573</v>
      </c>
      <c r="G747" s="2">
        <v>0.82862629861570902</v>
      </c>
      <c r="H747" s="2">
        <v>13195</v>
      </c>
      <c r="I747" s="2">
        <v>1200</v>
      </c>
      <c r="J747" s="2">
        <f>(IF(A747='Hybrid Calculator'!$B$6,0,1))^2+((B747-'Hybrid Calculator'!$B$7)/1500)^2+((C747-'Hybrid Calculator'!$B$8)/1300)^2+((D747-'Hybrid Calculator'!$B$9)/800)^2+((E747-'Hybrid Calculator'!$B$10)/350)^2+((F747-'Hybrid Calculator'!$B$11)/30)^2+(G747-'Hybrid Calculator'!$B$12)^2+((H747-'Hybrid Calculator'!$E$14)/IF(A747="Lightning",100,30000))^2+((I747-'Hybrid Calculator'!$E$17)/IF(A747="Lightning",100,30000))^2</f>
        <v>1.5987323181151709</v>
      </c>
      <c r="K747" s="2">
        <f t="shared" si="44"/>
        <v>1351</v>
      </c>
      <c r="L747" s="2">
        <f t="shared" si="45"/>
        <v>0</v>
      </c>
      <c r="M747" s="2">
        <f t="shared" si="46"/>
        <v>0</v>
      </c>
      <c r="N747" s="2">
        <v>-2.657976020498154E-2</v>
      </c>
      <c r="O747" s="2">
        <f t="shared" si="47"/>
        <v>0</v>
      </c>
      <c r="P747" s="2">
        <v>-40.507863882970923</v>
      </c>
      <c r="Q747" s="2">
        <v>9.3191863657009435</v>
      </c>
    </row>
    <row r="748" spans="1:17" ht="15">
      <c r="A748" s="2" t="s">
        <v>81</v>
      </c>
      <c r="B748" s="2">
        <v>1067.0015899464488</v>
      </c>
      <c r="C748" s="2">
        <v>846.63517068838701</v>
      </c>
      <c r="D748" s="2">
        <v>541.34416598826647</v>
      </c>
      <c r="E748" s="2">
        <v>106.44925523782149</v>
      </c>
      <c r="F748" s="2">
        <v>8.4920720662921667</v>
      </c>
      <c r="G748" s="2">
        <v>0.82643067390890801</v>
      </c>
      <c r="H748" s="2">
        <v>14310</v>
      </c>
      <c r="I748" s="2">
        <v>1200</v>
      </c>
      <c r="J748" s="2">
        <f>(IF(A748='Hybrid Calculator'!$B$6,0,1))^2+((B748-'Hybrid Calculator'!$B$7)/1500)^2+((C748-'Hybrid Calculator'!$B$8)/1300)^2+((D748-'Hybrid Calculator'!$B$9)/800)^2+((E748-'Hybrid Calculator'!$B$10)/350)^2+((F748-'Hybrid Calculator'!$B$11)/30)^2+(G748-'Hybrid Calculator'!$B$12)^2+((H748-'Hybrid Calculator'!$E$14)/IF(A748="Lightning",100,30000))^2+((I748-'Hybrid Calculator'!$E$17)/IF(A748="Lightning",100,30000))^2</f>
        <v>1.4139263304290681</v>
      </c>
      <c r="K748" s="2">
        <f t="shared" si="44"/>
        <v>1021</v>
      </c>
      <c r="L748" s="2">
        <f t="shared" si="45"/>
        <v>0</v>
      </c>
      <c r="M748" s="2">
        <f t="shared" si="46"/>
        <v>0</v>
      </c>
      <c r="N748" s="2">
        <v>1.6856581876878067</v>
      </c>
      <c r="O748" s="2">
        <f t="shared" si="47"/>
        <v>0</v>
      </c>
      <c r="P748" s="2">
        <v>22.623092745081522</v>
      </c>
      <c r="Q748" s="2">
        <v>9.83974049562039</v>
      </c>
    </row>
    <row r="749" spans="1:17" ht="15">
      <c r="A749" s="2" t="s">
        <v>81</v>
      </c>
      <c r="B749" s="2">
        <v>1010.7908990816213</v>
      </c>
      <c r="C749" s="2">
        <v>1062.3841371620074</v>
      </c>
      <c r="D749" s="2">
        <v>386.52539858594537</v>
      </c>
      <c r="E749" s="2">
        <v>288.44278740696609</v>
      </c>
      <c r="F749" s="2">
        <v>11.49585046293214</v>
      </c>
      <c r="G749" s="2">
        <v>0.79536234211642298</v>
      </c>
      <c r="H749" s="2">
        <v>12310</v>
      </c>
      <c r="I749" s="2">
        <v>1200</v>
      </c>
      <c r="J749" s="2">
        <f>(IF(A749='Hybrid Calculator'!$B$6,0,1))^2+((B749-'Hybrid Calculator'!$B$7)/1500)^2+((C749-'Hybrid Calculator'!$B$8)/1300)^2+((D749-'Hybrid Calculator'!$B$9)/800)^2+((E749-'Hybrid Calculator'!$B$10)/350)^2+((F749-'Hybrid Calculator'!$B$11)/30)^2+(G749-'Hybrid Calculator'!$B$12)^2+((H749-'Hybrid Calculator'!$E$14)/IF(A749="Lightning",100,30000))^2+((I749-'Hybrid Calculator'!$E$17)/IF(A749="Lightning",100,30000))^2</f>
        <v>1.5031819724992077</v>
      </c>
      <c r="K749" s="2">
        <f t="shared" si="44"/>
        <v>1216</v>
      </c>
      <c r="L749" s="2">
        <f t="shared" si="45"/>
        <v>0</v>
      </c>
      <c r="M749" s="2">
        <f t="shared" si="46"/>
        <v>0</v>
      </c>
      <c r="N749" s="2">
        <v>5.0651050142953125</v>
      </c>
      <c r="O749" s="2">
        <f t="shared" si="47"/>
        <v>0</v>
      </c>
      <c r="P749" s="2">
        <v>31.278638375812534</v>
      </c>
      <c r="Q749" s="2">
        <v>6.6004922798682628</v>
      </c>
    </row>
    <row r="750" spans="1:17" ht="15">
      <c r="A750" s="2" t="s">
        <v>81</v>
      </c>
      <c r="B750" s="2">
        <v>993.1523873237893</v>
      </c>
      <c r="C750" s="2">
        <v>655.98808067152277</v>
      </c>
      <c r="D750" s="2">
        <v>727.49166078865528</v>
      </c>
      <c r="E750" s="2">
        <v>80.688390980940312</v>
      </c>
      <c r="F750" s="2">
        <v>21.465279773809016</v>
      </c>
      <c r="G750" s="2">
        <v>0.81548316544620325</v>
      </c>
      <c r="H750" s="2">
        <v>14605</v>
      </c>
      <c r="I750" s="2">
        <v>1200</v>
      </c>
      <c r="J750" s="2">
        <f>(IF(A750='Hybrid Calculator'!$B$6,0,1))^2+((B750-'Hybrid Calculator'!$B$7)/1500)^2+((C750-'Hybrid Calculator'!$B$8)/1300)^2+((D750-'Hybrid Calculator'!$B$9)/800)^2+((E750-'Hybrid Calculator'!$B$10)/350)^2+((F750-'Hybrid Calculator'!$B$11)/30)^2+(G750-'Hybrid Calculator'!$B$12)^2+((H750-'Hybrid Calculator'!$E$14)/IF(A750="Lightning",100,30000))^2+((I750-'Hybrid Calculator'!$E$17)/IF(A750="Lightning",100,30000))^2</f>
        <v>1.4719493958978314</v>
      </c>
      <c r="K750" s="2">
        <f t="shared" si="44"/>
        <v>1163</v>
      </c>
      <c r="L750" s="2">
        <f t="shared" si="45"/>
        <v>0</v>
      </c>
      <c r="M750" s="2">
        <f t="shared" si="46"/>
        <v>0</v>
      </c>
      <c r="N750" s="2">
        <v>-0.71974556237643128</v>
      </c>
      <c r="O750" s="2">
        <f t="shared" si="47"/>
        <v>0</v>
      </c>
      <c r="P750" s="2">
        <v>-25.097086360793583</v>
      </c>
      <c r="Q750" s="2">
        <v>2.4474058444967568</v>
      </c>
    </row>
    <row r="751" spans="1:17" ht="15">
      <c r="A751" s="2" t="s">
        <v>81</v>
      </c>
      <c r="B751" s="2">
        <v>1027.5419725454412</v>
      </c>
      <c r="C751" s="2">
        <v>978.13271819613874</v>
      </c>
      <c r="D751" s="2">
        <v>513.8151447288692</v>
      </c>
      <c r="E751" s="2">
        <v>141.37938133906573</v>
      </c>
      <c r="F751" s="2">
        <v>14.489155340474099</v>
      </c>
      <c r="G751" s="2">
        <v>0.80427553925663231</v>
      </c>
      <c r="H751" s="2">
        <v>13095</v>
      </c>
      <c r="I751" s="2">
        <v>1200</v>
      </c>
      <c r="J751" s="2">
        <f>(IF(A751='Hybrid Calculator'!$B$6,0,1))^2+((B751-'Hybrid Calculator'!$B$7)/1500)^2+((C751-'Hybrid Calculator'!$B$8)/1300)^2+((D751-'Hybrid Calculator'!$B$9)/800)^2+((E751-'Hybrid Calculator'!$B$10)/350)^2+((F751-'Hybrid Calculator'!$B$11)/30)^2+(G751-'Hybrid Calculator'!$B$12)^2+((H751-'Hybrid Calculator'!$E$14)/IF(A751="Lightning",100,30000))^2+((I751-'Hybrid Calculator'!$E$17)/IF(A751="Lightning",100,30000))^2</f>
        <v>1.2895654487426855</v>
      </c>
      <c r="K751" s="2">
        <f t="shared" si="44"/>
        <v>716</v>
      </c>
      <c r="L751" s="2">
        <f t="shared" si="45"/>
        <v>0</v>
      </c>
      <c r="M751" s="2">
        <f t="shared" si="46"/>
        <v>0</v>
      </c>
      <c r="N751" s="2">
        <v>-0.23634902869767416</v>
      </c>
      <c r="O751" s="2">
        <f t="shared" si="47"/>
        <v>0</v>
      </c>
      <c r="P751" s="2">
        <v>36.067708820918597</v>
      </c>
      <c r="Q751" s="2">
        <v>5.2644819565684884</v>
      </c>
    </row>
    <row r="752" spans="1:17" ht="15">
      <c r="A752" s="2" t="s">
        <v>81</v>
      </c>
      <c r="B752" s="2">
        <v>1091.9552785810083</v>
      </c>
      <c r="C752" s="2">
        <v>797.1244114334695</v>
      </c>
      <c r="D752" s="2">
        <v>728.08337118476629</v>
      </c>
      <c r="E752" s="2">
        <v>153.65532015683129</v>
      </c>
      <c r="F752" s="2">
        <v>23.910491768270731</v>
      </c>
      <c r="G752" s="2">
        <v>0.8361493334942498</v>
      </c>
      <c r="H752" s="2">
        <v>12740</v>
      </c>
      <c r="I752" s="2">
        <v>1200</v>
      </c>
      <c r="J752" s="2">
        <f>(IF(A752='Hybrid Calculator'!$B$6,0,1))^2+((B752-'Hybrid Calculator'!$B$7)/1500)^2+((C752-'Hybrid Calculator'!$B$8)/1300)^2+((D752-'Hybrid Calculator'!$B$9)/800)^2+((E752-'Hybrid Calculator'!$B$10)/350)^2+((F752-'Hybrid Calculator'!$B$11)/30)^2+(G752-'Hybrid Calculator'!$B$12)^2+((H752-'Hybrid Calculator'!$E$14)/IF(A752="Lightning",100,30000))^2+((I752-'Hybrid Calculator'!$E$17)/IF(A752="Lightning",100,30000))^2</f>
        <v>1.3455949119224977</v>
      </c>
      <c r="K752" s="2">
        <f t="shared" si="44"/>
        <v>818</v>
      </c>
      <c r="L752" s="2">
        <f t="shared" si="45"/>
        <v>0</v>
      </c>
      <c r="M752" s="2">
        <f t="shared" si="46"/>
        <v>0</v>
      </c>
      <c r="N752" s="2">
        <v>1.9509411299090402</v>
      </c>
      <c r="O752" s="2">
        <f t="shared" si="47"/>
        <v>0</v>
      </c>
      <c r="P752" s="2">
        <v>-37.129210139680708</v>
      </c>
      <c r="Q752" s="2">
        <v>-10.422730564644326</v>
      </c>
    </row>
    <row r="753" spans="1:17" ht="15">
      <c r="A753" s="2" t="s">
        <v>81</v>
      </c>
      <c r="B753" s="2">
        <v>995.20677534164861</v>
      </c>
      <c r="C753" s="2">
        <v>786.92159883212298</v>
      </c>
      <c r="D753" s="2">
        <v>551.68629037216306</v>
      </c>
      <c r="E753" s="2">
        <v>309.31807115674019</v>
      </c>
      <c r="F753" s="2">
        <v>27.484006623271853</v>
      </c>
      <c r="G753" s="2">
        <v>0.83237576312851169</v>
      </c>
      <c r="H753" s="2">
        <v>15140</v>
      </c>
      <c r="I753" s="2">
        <v>1200</v>
      </c>
      <c r="J753" s="2">
        <f>(IF(A753='Hybrid Calculator'!$B$6,0,1))^2+((B753-'Hybrid Calculator'!$B$7)/1500)^2+((C753-'Hybrid Calculator'!$B$8)/1300)^2+((D753-'Hybrid Calculator'!$B$9)/800)^2+((E753-'Hybrid Calculator'!$B$10)/350)^2+((F753-'Hybrid Calculator'!$B$11)/30)^2+(G753-'Hybrid Calculator'!$B$12)^2+((H753-'Hybrid Calculator'!$E$14)/IF(A753="Lightning",100,30000))^2+((I753-'Hybrid Calculator'!$E$17)/IF(A753="Lightning",100,30000))^2</f>
        <v>1.6402059350468965</v>
      </c>
      <c r="K753" s="2">
        <f t="shared" si="44"/>
        <v>1372</v>
      </c>
      <c r="L753" s="2">
        <f t="shared" si="45"/>
        <v>0</v>
      </c>
      <c r="M753" s="2">
        <f t="shared" si="46"/>
        <v>0</v>
      </c>
      <c r="N753" s="2">
        <v>-1.3432784438022338</v>
      </c>
      <c r="O753" s="2">
        <f t="shared" si="47"/>
        <v>0</v>
      </c>
      <c r="P753" s="2">
        <v>20.714112252612722</v>
      </c>
      <c r="Q753" s="2">
        <v>-4.0740549559034207</v>
      </c>
    </row>
    <row r="754" spans="1:17" ht="15">
      <c r="A754" s="2" t="s">
        <v>81</v>
      </c>
      <c r="B754" s="2">
        <v>1088.0231121787801</v>
      </c>
      <c r="C754" s="2">
        <v>1060.2415130590089</v>
      </c>
      <c r="D754" s="2">
        <v>447.21152558922768</v>
      </c>
      <c r="E754" s="2">
        <v>273.16162395989522</v>
      </c>
      <c r="F754" s="2">
        <v>22.180217727087438</v>
      </c>
      <c r="G754" s="2">
        <v>0.84124533151974901</v>
      </c>
      <c r="H754" s="2">
        <v>12010</v>
      </c>
      <c r="I754" s="2">
        <v>1200</v>
      </c>
      <c r="J754" s="2">
        <f>(IF(A754='Hybrid Calculator'!$B$6,0,1))^2+((B754-'Hybrid Calculator'!$B$7)/1500)^2+((C754-'Hybrid Calculator'!$B$8)/1300)^2+((D754-'Hybrid Calculator'!$B$9)/800)^2+((E754-'Hybrid Calculator'!$B$10)/350)^2+((F754-'Hybrid Calculator'!$B$11)/30)^2+(G754-'Hybrid Calculator'!$B$12)^2+((H754-'Hybrid Calculator'!$E$14)/IF(A754="Lightning",100,30000))^2+((I754-'Hybrid Calculator'!$E$17)/IF(A754="Lightning",100,30000))^2</f>
        <v>1.3807732325658477</v>
      </c>
      <c r="K754" s="2">
        <f t="shared" si="44"/>
        <v>919</v>
      </c>
      <c r="L754" s="2">
        <f t="shared" si="45"/>
        <v>0</v>
      </c>
      <c r="M754" s="2">
        <f t="shared" si="46"/>
        <v>0</v>
      </c>
      <c r="N754" s="2">
        <v>-0.94789858720602638</v>
      </c>
      <c r="O754" s="2">
        <f t="shared" si="47"/>
        <v>0</v>
      </c>
      <c r="P754" s="2">
        <v>39.258267650743164</v>
      </c>
      <c r="Q754" s="2">
        <v>-2.436178469301467</v>
      </c>
    </row>
    <row r="755" spans="1:17" ht="15">
      <c r="A755" s="2" t="s">
        <v>81</v>
      </c>
      <c r="B755" s="2">
        <v>1087.0535287889652</v>
      </c>
      <c r="C755" s="2">
        <v>861.80980894714594</v>
      </c>
      <c r="D755" s="2">
        <v>673.49657258018851</v>
      </c>
      <c r="E755" s="2">
        <v>221.81326713878661</v>
      </c>
      <c r="F755" s="2">
        <v>11.300104015972465</v>
      </c>
      <c r="G755" s="2">
        <v>0.84991580626927321</v>
      </c>
      <c r="H755" s="2">
        <v>12170</v>
      </c>
      <c r="I755" s="2">
        <v>1200</v>
      </c>
      <c r="J755" s="2">
        <f>(IF(A755='Hybrid Calculator'!$B$6,0,1))^2+((B755-'Hybrid Calculator'!$B$7)/1500)^2+((C755-'Hybrid Calculator'!$B$8)/1300)^2+((D755-'Hybrid Calculator'!$B$9)/800)^2+((E755-'Hybrid Calculator'!$B$10)/350)^2+((F755-'Hybrid Calculator'!$B$11)/30)^2+(G755-'Hybrid Calculator'!$B$12)^2+((H755-'Hybrid Calculator'!$E$14)/IF(A755="Lightning",100,30000))^2+((I755-'Hybrid Calculator'!$E$17)/IF(A755="Lightning",100,30000))^2</f>
        <v>1.3632169294713368</v>
      </c>
      <c r="K755" s="2">
        <f t="shared" si="44"/>
        <v>864</v>
      </c>
      <c r="L755" s="2">
        <f t="shared" si="45"/>
        <v>0</v>
      </c>
      <c r="M755" s="2">
        <f t="shared" si="46"/>
        <v>0</v>
      </c>
      <c r="N755" s="2">
        <v>4.748088565968402</v>
      </c>
      <c r="O755" s="2">
        <f t="shared" si="47"/>
        <v>0</v>
      </c>
      <c r="P755" s="2">
        <v>-7.2044537584652062</v>
      </c>
      <c r="Q755" s="2">
        <v>2.534325940762983</v>
      </c>
    </row>
    <row r="756" spans="1:17" ht="15">
      <c r="A756" s="2" t="s">
        <v>81</v>
      </c>
      <c r="B756" s="2">
        <v>979.66810362413526</v>
      </c>
      <c r="C756" s="2">
        <v>754.24569187453017</v>
      </c>
      <c r="D756" s="2">
        <v>666.13023672252893</v>
      </c>
      <c r="E756" s="2">
        <v>315.44234788278118</v>
      </c>
      <c r="F756" s="2">
        <v>28.515139000490308</v>
      </c>
      <c r="G756" s="2">
        <v>0.81207636623876178</v>
      </c>
      <c r="H756" s="2">
        <v>12320</v>
      </c>
      <c r="I756" s="2">
        <v>1200</v>
      </c>
      <c r="J756" s="2">
        <f>(IF(A756='Hybrid Calculator'!$B$6,0,1))^2+((B756-'Hybrid Calculator'!$B$7)/1500)^2+((C756-'Hybrid Calculator'!$B$8)/1300)^2+((D756-'Hybrid Calculator'!$B$9)/800)^2+((E756-'Hybrid Calculator'!$B$10)/350)^2+((F756-'Hybrid Calculator'!$B$11)/30)^2+(G756-'Hybrid Calculator'!$B$12)^2+((H756-'Hybrid Calculator'!$E$14)/IF(A756="Lightning",100,30000))^2+((I756-'Hybrid Calculator'!$E$17)/IF(A756="Lightning",100,30000))^2</f>
        <v>1.6404553836188662</v>
      </c>
      <c r="K756" s="2">
        <f t="shared" si="44"/>
        <v>1373</v>
      </c>
      <c r="L756" s="2">
        <f t="shared" si="45"/>
        <v>0</v>
      </c>
      <c r="M756" s="2">
        <f t="shared" si="46"/>
        <v>0</v>
      </c>
      <c r="N756" s="2">
        <v>-0.33875069825052151</v>
      </c>
      <c r="O756" s="2">
        <f t="shared" si="47"/>
        <v>0</v>
      </c>
      <c r="P756" s="2">
        <v>19.899723541465846</v>
      </c>
      <c r="Q756" s="2">
        <v>-9.0609668098745715</v>
      </c>
    </row>
    <row r="757" spans="1:17" ht="15">
      <c r="A757" s="2" t="s">
        <v>81</v>
      </c>
      <c r="B757" s="2">
        <v>982.22779404604807</v>
      </c>
      <c r="C757" s="2">
        <v>1051.9436744274572</v>
      </c>
      <c r="D757" s="2">
        <v>379.6126433648169</v>
      </c>
      <c r="E757" s="2">
        <v>254.765006871894</v>
      </c>
      <c r="F757" s="2">
        <v>10.823078066576272</v>
      </c>
      <c r="G757" s="2">
        <v>0.8574935649568215</v>
      </c>
      <c r="H757" s="2">
        <v>14795</v>
      </c>
      <c r="I757" s="2">
        <v>1200</v>
      </c>
      <c r="J757" s="2">
        <f>(IF(A757='Hybrid Calculator'!$B$6,0,1))^2+((B757-'Hybrid Calculator'!$B$7)/1500)^2+((C757-'Hybrid Calculator'!$B$8)/1300)^2+((D757-'Hybrid Calculator'!$B$9)/800)^2+((E757-'Hybrid Calculator'!$B$10)/350)^2+((F757-'Hybrid Calculator'!$B$11)/30)^2+(G757-'Hybrid Calculator'!$B$12)^2+((H757-'Hybrid Calculator'!$E$14)/IF(A757="Lightning",100,30000))^2+((I757-'Hybrid Calculator'!$E$17)/IF(A757="Lightning",100,30000))^2</f>
        <v>1.5335016383640574</v>
      </c>
      <c r="K757" s="2">
        <f t="shared" si="44"/>
        <v>1271</v>
      </c>
      <c r="L757" s="2">
        <f t="shared" si="45"/>
        <v>0</v>
      </c>
      <c r="M757" s="2">
        <f t="shared" si="46"/>
        <v>0</v>
      </c>
      <c r="N757" s="2">
        <v>4.3029341474640717</v>
      </c>
      <c r="O757" s="2">
        <f t="shared" si="47"/>
        <v>0</v>
      </c>
      <c r="P757" s="2">
        <v>34.380883240597086</v>
      </c>
      <c r="Q757" s="2">
        <v>-1.7083088771327084</v>
      </c>
    </row>
    <row r="758" spans="1:17" ht="15">
      <c r="A758" s="2" t="s">
        <v>81</v>
      </c>
      <c r="B758" s="2">
        <v>954.70667891204357</v>
      </c>
      <c r="C758" s="2">
        <v>903.88048276072368</v>
      </c>
      <c r="D758" s="2">
        <v>635.54552365094423</v>
      </c>
      <c r="E758" s="2">
        <v>178.23892317945138</v>
      </c>
      <c r="F758" s="2">
        <v>25.830759717151523</v>
      </c>
      <c r="G758" s="2">
        <v>0.82980991331161935</v>
      </c>
      <c r="H758" s="2">
        <v>14525</v>
      </c>
      <c r="I758" s="2">
        <v>1200</v>
      </c>
      <c r="J758" s="2">
        <f>(IF(A758='Hybrid Calculator'!$B$6,0,1))^2+((B758-'Hybrid Calculator'!$B$7)/1500)^2+((C758-'Hybrid Calculator'!$B$8)/1300)^2+((D758-'Hybrid Calculator'!$B$9)/800)^2+((E758-'Hybrid Calculator'!$B$10)/350)^2+((F758-'Hybrid Calculator'!$B$11)/30)^2+(G758-'Hybrid Calculator'!$B$12)^2+((H758-'Hybrid Calculator'!$E$14)/IF(A758="Lightning",100,30000))^2+((I758-'Hybrid Calculator'!$E$17)/IF(A758="Lightning",100,30000))^2</f>
        <v>1.4293826973475046</v>
      </c>
      <c r="K758" s="2">
        <f t="shared" si="44"/>
        <v>1059</v>
      </c>
      <c r="L758" s="2">
        <f t="shared" si="45"/>
        <v>0</v>
      </c>
      <c r="M758" s="2">
        <f t="shared" si="46"/>
        <v>0</v>
      </c>
      <c r="N758" s="2">
        <v>-1.8176708796791559</v>
      </c>
      <c r="O758" s="2">
        <f t="shared" si="47"/>
        <v>0</v>
      </c>
      <c r="P758" s="2">
        <v>-13.223851620487494</v>
      </c>
      <c r="Q758" s="2">
        <v>-3.9341433907737837</v>
      </c>
    </row>
    <row r="759" spans="1:17" ht="15">
      <c r="A759" s="2" t="s">
        <v>81</v>
      </c>
      <c r="B759" s="2">
        <v>1077.0460265339352</v>
      </c>
      <c r="C759" s="2">
        <v>1131.8152426043525</v>
      </c>
      <c r="D759" s="2">
        <v>670.08627215400338</v>
      </c>
      <c r="E759" s="2">
        <v>140.36520726047456</v>
      </c>
      <c r="F759" s="2">
        <v>26.095636647660285</v>
      </c>
      <c r="G759" s="2">
        <v>0.80522322498727594</v>
      </c>
      <c r="H759" s="2">
        <v>11010</v>
      </c>
      <c r="I759" s="2">
        <v>1195</v>
      </c>
      <c r="J759" s="2">
        <f>(IF(A759='Hybrid Calculator'!$B$6,0,1))^2+((B759-'Hybrid Calculator'!$B$7)/1500)^2+((C759-'Hybrid Calculator'!$B$8)/1300)^2+((D759-'Hybrid Calculator'!$B$9)/800)^2+((E759-'Hybrid Calculator'!$B$10)/350)^2+((F759-'Hybrid Calculator'!$B$11)/30)^2+(G759-'Hybrid Calculator'!$B$12)^2+((H759-'Hybrid Calculator'!$E$14)/IF(A759="Lightning",100,30000))^2+((I759-'Hybrid Calculator'!$E$17)/IF(A759="Lightning",100,30000))^2</f>
        <v>1.3460755338560393</v>
      </c>
      <c r="K759" s="2">
        <f t="shared" si="44"/>
        <v>822</v>
      </c>
      <c r="L759" s="2">
        <f t="shared" si="45"/>
        <v>0</v>
      </c>
      <c r="M759" s="2">
        <f t="shared" si="46"/>
        <v>0</v>
      </c>
      <c r="N759" s="2">
        <v>-1.3853270771788004</v>
      </c>
      <c r="O759" s="2">
        <f t="shared" si="47"/>
        <v>0</v>
      </c>
      <c r="P759" s="2">
        <v>39.170327354557685</v>
      </c>
      <c r="Q759" s="2">
        <v>-20.251230421760965</v>
      </c>
    </row>
    <row r="760" spans="1:17" ht="15">
      <c r="A760" s="2" t="s">
        <v>81</v>
      </c>
      <c r="B760" s="2">
        <v>1081.1620962573215</v>
      </c>
      <c r="C760" s="2">
        <v>702.62596091488376</v>
      </c>
      <c r="D760" s="2">
        <v>584.48371030390263</v>
      </c>
      <c r="E760" s="2">
        <v>137.70049541024491</v>
      </c>
      <c r="F760" s="2">
        <v>27.900296338833869</v>
      </c>
      <c r="G760" s="2">
        <v>0.80259011360583832</v>
      </c>
      <c r="H760" s="2">
        <v>15010</v>
      </c>
      <c r="I760" s="2">
        <v>1200</v>
      </c>
      <c r="J760" s="2">
        <f>(IF(A760='Hybrid Calculator'!$B$6,0,1))^2+((B760-'Hybrid Calculator'!$B$7)/1500)^2+((C760-'Hybrid Calculator'!$B$8)/1300)^2+((D760-'Hybrid Calculator'!$B$9)/800)^2+((E760-'Hybrid Calculator'!$B$10)/350)^2+((F760-'Hybrid Calculator'!$B$11)/30)^2+(G760-'Hybrid Calculator'!$B$12)^2+((H760-'Hybrid Calculator'!$E$14)/IF(A760="Lightning",100,30000))^2+((I760-'Hybrid Calculator'!$E$17)/IF(A760="Lightning",100,30000))^2</f>
        <v>1.4264725717565649</v>
      </c>
      <c r="K760" s="2">
        <f t="shared" si="44"/>
        <v>1052</v>
      </c>
      <c r="L760" s="2">
        <f t="shared" si="45"/>
        <v>0</v>
      </c>
      <c r="M760" s="2">
        <f t="shared" si="46"/>
        <v>0</v>
      </c>
      <c r="N760" s="2">
        <v>-1.5395016037056166</v>
      </c>
      <c r="O760" s="2">
        <f t="shared" si="47"/>
        <v>0</v>
      </c>
      <c r="P760" s="2">
        <v>-10.566222178651515</v>
      </c>
      <c r="Q760" s="2">
        <v>1.6987720649417497</v>
      </c>
    </row>
    <row r="761" spans="1:17" ht="15">
      <c r="A761" s="2" t="s">
        <v>81</v>
      </c>
      <c r="B761" s="2">
        <v>988.70102058863267</v>
      </c>
      <c r="C761" s="2">
        <v>607.39045548252761</v>
      </c>
      <c r="D761" s="2">
        <v>658.52691484615207</v>
      </c>
      <c r="E761" s="2">
        <v>115.85092525463551</v>
      </c>
      <c r="F761" s="2">
        <v>14.193128954153508</v>
      </c>
      <c r="G761" s="2">
        <v>0.84461879745125779</v>
      </c>
      <c r="H761" s="2">
        <v>18055</v>
      </c>
      <c r="I761" s="2">
        <v>1200</v>
      </c>
      <c r="J761" s="2">
        <f>(IF(A761='Hybrid Calculator'!$B$6,0,1))^2+((B761-'Hybrid Calculator'!$B$7)/1500)^2+((C761-'Hybrid Calculator'!$B$8)/1300)^2+((D761-'Hybrid Calculator'!$B$9)/800)^2+((E761-'Hybrid Calculator'!$B$10)/350)^2+((F761-'Hybrid Calculator'!$B$11)/30)^2+(G761-'Hybrid Calculator'!$B$12)^2+((H761-'Hybrid Calculator'!$E$14)/IF(A761="Lightning",100,30000))^2+((I761-'Hybrid Calculator'!$E$17)/IF(A761="Lightning",100,30000))^2</f>
        <v>1.5511678741625952</v>
      </c>
      <c r="K761" s="2">
        <f t="shared" si="44"/>
        <v>1303</v>
      </c>
      <c r="L761" s="2">
        <f t="shared" si="45"/>
        <v>0</v>
      </c>
      <c r="M761" s="2">
        <f t="shared" si="46"/>
        <v>0</v>
      </c>
      <c r="N761" s="2">
        <v>1.2188933153605603</v>
      </c>
      <c r="O761" s="2">
        <f t="shared" si="47"/>
        <v>0</v>
      </c>
      <c r="P761" s="2">
        <v>-48.187791749236112</v>
      </c>
      <c r="Q761" s="2">
        <v>8.0831321810625241</v>
      </c>
    </row>
    <row r="762" spans="1:17" ht="15">
      <c r="A762" s="2" t="s">
        <v>81</v>
      </c>
      <c r="B762" s="2">
        <v>1046.1372103076428</v>
      </c>
      <c r="C762" s="2">
        <v>1143.3892753790133</v>
      </c>
      <c r="D762" s="2">
        <v>618.9504211768508</v>
      </c>
      <c r="E762" s="2">
        <v>326.39786669285968</v>
      </c>
      <c r="F762" s="2">
        <v>27.190505441278219</v>
      </c>
      <c r="G762" s="2">
        <v>0.80674635146046059</v>
      </c>
      <c r="H762" s="2">
        <v>10240</v>
      </c>
      <c r="I762" s="2">
        <v>1195</v>
      </c>
      <c r="J762" s="2">
        <f>(IF(A762='Hybrid Calculator'!$B$6,0,1))^2+((B762-'Hybrid Calculator'!$B$7)/1500)^2+((C762-'Hybrid Calculator'!$B$8)/1300)^2+((D762-'Hybrid Calculator'!$B$9)/800)^2+((E762-'Hybrid Calculator'!$B$10)/350)^2+((F762-'Hybrid Calculator'!$B$11)/30)^2+(G762-'Hybrid Calculator'!$B$12)^2+((H762-'Hybrid Calculator'!$E$14)/IF(A762="Lightning",100,30000))^2+((I762-'Hybrid Calculator'!$E$17)/IF(A762="Lightning",100,30000))^2</f>
        <v>1.5918321498786463</v>
      </c>
      <c r="K762" s="2">
        <f t="shared" si="44"/>
        <v>1342</v>
      </c>
      <c r="L762" s="2">
        <f t="shared" si="45"/>
        <v>0</v>
      </c>
      <c r="M762" s="2">
        <f t="shared" si="46"/>
        <v>0</v>
      </c>
      <c r="N762" s="2">
        <v>1.0043187284691442</v>
      </c>
      <c r="O762" s="2">
        <f t="shared" si="47"/>
        <v>0</v>
      </c>
      <c r="P762" s="2">
        <v>2.6980236518302263</v>
      </c>
      <c r="Q762" s="2">
        <v>-21.340944494067571</v>
      </c>
    </row>
    <row r="763" spans="1:17" ht="15">
      <c r="A763" s="2" t="s">
        <v>81</v>
      </c>
      <c r="B763" s="2">
        <v>1022.4178891745396</v>
      </c>
      <c r="C763" s="2">
        <v>913.68326793890446</v>
      </c>
      <c r="D763" s="2">
        <v>654.62165372446179</v>
      </c>
      <c r="E763" s="2">
        <v>112.87056181579828</v>
      </c>
      <c r="F763" s="2">
        <v>23.921262266580015</v>
      </c>
      <c r="G763" s="2">
        <v>0.82903382796328517</v>
      </c>
      <c r="H763" s="2">
        <v>12720</v>
      </c>
      <c r="I763" s="2">
        <v>1200</v>
      </c>
      <c r="J763" s="2">
        <f>(IF(A763='Hybrid Calculator'!$B$6,0,1))^2+((B763-'Hybrid Calculator'!$B$7)/1500)^2+((C763-'Hybrid Calculator'!$B$8)/1300)^2+((D763-'Hybrid Calculator'!$B$9)/800)^2+((E763-'Hybrid Calculator'!$B$10)/350)^2+((F763-'Hybrid Calculator'!$B$11)/30)^2+(G763-'Hybrid Calculator'!$B$12)^2+((H763-'Hybrid Calculator'!$E$14)/IF(A763="Lightning",100,30000))^2+((I763-'Hybrid Calculator'!$E$17)/IF(A763="Lightning",100,30000))^2</f>
        <v>1.3356784917043423</v>
      </c>
      <c r="K763" s="2">
        <f t="shared" si="44"/>
        <v>790</v>
      </c>
      <c r="L763" s="2">
        <f t="shared" si="45"/>
        <v>0</v>
      </c>
      <c r="M763" s="2">
        <f t="shared" si="46"/>
        <v>0</v>
      </c>
      <c r="N763" s="2">
        <v>1.3749205417709334</v>
      </c>
      <c r="O763" s="2">
        <f t="shared" si="47"/>
        <v>0</v>
      </c>
      <c r="P763" s="2">
        <v>39.01862188130508</v>
      </c>
      <c r="Q763" s="2">
        <v>-3.2546436507138878</v>
      </c>
    </row>
    <row r="764" spans="1:17" ht="15">
      <c r="A764" s="2" t="s">
        <v>81</v>
      </c>
      <c r="B764" s="2">
        <v>1085.8693011337891</v>
      </c>
      <c r="C764" s="2">
        <v>746.81297048227862</v>
      </c>
      <c r="D764" s="2">
        <v>358.08381363749504</v>
      </c>
      <c r="E764" s="2">
        <v>207.70133785670623</v>
      </c>
      <c r="F764" s="2">
        <v>19.300337589345872</v>
      </c>
      <c r="G764" s="2">
        <v>0.81424354972084989</v>
      </c>
      <c r="H764" s="2">
        <v>16295</v>
      </c>
      <c r="I764" s="2">
        <v>1200</v>
      </c>
      <c r="J764" s="2">
        <f>(IF(A764='Hybrid Calculator'!$B$6,0,1))^2+((B764-'Hybrid Calculator'!$B$7)/1500)^2+((C764-'Hybrid Calculator'!$B$8)/1300)^2+((D764-'Hybrid Calculator'!$B$9)/800)^2+((E764-'Hybrid Calculator'!$B$10)/350)^2+((F764-'Hybrid Calculator'!$B$11)/30)^2+(G764-'Hybrid Calculator'!$B$12)^2+((H764-'Hybrid Calculator'!$E$14)/IF(A764="Lightning",100,30000))^2+((I764-'Hybrid Calculator'!$E$17)/IF(A764="Lightning",100,30000))^2</f>
        <v>1.4115650571390335</v>
      </c>
      <c r="K764" s="2">
        <f t="shared" si="44"/>
        <v>1012</v>
      </c>
      <c r="L764" s="2">
        <f t="shared" si="45"/>
        <v>0</v>
      </c>
      <c r="M764" s="2">
        <f t="shared" si="46"/>
        <v>0</v>
      </c>
      <c r="N764" s="2">
        <v>0.64855003824962409</v>
      </c>
      <c r="O764" s="2">
        <f t="shared" si="47"/>
        <v>0</v>
      </c>
      <c r="P764" s="2">
        <v>-58.251574496034209</v>
      </c>
      <c r="Q764" s="2">
        <v>7.9467929965860549</v>
      </c>
    </row>
    <row r="765" spans="1:17" ht="15">
      <c r="A765" s="2" t="s">
        <v>81</v>
      </c>
      <c r="B765" s="2">
        <v>1077.0667174714617</v>
      </c>
      <c r="C765" s="2">
        <v>874.34065006673336</v>
      </c>
      <c r="D765" s="2">
        <v>703.22862258180976</v>
      </c>
      <c r="E765" s="2">
        <v>309.64386001694947</v>
      </c>
      <c r="F765" s="2">
        <v>8.4498301311396062</v>
      </c>
      <c r="G765" s="2">
        <v>0.82402168813161558</v>
      </c>
      <c r="H765" s="2">
        <v>11330</v>
      </c>
      <c r="I765" s="2">
        <v>1195</v>
      </c>
      <c r="J765" s="2">
        <f>(IF(A765='Hybrid Calculator'!$B$6,0,1))^2+((B765-'Hybrid Calculator'!$B$7)/1500)^2+((C765-'Hybrid Calculator'!$B$8)/1300)^2+((D765-'Hybrid Calculator'!$B$9)/800)^2+((E765-'Hybrid Calculator'!$B$10)/350)^2+((F765-'Hybrid Calculator'!$B$11)/30)^2+(G765-'Hybrid Calculator'!$B$12)^2+((H765-'Hybrid Calculator'!$E$14)/IF(A765="Lightning",100,30000))^2+((I765-'Hybrid Calculator'!$E$17)/IF(A765="Lightning",100,30000))^2</f>
        <v>1.58188038311652</v>
      </c>
      <c r="K765" s="2">
        <f t="shared" si="44"/>
        <v>1336</v>
      </c>
      <c r="L765" s="2">
        <f t="shared" si="45"/>
        <v>0</v>
      </c>
      <c r="M765" s="2">
        <f t="shared" si="46"/>
        <v>0</v>
      </c>
      <c r="N765" s="2">
        <v>3.1255938991167795</v>
      </c>
      <c r="O765" s="2">
        <f t="shared" si="47"/>
        <v>0</v>
      </c>
      <c r="P765" s="2">
        <v>27.439415914710025</v>
      </c>
      <c r="Q765" s="2">
        <v>-4.362821161062584</v>
      </c>
    </row>
    <row r="766" spans="1:17" ht="15">
      <c r="A766" s="2" t="s">
        <v>81</v>
      </c>
      <c r="B766" s="2">
        <v>968.05182127282023</v>
      </c>
      <c r="C766" s="2">
        <v>787.2621271177195</v>
      </c>
      <c r="D766" s="2">
        <v>562.66757193952799</v>
      </c>
      <c r="E766" s="2">
        <v>195.38114497670904</v>
      </c>
      <c r="F766" s="2">
        <v>17.623622784391046</v>
      </c>
      <c r="G766" s="2">
        <v>0.84061853970633826</v>
      </c>
      <c r="H766" s="2">
        <v>16145</v>
      </c>
      <c r="I766" s="2">
        <v>1200</v>
      </c>
      <c r="J766" s="2">
        <f>(IF(A766='Hybrid Calculator'!$B$6,0,1))^2+((B766-'Hybrid Calculator'!$B$7)/1500)^2+((C766-'Hybrid Calculator'!$B$8)/1300)^2+((D766-'Hybrid Calculator'!$B$9)/800)^2+((E766-'Hybrid Calculator'!$B$10)/350)^2+((F766-'Hybrid Calculator'!$B$11)/30)^2+(G766-'Hybrid Calculator'!$B$12)^2+((H766-'Hybrid Calculator'!$E$14)/IF(A766="Lightning",100,30000))^2+((I766-'Hybrid Calculator'!$E$17)/IF(A766="Lightning",100,30000))^2</f>
        <v>1.4087226340197461</v>
      </c>
      <c r="K766" s="2">
        <f t="shared" si="44"/>
        <v>1000</v>
      </c>
      <c r="L766" s="2">
        <f t="shared" si="45"/>
        <v>0</v>
      </c>
      <c r="M766" s="2">
        <f t="shared" si="46"/>
        <v>0</v>
      </c>
      <c r="N766" s="2">
        <v>2.2648838898333565</v>
      </c>
      <c r="O766" s="2">
        <f t="shared" si="47"/>
        <v>0</v>
      </c>
      <c r="P766" s="2">
        <v>20.498769879101928</v>
      </c>
      <c r="Q766" s="2">
        <v>4.5736693798958186</v>
      </c>
    </row>
    <row r="767" spans="1:17" ht="15">
      <c r="A767" s="2" t="s">
        <v>81</v>
      </c>
      <c r="B767" s="2">
        <v>1043.2675806456245</v>
      </c>
      <c r="C767" s="2">
        <v>622.03220122028142</v>
      </c>
      <c r="D767" s="2">
        <v>536.57253617420793</v>
      </c>
      <c r="E767" s="2">
        <v>295.75160161592066</v>
      </c>
      <c r="F767" s="2">
        <v>29.445312552619725</v>
      </c>
      <c r="G767" s="2">
        <v>0.8220413696626202</v>
      </c>
      <c r="H767" s="2">
        <v>14705</v>
      </c>
      <c r="I767" s="2">
        <v>1200</v>
      </c>
      <c r="J767" s="2">
        <f>(IF(A767='Hybrid Calculator'!$B$6,0,1))^2+((B767-'Hybrid Calculator'!$B$7)/1500)^2+((C767-'Hybrid Calculator'!$B$8)/1300)^2+((D767-'Hybrid Calculator'!$B$9)/800)^2+((E767-'Hybrid Calculator'!$B$10)/350)^2+((F767-'Hybrid Calculator'!$B$11)/30)^2+(G767-'Hybrid Calculator'!$B$12)^2+((H767-'Hybrid Calculator'!$E$14)/IF(A767="Lightning",100,30000))^2+((I767-'Hybrid Calculator'!$E$17)/IF(A767="Lightning",100,30000))^2</f>
        <v>1.6443032567325897</v>
      </c>
      <c r="K767" s="2">
        <f t="shared" si="44"/>
        <v>1377</v>
      </c>
      <c r="L767" s="2">
        <f t="shared" si="45"/>
        <v>0</v>
      </c>
      <c r="M767" s="2">
        <f t="shared" si="46"/>
        <v>0</v>
      </c>
      <c r="N767" s="2">
        <v>-1.1913094365304175</v>
      </c>
      <c r="O767" s="2">
        <f t="shared" si="47"/>
        <v>0</v>
      </c>
      <c r="P767" s="2">
        <v>-64.077842539316862</v>
      </c>
      <c r="Q767" s="2">
        <v>-5.3033341996172112</v>
      </c>
    </row>
    <row r="768" spans="1:17" ht="15">
      <c r="A768" s="2" t="s">
        <v>81</v>
      </c>
      <c r="B768" s="2">
        <v>1028.3077653264627</v>
      </c>
      <c r="C768" s="2">
        <v>896.79098032647744</v>
      </c>
      <c r="D768" s="2">
        <v>694.59822289645672</v>
      </c>
      <c r="E768" s="2">
        <v>112.12119609816</v>
      </c>
      <c r="F768" s="2">
        <v>16.179800902493298</v>
      </c>
      <c r="G768" s="2">
        <v>0.84819773928029463</v>
      </c>
      <c r="H768" s="2">
        <v>12555</v>
      </c>
      <c r="I768" s="2">
        <v>1200</v>
      </c>
      <c r="J768" s="2">
        <f>(IF(A768='Hybrid Calculator'!$B$6,0,1))^2+((B768-'Hybrid Calculator'!$B$7)/1500)^2+((C768-'Hybrid Calculator'!$B$8)/1300)^2+((D768-'Hybrid Calculator'!$B$9)/800)^2+((E768-'Hybrid Calculator'!$B$10)/350)^2+((F768-'Hybrid Calculator'!$B$11)/30)^2+(G768-'Hybrid Calculator'!$B$12)^2+((H768-'Hybrid Calculator'!$E$14)/IF(A768="Lightning",100,30000))^2+((I768-'Hybrid Calculator'!$E$17)/IF(A768="Lightning",100,30000))^2</f>
        <v>1.3241781848410183</v>
      </c>
      <c r="K768" s="2">
        <f t="shared" si="44"/>
        <v>766</v>
      </c>
      <c r="L768" s="2">
        <f t="shared" si="45"/>
        <v>0</v>
      </c>
      <c r="M768" s="2">
        <f t="shared" si="46"/>
        <v>0</v>
      </c>
      <c r="N768" s="2">
        <v>-1.0679186516599941</v>
      </c>
      <c r="O768" s="2">
        <f t="shared" si="47"/>
        <v>0</v>
      </c>
      <c r="P768" s="2">
        <v>-42.021735374421951</v>
      </c>
      <c r="Q768" s="2">
        <v>5.3540534867886436</v>
      </c>
    </row>
    <row r="769" spans="1:17" ht="15">
      <c r="A769" s="2" t="s">
        <v>81</v>
      </c>
      <c r="B769" s="2">
        <v>1019.6555546834134</v>
      </c>
      <c r="C769" s="2">
        <v>806.13495302386582</v>
      </c>
      <c r="D769" s="2">
        <v>433.76998929306865</v>
      </c>
      <c r="E769" s="2">
        <v>164.90952139254659</v>
      </c>
      <c r="F769" s="2">
        <v>15.049937121104449</v>
      </c>
      <c r="G769" s="2">
        <v>0.79566364204511053</v>
      </c>
      <c r="H769" s="2">
        <v>15225</v>
      </c>
      <c r="I769" s="2">
        <v>1200</v>
      </c>
      <c r="J769" s="2">
        <f>(IF(A769='Hybrid Calculator'!$B$6,0,1))^2+((B769-'Hybrid Calculator'!$B$7)/1500)^2+((C769-'Hybrid Calculator'!$B$8)/1300)^2+((D769-'Hybrid Calculator'!$B$9)/800)^2+((E769-'Hybrid Calculator'!$B$10)/350)^2+((F769-'Hybrid Calculator'!$B$11)/30)^2+(G769-'Hybrid Calculator'!$B$12)^2+((H769-'Hybrid Calculator'!$E$14)/IF(A769="Lightning",100,30000))^2+((I769-'Hybrid Calculator'!$E$17)/IF(A769="Lightning",100,30000))^2</f>
        <v>1.3540501439617127</v>
      </c>
      <c r="K769" s="2">
        <f t="shared" si="44"/>
        <v>842</v>
      </c>
      <c r="L769" s="2">
        <f t="shared" si="45"/>
        <v>0</v>
      </c>
      <c r="M769" s="2">
        <f t="shared" si="46"/>
        <v>0</v>
      </c>
      <c r="N769" s="2">
        <v>0.30900637821932264</v>
      </c>
      <c r="O769" s="2">
        <f t="shared" si="47"/>
        <v>0</v>
      </c>
      <c r="P769" s="2">
        <v>-3.4697353700594249</v>
      </c>
      <c r="Q769" s="2">
        <v>11.224858923583952</v>
      </c>
    </row>
    <row r="770" spans="1:17" ht="15">
      <c r="A770" s="2" t="s">
        <v>81</v>
      </c>
      <c r="B770" s="2">
        <v>955.1547082606703</v>
      </c>
      <c r="C770" s="2">
        <v>713.43708204803988</v>
      </c>
      <c r="D770" s="2">
        <v>665.34781288355589</v>
      </c>
      <c r="E770" s="2">
        <v>87.916993752587587</v>
      </c>
      <c r="F770" s="2">
        <v>16.187785677611828</v>
      </c>
      <c r="G770" s="2">
        <v>0.8572907525510528</v>
      </c>
      <c r="H770" s="2">
        <v>17010</v>
      </c>
      <c r="I770" s="2">
        <v>1200</v>
      </c>
      <c r="J770" s="2">
        <f>(IF(A770='Hybrid Calculator'!$B$6,0,1))^2+((B770-'Hybrid Calculator'!$B$7)/1500)^2+((C770-'Hybrid Calculator'!$B$8)/1300)^2+((D770-'Hybrid Calculator'!$B$9)/800)^2+((E770-'Hybrid Calculator'!$B$10)/350)^2+((F770-'Hybrid Calculator'!$B$11)/30)^2+(G770-'Hybrid Calculator'!$B$12)^2+((H770-'Hybrid Calculator'!$E$14)/IF(A770="Lightning",100,30000))^2+((I770-'Hybrid Calculator'!$E$17)/IF(A770="Lightning",100,30000))^2</f>
        <v>1.5117973621099803</v>
      </c>
      <c r="K770" s="2">
        <f t="shared" ref="K770:K833" si="48">RANK(J770,$J$2:$J$1401,1)</f>
        <v>1232</v>
      </c>
      <c r="L770" s="2">
        <f t="shared" ref="L770:L833" si="49">IF(K770&lt;=7,1,0)</f>
        <v>0</v>
      </c>
      <c r="M770" s="2">
        <f t="shared" ref="M770:M833" si="50">IF(L770=1,1/(J770+0.000001),0)</f>
        <v>0</v>
      </c>
      <c r="N770" s="2">
        <v>-1.6641848028827155</v>
      </c>
      <c r="O770" s="2">
        <f t="shared" ref="O770:O833" si="51">M770</f>
        <v>0</v>
      </c>
      <c r="P770" s="2">
        <v>-13.138097840771934</v>
      </c>
      <c r="Q770" s="2">
        <v>2.7401696050458213</v>
      </c>
    </row>
    <row r="771" spans="1:17" ht="15">
      <c r="A771" s="2" t="s">
        <v>81</v>
      </c>
      <c r="B771" s="2">
        <v>1059.024725027848</v>
      </c>
      <c r="C771" s="2">
        <v>885.2944236015901</v>
      </c>
      <c r="D771" s="2">
        <v>506.23976560309529</v>
      </c>
      <c r="E771" s="2">
        <v>261.41730083152652</v>
      </c>
      <c r="F771" s="2">
        <v>24.868155910167843</v>
      </c>
      <c r="G771" s="2">
        <v>0.84221321487333634</v>
      </c>
      <c r="H771" s="2">
        <v>12940</v>
      </c>
      <c r="I771" s="2">
        <v>1200</v>
      </c>
      <c r="J771" s="2">
        <f>(IF(A771='Hybrid Calculator'!$B$6,0,1))^2+((B771-'Hybrid Calculator'!$B$7)/1500)^2+((C771-'Hybrid Calculator'!$B$8)/1300)^2+((D771-'Hybrid Calculator'!$B$9)/800)^2+((E771-'Hybrid Calculator'!$B$10)/350)^2+((F771-'Hybrid Calculator'!$B$11)/30)^2+(G771-'Hybrid Calculator'!$B$12)^2+((H771-'Hybrid Calculator'!$E$14)/IF(A771="Lightning",100,30000))^2+((I771-'Hybrid Calculator'!$E$17)/IF(A771="Lightning",100,30000))^2</f>
        <v>1.3933633981843976</v>
      </c>
      <c r="K771" s="2">
        <f t="shared" si="48"/>
        <v>958</v>
      </c>
      <c r="L771" s="2">
        <f t="shared" si="49"/>
        <v>0</v>
      </c>
      <c r="M771" s="2">
        <f t="shared" si="50"/>
        <v>0</v>
      </c>
      <c r="N771" s="2">
        <v>-0.71965476958703789</v>
      </c>
      <c r="O771" s="2">
        <f t="shared" si="51"/>
        <v>0</v>
      </c>
      <c r="P771" s="2">
        <v>-40.436845808138514</v>
      </c>
      <c r="Q771" s="2">
        <v>-10.89296814932959</v>
      </c>
    </row>
    <row r="772" spans="1:17" ht="15">
      <c r="A772" s="2" t="s">
        <v>81</v>
      </c>
      <c r="B772" s="2">
        <v>1008.4097215440124</v>
      </c>
      <c r="C772" s="2">
        <v>717.70738725317642</v>
      </c>
      <c r="D772" s="2">
        <v>437.51493897289038</v>
      </c>
      <c r="E772" s="2">
        <v>141.38814968289807</v>
      </c>
      <c r="F772" s="2">
        <v>22.860376883298159</v>
      </c>
      <c r="G772" s="2">
        <v>0.84098916858667516</v>
      </c>
      <c r="H772" s="2">
        <v>19245</v>
      </c>
      <c r="I772" s="2">
        <v>1200</v>
      </c>
      <c r="J772" s="2">
        <f>(IF(A772='Hybrid Calculator'!$B$6,0,1))^2+((B772-'Hybrid Calculator'!$B$7)/1500)^2+((C772-'Hybrid Calculator'!$B$8)/1300)^2+((D772-'Hybrid Calculator'!$B$9)/800)^2+((E772-'Hybrid Calculator'!$B$10)/350)^2+((F772-'Hybrid Calculator'!$B$11)/30)^2+(G772-'Hybrid Calculator'!$B$12)^2+((H772-'Hybrid Calculator'!$E$14)/IF(A772="Lightning",100,30000))^2+((I772-'Hybrid Calculator'!$E$17)/IF(A772="Lightning",100,30000))^2</f>
        <v>1.5266807395179449</v>
      </c>
      <c r="K772" s="2">
        <f t="shared" si="48"/>
        <v>1259</v>
      </c>
      <c r="L772" s="2">
        <f t="shared" si="49"/>
        <v>0</v>
      </c>
      <c r="M772" s="2">
        <f t="shared" si="50"/>
        <v>0</v>
      </c>
      <c r="N772" s="2">
        <v>-5.2778835086983804</v>
      </c>
      <c r="O772" s="2">
        <f t="shared" si="51"/>
        <v>0</v>
      </c>
      <c r="P772" s="2">
        <v>18.084825026846374</v>
      </c>
      <c r="Q772" s="2">
        <v>2.3073808053392213</v>
      </c>
    </row>
    <row r="773" spans="1:17" ht="15">
      <c r="A773" s="2" t="s">
        <v>81</v>
      </c>
      <c r="B773" s="2">
        <v>1004.5513333869167</v>
      </c>
      <c r="C773" s="2">
        <v>789.00289803277701</v>
      </c>
      <c r="D773" s="2">
        <v>474.48750184848905</v>
      </c>
      <c r="E773" s="2">
        <v>238.40096585452557</v>
      </c>
      <c r="F773" s="2">
        <v>23.550127769354731</v>
      </c>
      <c r="G773" s="2">
        <v>0.82060521095525474</v>
      </c>
      <c r="H773" s="2">
        <v>14240</v>
      </c>
      <c r="I773" s="2">
        <v>1200</v>
      </c>
      <c r="J773" s="2">
        <f>(IF(A773='Hybrid Calculator'!$B$6,0,1))^2+((B773-'Hybrid Calculator'!$B$7)/1500)^2+((C773-'Hybrid Calculator'!$B$8)/1300)^2+((D773-'Hybrid Calculator'!$B$9)/800)^2+((E773-'Hybrid Calculator'!$B$10)/350)^2+((F773-'Hybrid Calculator'!$B$11)/30)^2+(G773-'Hybrid Calculator'!$B$12)^2+((H773-'Hybrid Calculator'!$E$14)/IF(A773="Lightning",100,30000))^2+((I773-'Hybrid Calculator'!$E$17)/IF(A773="Lightning",100,30000))^2</f>
        <v>1.3991808289969445</v>
      </c>
      <c r="K773" s="2">
        <f t="shared" si="48"/>
        <v>974</v>
      </c>
      <c r="L773" s="2">
        <f t="shared" si="49"/>
        <v>0</v>
      </c>
      <c r="M773" s="2">
        <f t="shared" si="50"/>
        <v>0</v>
      </c>
      <c r="N773" s="2">
        <v>-2.4199798612287111</v>
      </c>
      <c r="O773" s="2">
        <f t="shared" si="51"/>
        <v>0</v>
      </c>
      <c r="P773" s="2">
        <v>-1.9830810246376132</v>
      </c>
      <c r="Q773" s="2">
        <v>-7.0031849953492156</v>
      </c>
    </row>
    <row r="774" spans="1:17" ht="15">
      <c r="A774" s="2" t="s">
        <v>81</v>
      </c>
      <c r="B774" s="2">
        <v>980.60640452895314</v>
      </c>
      <c r="C774" s="2">
        <v>863.93792378949001</v>
      </c>
      <c r="D774" s="2">
        <v>550.63992813229561</v>
      </c>
      <c r="E774" s="2">
        <v>249.25099905347452</v>
      </c>
      <c r="F774" s="2">
        <v>14.88305005338043</v>
      </c>
      <c r="G774" s="2">
        <v>0.81572054056217902</v>
      </c>
      <c r="H774" s="2">
        <v>12855</v>
      </c>
      <c r="I774" s="2">
        <v>1200</v>
      </c>
      <c r="J774" s="2">
        <f>(IF(A774='Hybrid Calculator'!$B$6,0,1))^2+((B774-'Hybrid Calculator'!$B$7)/1500)^2+((C774-'Hybrid Calculator'!$B$8)/1300)^2+((D774-'Hybrid Calculator'!$B$9)/800)^2+((E774-'Hybrid Calculator'!$B$10)/350)^2+((F774-'Hybrid Calculator'!$B$11)/30)^2+(G774-'Hybrid Calculator'!$B$12)^2+((H774-'Hybrid Calculator'!$E$14)/IF(A774="Lightning",100,30000))^2+((I774-'Hybrid Calculator'!$E$17)/IF(A774="Lightning",100,30000))^2</f>
        <v>1.370582565397453</v>
      </c>
      <c r="K774" s="2">
        <f t="shared" si="48"/>
        <v>891</v>
      </c>
      <c r="L774" s="2">
        <f t="shared" si="49"/>
        <v>0</v>
      </c>
      <c r="M774" s="2">
        <f t="shared" si="50"/>
        <v>0</v>
      </c>
      <c r="N774" s="2">
        <v>-0.93601069135829107</v>
      </c>
      <c r="O774" s="2">
        <f t="shared" si="51"/>
        <v>0</v>
      </c>
      <c r="P774" s="2">
        <v>26.573522136835891</v>
      </c>
      <c r="Q774" s="2">
        <v>-1.7628428097972346</v>
      </c>
    </row>
    <row r="775" spans="1:17" ht="15">
      <c r="A775" s="2" t="s">
        <v>81</v>
      </c>
      <c r="B775" s="2">
        <v>973.25412480859086</v>
      </c>
      <c r="C775" s="2">
        <v>849.1979343816638</v>
      </c>
      <c r="D775" s="2">
        <v>439.33589002117515</v>
      </c>
      <c r="E775" s="2">
        <v>277.97792856115848</v>
      </c>
      <c r="F775" s="2">
        <v>9.8088624863885343</v>
      </c>
      <c r="G775" s="2">
        <v>0.80280252679251141</v>
      </c>
      <c r="H775" s="2">
        <v>13650</v>
      </c>
      <c r="I775" s="2">
        <v>1200</v>
      </c>
      <c r="J775" s="2">
        <f>(IF(A775='Hybrid Calculator'!$B$6,0,1))^2+((B775-'Hybrid Calculator'!$B$7)/1500)^2+((C775-'Hybrid Calculator'!$B$8)/1300)^2+((D775-'Hybrid Calculator'!$B$9)/800)^2+((E775-'Hybrid Calculator'!$B$10)/350)^2+((F775-'Hybrid Calculator'!$B$11)/30)^2+(G775-'Hybrid Calculator'!$B$12)^2+((H775-'Hybrid Calculator'!$E$14)/IF(A775="Lightning",100,30000))^2+((I775-'Hybrid Calculator'!$E$17)/IF(A775="Lightning",100,30000))^2</f>
        <v>1.5214207509747535</v>
      </c>
      <c r="K775" s="2">
        <f t="shared" si="48"/>
        <v>1249</v>
      </c>
      <c r="L775" s="2">
        <f t="shared" si="49"/>
        <v>0</v>
      </c>
      <c r="M775" s="2">
        <f t="shared" si="50"/>
        <v>0</v>
      </c>
      <c r="N775" s="2">
        <v>1.9524783227597027</v>
      </c>
      <c r="O775" s="2">
        <f t="shared" si="51"/>
        <v>0</v>
      </c>
      <c r="P775" s="2">
        <v>20.547540204880079</v>
      </c>
      <c r="Q775" s="2">
        <v>3.9634602930616438</v>
      </c>
    </row>
    <row r="776" spans="1:17" ht="15">
      <c r="A776" s="2" t="s">
        <v>81</v>
      </c>
      <c r="B776" s="2">
        <v>1000.005664024502</v>
      </c>
      <c r="C776" s="2">
        <v>1091.0558474599384</v>
      </c>
      <c r="D776" s="2">
        <v>681.03842232376337</v>
      </c>
      <c r="E776" s="2">
        <v>220.21603210130706</v>
      </c>
      <c r="F776" s="2">
        <v>21.186837079003453</v>
      </c>
      <c r="G776" s="2">
        <v>0.81285316608147695</v>
      </c>
      <c r="H776" s="2">
        <v>10735</v>
      </c>
      <c r="I776" s="2">
        <v>1195</v>
      </c>
      <c r="J776" s="2">
        <f>(IF(A776='Hybrid Calculator'!$B$6,0,1))^2+((B776-'Hybrid Calculator'!$B$7)/1500)^2+((C776-'Hybrid Calculator'!$B$8)/1300)^2+((D776-'Hybrid Calculator'!$B$9)/800)^2+((E776-'Hybrid Calculator'!$B$10)/350)^2+((F776-'Hybrid Calculator'!$B$11)/30)^2+(G776-'Hybrid Calculator'!$B$12)^2+((H776-'Hybrid Calculator'!$E$14)/IF(A776="Lightning",100,30000))^2+((I776-'Hybrid Calculator'!$E$17)/IF(A776="Lightning",100,30000))^2</f>
        <v>1.342565082517944</v>
      </c>
      <c r="K776" s="2">
        <f t="shared" si="48"/>
        <v>809</v>
      </c>
      <c r="L776" s="2">
        <f t="shared" si="49"/>
        <v>0</v>
      </c>
      <c r="M776" s="2">
        <f t="shared" si="50"/>
        <v>0</v>
      </c>
      <c r="N776" s="2">
        <v>-1.3983876578146806</v>
      </c>
      <c r="O776" s="2">
        <f t="shared" si="51"/>
        <v>0</v>
      </c>
      <c r="P776" s="2">
        <v>36.991126877702754</v>
      </c>
      <c r="Q776" s="2">
        <v>-5.6751084871724515</v>
      </c>
    </row>
    <row r="777" spans="1:17" ht="15">
      <c r="A777" s="2" t="s">
        <v>81</v>
      </c>
      <c r="B777" s="2">
        <v>1087.4742883839644</v>
      </c>
      <c r="C777" s="2">
        <v>926.22422885615379</v>
      </c>
      <c r="D777" s="2">
        <v>650.29598260298371</v>
      </c>
      <c r="E777" s="2">
        <v>245.54338787682354</v>
      </c>
      <c r="F777" s="2">
        <v>22.671594337094575</v>
      </c>
      <c r="G777" s="2">
        <v>0.81786460647825154</v>
      </c>
      <c r="H777" s="2">
        <v>11735</v>
      </c>
      <c r="I777" s="2">
        <v>1195</v>
      </c>
      <c r="J777" s="2">
        <f>(IF(A777='Hybrid Calculator'!$B$6,0,1))^2+((B777-'Hybrid Calculator'!$B$7)/1500)^2+((C777-'Hybrid Calculator'!$B$8)/1300)^2+((D777-'Hybrid Calculator'!$B$9)/800)^2+((E777-'Hybrid Calculator'!$B$10)/350)^2+((F777-'Hybrid Calculator'!$B$11)/30)^2+(G777-'Hybrid Calculator'!$B$12)^2+((H777-'Hybrid Calculator'!$E$14)/IF(A777="Lightning",100,30000))^2+((I777-'Hybrid Calculator'!$E$17)/IF(A777="Lightning",100,30000))^2</f>
        <v>1.3364560634316791</v>
      </c>
      <c r="K777" s="2">
        <f t="shared" si="48"/>
        <v>792</v>
      </c>
      <c r="L777" s="2">
        <f t="shared" si="49"/>
        <v>0</v>
      </c>
      <c r="M777" s="2">
        <f t="shared" si="50"/>
        <v>0</v>
      </c>
      <c r="N777" s="2">
        <v>1.6135375353249515</v>
      </c>
      <c r="O777" s="2">
        <f t="shared" si="51"/>
        <v>0</v>
      </c>
      <c r="P777" s="2">
        <v>-22.609556532280294</v>
      </c>
      <c r="Q777" s="2">
        <v>-14.14923112578299</v>
      </c>
    </row>
    <row r="778" spans="1:17" ht="15">
      <c r="A778" s="2" t="s">
        <v>81</v>
      </c>
      <c r="B778" s="2">
        <v>971.69031442608684</v>
      </c>
      <c r="C778" s="2">
        <v>626.13120522582904</v>
      </c>
      <c r="D778" s="2">
        <v>440.96781872212887</v>
      </c>
      <c r="E778" s="2">
        <v>269.30352543247864</v>
      </c>
      <c r="F778" s="2">
        <v>8.8524990947917104</v>
      </c>
      <c r="G778" s="2">
        <v>0.82579307955456904</v>
      </c>
      <c r="H778" s="2">
        <v>18670</v>
      </c>
      <c r="I778" s="2">
        <v>1200</v>
      </c>
      <c r="J778" s="2">
        <f>(IF(A778='Hybrid Calculator'!$B$6,0,1))^2+((B778-'Hybrid Calculator'!$B$7)/1500)^2+((C778-'Hybrid Calculator'!$B$8)/1300)^2+((D778-'Hybrid Calculator'!$B$9)/800)^2+((E778-'Hybrid Calculator'!$B$10)/350)^2+((F778-'Hybrid Calculator'!$B$11)/30)^2+(G778-'Hybrid Calculator'!$B$12)^2+((H778-'Hybrid Calculator'!$E$14)/IF(A778="Lightning",100,30000))^2+((I778-'Hybrid Calculator'!$E$17)/IF(A778="Lightning",100,30000))^2</f>
        <v>1.7328299271693079</v>
      </c>
      <c r="K778" s="2">
        <f t="shared" si="48"/>
        <v>1395</v>
      </c>
      <c r="L778" s="2">
        <f t="shared" si="49"/>
        <v>0</v>
      </c>
      <c r="M778" s="2">
        <f t="shared" si="50"/>
        <v>0</v>
      </c>
      <c r="N778" s="2">
        <v>-0.9648803459253088</v>
      </c>
      <c r="O778" s="2">
        <f t="shared" si="51"/>
        <v>0</v>
      </c>
      <c r="P778" s="2">
        <v>-4.7878378965879165</v>
      </c>
      <c r="Q778" s="2">
        <v>8.200572037281745</v>
      </c>
    </row>
    <row r="779" spans="1:17" ht="15">
      <c r="A779" s="2" t="s">
        <v>81</v>
      </c>
      <c r="B779" s="2">
        <v>1005.4865447222255</v>
      </c>
      <c r="C779" s="2">
        <v>713.81048620678484</v>
      </c>
      <c r="D779" s="2">
        <v>351.84463439509273</v>
      </c>
      <c r="E779" s="2">
        <v>164.05855053570122</v>
      </c>
      <c r="F779" s="2">
        <v>18.370573952328414</v>
      </c>
      <c r="G779" s="2">
        <v>0.80527748363092544</v>
      </c>
      <c r="H779" s="2">
        <v>17390</v>
      </c>
      <c r="I779" s="2">
        <v>1200</v>
      </c>
      <c r="J779" s="2">
        <f>(IF(A779='Hybrid Calculator'!$B$6,0,1))^2+((B779-'Hybrid Calculator'!$B$7)/1500)^2+((C779-'Hybrid Calculator'!$B$8)/1300)^2+((D779-'Hybrid Calculator'!$B$9)/800)^2+((E779-'Hybrid Calculator'!$B$10)/350)^2+((F779-'Hybrid Calculator'!$B$11)/30)^2+(G779-'Hybrid Calculator'!$B$12)^2+((H779-'Hybrid Calculator'!$E$14)/IF(A779="Lightning",100,30000))^2+((I779-'Hybrid Calculator'!$E$17)/IF(A779="Lightning",100,30000))^2</f>
        <v>1.4609570613013396</v>
      </c>
      <c r="K779" s="2">
        <f t="shared" si="48"/>
        <v>1135</v>
      </c>
      <c r="L779" s="2">
        <f t="shared" si="49"/>
        <v>0</v>
      </c>
      <c r="M779" s="2">
        <f t="shared" si="50"/>
        <v>0</v>
      </c>
      <c r="N779" s="2">
        <v>-2.1533933583562543</v>
      </c>
      <c r="O779" s="2">
        <f t="shared" si="51"/>
        <v>0</v>
      </c>
      <c r="P779" s="2">
        <v>-37.916091446583778</v>
      </c>
      <c r="Q779" s="2">
        <v>14.776467831840705</v>
      </c>
    </row>
    <row r="780" spans="1:17" ht="15">
      <c r="A780" s="2" t="s">
        <v>81</v>
      </c>
      <c r="B780" s="2">
        <v>975.29836450703442</v>
      </c>
      <c r="C780" s="2">
        <v>1230.8954920503311</v>
      </c>
      <c r="D780" s="2">
        <v>456.06108289211988</v>
      </c>
      <c r="E780" s="2">
        <v>216.51762186782435</v>
      </c>
      <c r="F780" s="2">
        <v>12.712974950671196</v>
      </c>
      <c r="G780" s="2">
        <v>0.85943764982977888</v>
      </c>
      <c r="H780" s="2">
        <v>13110</v>
      </c>
      <c r="I780" s="2">
        <v>1200</v>
      </c>
      <c r="J780" s="2">
        <f>(IF(A780='Hybrid Calculator'!$B$6,0,1))^2+((B780-'Hybrid Calculator'!$B$7)/1500)^2+((C780-'Hybrid Calculator'!$B$8)/1300)^2+((D780-'Hybrid Calculator'!$B$9)/800)^2+((E780-'Hybrid Calculator'!$B$10)/350)^2+((F780-'Hybrid Calculator'!$B$11)/30)^2+(G780-'Hybrid Calculator'!$B$12)^2+((H780-'Hybrid Calculator'!$E$14)/IF(A780="Lightning",100,30000))^2+((I780-'Hybrid Calculator'!$E$17)/IF(A780="Lightning",100,30000))^2</f>
        <v>1.4446786027581009</v>
      </c>
      <c r="K780" s="2">
        <f t="shared" si="48"/>
        <v>1096</v>
      </c>
      <c r="L780" s="2">
        <f t="shared" si="49"/>
        <v>0</v>
      </c>
      <c r="M780" s="2">
        <f t="shared" si="50"/>
        <v>0</v>
      </c>
      <c r="N780" s="2">
        <v>0.74098519236551397</v>
      </c>
      <c r="O780" s="2">
        <f t="shared" si="51"/>
        <v>0</v>
      </c>
      <c r="P780" s="2">
        <v>12.049655244283713</v>
      </c>
      <c r="Q780" s="2">
        <v>2.0569925574189938</v>
      </c>
    </row>
    <row r="781" spans="1:17" ht="15">
      <c r="A781" s="2" t="s">
        <v>81</v>
      </c>
      <c r="B781" s="2">
        <v>996.58116075443104</v>
      </c>
      <c r="C781" s="2">
        <v>998.73151609208435</v>
      </c>
      <c r="D781" s="2">
        <v>737.85683633759618</v>
      </c>
      <c r="E781" s="2">
        <v>264.33251651003957</v>
      </c>
      <c r="F781" s="2">
        <v>20.413356280419976</v>
      </c>
      <c r="G781" s="2">
        <v>0.83154233192559335</v>
      </c>
      <c r="H781" s="2">
        <v>12470</v>
      </c>
      <c r="I781" s="2">
        <v>1200</v>
      </c>
      <c r="J781" s="2">
        <f>(IF(A781='Hybrid Calculator'!$B$6,0,1))^2+((B781-'Hybrid Calculator'!$B$7)/1500)^2+((C781-'Hybrid Calculator'!$B$8)/1300)^2+((D781-'Hybrid Calculator'!$B$9)/800)^2+((E781-'Hybrid Calculator'!$B$10)/350)^2+((F781-'Hybrid Calculator'!$B$11)/30)^2+(G781-'Hybrid Calculator'!$B$12)^2+((H781-'Hybrid Calculator'!$E$14)/IF(A781="Lightning",100,30000))^2+((I781-'Hybrid Calculator'!$E$17)/IF(A781="Lightning",100,30000))^2</f>
        <v>1.4669042671942329</v>
      </c>
      <c r="K781" s="2">
        <f t="shared" si="48"/>
        <v>1146</v>
      </c>
      <c r="L781" s="2">
        <f t="shared" si="49"/>
        <v>0</v>
      </c>
      <c r="M781" s="2">
        <f t="shared" si="50"/>
        <v>0</v>
      </c>
      <c r="N781" s="2">
        <v>0.85717697404547266</v>
      </c>
      <c r="O781" s="2">
        <f t="shared" si="51"/>
        <v>0</v>
      </c>
      <c r="P781" s="2">
        <v>20.705247561382748</v>
      </c>
      <c r="Q781" s="2">
        <v>-4.8862882819380502</v>
      </c>
    </row>
    <row r="782" spans="1:17" ht="15">
      <c r="A782" s="2" t="s">
        <v>81</v>
      </c>
      <c r="B782" s="2">
        <v>951.15306426305324</v>
      </c>
      <c r="C782" s="2">
        <v>988.71150334598497</v>
      </c>
      <c r="D782" s="2">
        <v>607.56994336843491</v>
      </c>
      <c r="E782" s="2">
        <v>145.25783328106627</v>
      </c>
      <c r="F782" s="2">
        <v>17.14840608369559</v>
      </c>
      <c r="G782" s="2">
        <v>0.84036805074429144</v>
      </c>
      <c r="H782" s="2">
        <v>14325</v>
      </c>
      <c r="I782" s="2">
        <v>1200</v>
      </c>
      <c r="J782" s="2">
        <f>(IF(A782='Hybrid Calculator'!$B$6,0,1))^2+((B782-'Hybrid Calculator'!$B$7)/1500)^2+((C782-'Hybrid Calculator'!$B$8)/1300)^2+((D782-'Hybrid Calculator'!$B$9)/800)^2+((E782-'Hybrid Calculator'!$B$10)/350)^2+((F782-'Hybrid Calculator'!$B$11)/30)^2+(G782-'Hybrid Calculator'!$B$12)^2+((H782-'Hybrid Calculator'!$E$14)/IF(A782="Lightning",100,30000))^2+((I782-'Hybrid Calculator'!$E$17)/IF(A782="Lightning",100,30000))^2</f>
        <v>1.3598364086343473</v>
      </c>
      <c r="K782" s="2">
        <f t="shared" si="48"/>
        <v>854</v>
      </c>
      <c r="L782" s="2">
        <f t="shared" si="49"/>
        <v>0</v>
      </c>
      <c r="M782" s="2">
        <f t="shared" si="50"/>
        <v>0</v>
      </c>
      <c r="N782" s="2">
        <v>1.2796571173228983</v>
      </c>
      <c r="O782" s="2">
        <f t="shared" si="51"/>
        <v>0</v>
      </c>
      <c r="P782" s="2">
        <v>-10.4278812372836</v>
      </c>
      <c r="Q782" s="2">
        <v>2.7026347574358169</v>
      </c>
    </row>
    <row r="783" spans="1:17" ht="15">
      <c r="A783" s="2" t="s">
        <v>81</v>
      </c>
      <c r="B783" s="2">
        <v>1070.1997491414659</v>
      </c>
      <c r="C783" s="2">
        <v>1132.3495424352586</v>
      </c>
      <c r="D783" s="2">
        <v>365.7330653630197</v>
      </c>
      <c r="E783" s="2">
        <v>189.40660594496876</v>
      </c>
      <c r="F783" s="2">
        <v>15.900423725601286</v>
      </c>
      <c r="G783" s="2">
        <v>0.7963488468993456</v>
      </c>
      <c r="H783" s="2">
        <v>12675</v>
      </c>
      <c r="I783" s="2">
        <v>1200</v>
      </c>
      <c r="J783" s="2">
        <f>(IF(A783='Hybrid Calculator'!$B$6,0,1))^2+((B783-'Hybrid Calculator'!$B$7)/1500)^2+((C783-'Hybrid Calculator'!$B$8)/1300)^2+((D783-'Hybrid Calculator'!$B$9)/800)^2+((E783-'Hybrid Calculator'!$B$10)/350)^2+((F783-'Hybrid Calculator'!$B$11)/30)^2+(G783-'Hybrid Calculator'!$B$12)^2+((H783-'Hybrid Calculator'!$E$14)/IF(A783="Lightning",100,30000))^2+((I783-'Hybrid Calculator'!$E$17)/IF(A783="Lightning",100,30000))^2</f>
        <v>1.3306679213815222</v>
      </c>
      <c r="K783" s="2">
        <f t="shared" si="48"/>
        <v>777</v>
      </c>
      <c r="L783" s="2">
        <f t="shared" si="49"/>
        <v>0</v>
      </c>
      <c r="M783" s="2">
        <f t="shared" si="50"/>
        <v>0</v>
      </c>
      <c r="N783" s="2">
        <v>-1.7415731450036276</v>
      </c>
      <c r="O783" s="2">
        <f t="shared" si="51"/>
        <v>0</v>
      </c>
      <c r="P783" s="2">
        <v>21.509267793078379</v>
      </c>
      <c r="Q783" s="2">
        <v>7.4918739355189246</v>
      </c>
    </row>
    <row r="784" spans="1:17" ht="15">
      <c r="A784" s="2" t="s">
        <v>81</v>
      </c>
      <c r="B784" s="2">
        <v>963.82749155163765</v>
      </c>
      <c r="C784" s="2">
        <v>993.40247086947784</v>
      </c>
      <c r="D784" s="2">
        <v>473.85735381394625</v>
      </c>
      <c r="E784" s="2">
        <v>177.67771750921384</v>
      </c>
      <c r="F784" s="2">
        <v>13.434353528544307</v>
      </c>
      <c r="G784" s="2">
        <v>0.83613825877429926</v>
      </c>
      <c r="H784" s="2">
        <v>15170</v>
      </c>
      <c r="I784" s="2">
        <v>1200</v>
      </c>
      <c r="J784" s="2">
        <f>(IF(A784='Hybrid Calculator'!$B$6,0,1))^2+((B784-'Hybrid Calculator'!$B$7)/1500)^2+((C784-'Hybrid Calculator'!$B$8)/1300)^2+((D784-'Hybrid Calculator'!$B$9)/800)^2+((E784-'Hybrid Calculator'!$B$10)/350)^2+((F784-'Hybrid Calculator'!$B$11)/30)^2+(G784-'Hybrid Calculator'!$B$12)^2+((H784-'Hybrid Calculator'!$E$14)/IF(A784="Lightning",100,30000))^2+((I784-'Hybrid Calculator'!$E$17)/IF(A784="Lightning",100,30000))^2</f>
        <v>1.3983365204569367</v>
      </c>
      <c r="K784" s="2">
        <f t="shared" si="48"/>
        <v>970</v>
      </c>
      <c r="L784" s="2">
        <f t="shared" si="49"/>
        <v>0</v>
      </c>
      <c r="M784" s="2">
        <f t="shared" si="50"/>
        <v>0</v>
      </c>
      <c r="N784" s="2">
        <v>1.9961938952216371</v>
      </c>
      <c r="O784" s="2">
        <f t="shared" si="51"/>
        <v>0</v>
      </c>
      <c r="P784" s="2">
        <v>-9.8787836702458662</v>
      </c>
      <c r="Q784" s="2">
        <v>3.7479910930051119</v>
      </c>
    </row>
    <row r="785" spans="1:17" ht="15">
      <c r="A785" s="2" t="s">
        <v>81</v>
      </c>
      <c r="B785" s="2">
        <v>1007.6917647034861</v>
      </c>
      <c r="C785" s="2">
        <v>686.89748665783554</v>
      </c>
      <c r="D785" s="2">
        <v>745.33742526546121</v>
      </c>
      <c r="E785" s="2">
        <v>281.38573809526861</v>
      </c>
      <c r="F785" s="2">
        <v>21.615361776668578</v>
      </c>
      <c r="G785" s="2">
        <v>0.83217437848914422</v>
      </c>
      <c r="H785" s="2">
        <v>12480</v>
      </c>
      <c r="I785" s="2">
        <v>1200</v>
      </c>
      <c r="J785" s="2">
        <f>(IF(A785='Hybrid Calculator'!$B$6,0,1))^2+((B785-'Hybrid Calculator'!$B$7)/1500)^2+((C785-'Hybrid Calculator'!$B$8)/1300)^2+((D785-'Hybrid Calculator'!$B$9)/800)^2+((E785-'Hybrid Calculator'!$B$10)/350)^2+((F785-'Hybrid Calculator'!$B$11)/30)^2+(G785-'Hybrid Calculator'!$B$12)^2+((H785-'Hybrid Calculator'!$E$14)/IF(A785="Lightning",100,30000))^2+((I785-'Hybrid Calculator'!$E$17)/IF(A785="Lightning",100,30000))^2</f>
        <v>1.5122411968405283</v>
      </c>
      <c r="K785" s="2">
        <f t="shared" si="48"/>
        <v>1233</v>
      </c>
      <c r="L785" s="2">
        <f t="shared" si="49"/>
        <v>0</v>
      </c>
      <c r="M785" s="2">
        <f t="shared" si="50"/>
        <v>0</v>
      </c>
      <c r="N785" s="2">
        <v>1.56244944574172</v>
      </c>
      <c r="O785" s="2">
        <f t="shared" si="51"/>
        <v>0</v>
      </c>
      <c r="P785" s="2">
        <v>-7.880080800304313</v>
      </c>
      <c r="Q785" s="2">
        <v>-3.6177875780596196</v>
      </c>
    </row>
    <row r="786" spans="1:17" ht="15">
      <c r="A786" s="2" t="s">
        <v>81</v>
      </c>
      <c r="B786" s="2">
        <v>1070.2493279241025</v>
      </c>
      <c r="C786" s="2">
        <v>1241.2166050984524</v>
      </c>
      <c r="D786" s="2">
        <v>610.33580545336008</v>
      </c>
      <c r="E786" s="2">
        <v>299.37465207884088</v>
      </c>
      <c r="F786" s="2">
        <v>21.355630272999406</v>
      </c>
      <c r="G786" s="2">
        <v>0.80805255371378737</v>
      </c>
      <c r="H786" s="2">
        <v>9945</v>
      </c>
      <c r="I786" s="2">
        <v>1195</v>
      </c>
      <c r="J786" s="2">
        <f>(IF(A786='Hybrid Calculator'!$B$6,0,1))^2+((B786-'Hybrid Calculator'!$B$7)/1500)^2+((C786-'Hybrid Calculator'!$B$8)/1300)^2+((D786-'Hybrid Calculator'!$B$9)/800)^2+((E786-'Hybrid Calculator'!$B$10)/350)^2+((F786-'Hybrid Calculator'!$B$11)/30)^2+(G786-'Hybrid Calculator'!$B$12)^2+((H786-'Hybrid Calculator'!$E$14)/IF(A786="Lightning",100,30000))^2+((I786-'Hybrid Calculator'!$E$17)/IF(A786="Lightning",100,30000))^2</f>
        <v>1.4671763673954645</v>
      </c>
      <c r="K786" s="2">
        <f t="shared" si="48"/>
        <v>1147</v>
      </c>
      <c r="L786" s="2">
        <f t="shared" si="49"/>
        <v>0</v>
      </c>
      <c r="M786" s="2">
        <f t="shared" si="50"/>
        <v>0</v>
      </c>
      <c r="N786" s="2">
        <v>2.6152668569432933</v>
      </c>
      <c r="O786" s="2">
        <f t="shared" si="51"/>
        <v>0</v>
      </c>
      <c r="P786" s="2">
        <v>31.690196184291835</v>
      </c>
      <c r="Q786" s="2">
        <v>-17.519900100902078</v>
      </c>
    </row>
    <row r="787" spans="1:17" ht="15">
      <c r="A787" s="2" t="s">
        <v>81</v>
      </c>
      <c r="B787" s="2">
        <v>1032.8006455325522</v>
      </c>
      <c r="C787" s="2">
        <v>729.63282496202737</v>
      </c>
      <c r="D787" s="2">
        <v>738.56252366676927</v>
      </c>
      <c r="E787" s="2">
        <v>160.70851140655577</v>
      </c>
      <c r="F787" s="2">
        <v>20.669007160235196</v>
      </c>
      <c r="G787" s="2">
        <v>0.80379918238613757</v>
      </c>
      <c r="H787" s="2">
        <v>13130</v>
      </c>
      <c r="I787" s="2">
        <v>1200</v>
      </c>
      <c r="J787" s="2">
        <f>(IF(A787='Hybrid Calculator'!$B$6,0,1))^2+((B787-'Hybrid Calculator'!$B$7)/1500)^2+((C787-'Hybrid Calculator'!$B$8)/1300)^2+((D787-'Hybrid Calculator'!$B$9)/800)^2+((E787-'Hybrid Calculator'!$B$10)/350)^2+((F787-'Hybrid Calculator'!$B$11)/30)^2+(G787-'Hybrid Calculator'!$B$12)^2+((H787-'Hybrid Calculator'!$E$14)/IF(A787="Lightning",100,30000))^2+((I787-'Hybrid Calculator'!$E$17)/IF(A787="Lightning",100,30000))^2</f>
        <v>1.3639185656764206</v>
      </c>
      <c r="K787" s="2">
        <f t="shared" si="48"/>
        <v>869</v>
      </c>
      <c r="L787" s="2">
        <f t="shared" si="49"/>
        <v>0</v>
      </c>
      <c r="M787" s="2">
        <f t="shared" si="50"/>
        <v>0</v>
      </c>
      <c r="N787" s="2">
        <v>-3.2408737191167063</v>
      </c>
      <c r="O787" s="2">
        <f t="shared" si="51"/>
        <v>0</v>
      </c>
      <c r="P787" s="2">
        <v>2.406458141557323</v>
      </c>
      <c r="Q787" s="2">
        <v>-2.4068928806923395</v>
      </c>
    </row>
    <row r="788" spans="1:17" ht="15">
      <c r="A788" s="2" t="s">
        <v>81</v>
      </c>
      <c r="B788" s="2">
        <v>1050.6331734126434</v>
      </c>
      <c r="C788" s="2">
        <v>1113.0011299275793</v>
      </c>
      <c r="D788" s="2">
        <v>540.29962234199047</v>
      </c>
      <c r="E788" s="2">
        <v>188.31624426646158</v>
      </c>
      <c r="F788" s="2">
        <v>21.684407015331089</v>
      </c>
      <c r="G788" s="2">
        <v>0.83066582985920834</v>
      </c>
      <c r="H788" s="2">
        <v>11610</v>
      </c>
      <c r="I788" s="2">
        <v>1195</v>
      </c>
      <c r="J788" s="2">
        <f>(IF(A788='Hybrid Calculator'!$B$6,0,1))^2+((B788-'Hybrid Calculator'!$B$7)/1500)^2+((C788-'Hybrid Calculator'!$B$8)/1300)^2+((D788-'Hybrid Calculator'!$B$9)/800)^2+((E788-'Hybrid Calculator'!$B$10)/350)^2+((F788-'Hybrid Calculator'!$B$11)/30)^2+(G788-'Hybrid Calculator'!$B$12)^2+((H788-'Hybrid Calculator'!$E$14)/IF(A788="Lightning",100,30000))^2+((I788-'Hybrid Calculator'!$E$17)/IF(A788="Lightning",100,30000))^2</f>
        <v>1.2791239417212366</v>
      </c>
      <c r="K788" s="2">
        <f t="shared" si="48"/>
        <v>708</v>
      </c>
      <c r="L788" s="2">
        <f t="shared" si="49"/>
        <v>0</v>
      </c>
      <c r="M788" s="2">
        <f t="shared" si="50"/>
        <v>0</v>
      </c>
      <c r="N788" s="2">
        <v>-1.8231960493187955</v>
      </c>
      <c r="O788" s="2">
        <f t="shared" si="51"/>
        <v>0</v>
      </c>
      <c r="P788" s="2">
        <v>55.963611067591046</v>
      </c>
      <c r="Q788" s="2">
        <v>-8.9373116307399414</v>
      </c>
    </row>
    <row r="789" spans="1:17" ht="15">
      <c r="A789" s="2" t="s">
        <v>81</v>
      </c>
      <c r="B789" s="2">
        <v>1025.0413063331507</v>
      </c>
      <c r="C789" s="2">
        <v>668.61566235311329</v>
      </c>
      <c r="D789" s="2">
        <v>650.81384507939219</v>
      </c>
      <c r="E789" s="2">
        <v>242.44247776921839</v>
      </c>
      <c r="F789" s="2">
        <v>18.940670527052134</v>
      </c>
      <c r="G789" s="2">
        <v>0.84982625363394626</v>
      </c>
      <c r="H789" s="2">
        <v>13690</v>
      </c>
      <c r="I789" s="2">
        <v>1200</v>
      </c>
      <c r="J789" s="2">
        <f>(IF(A789='Hybrid Calculator'!$B$6,0,1))^2+((B789-'Hybrid Calculator'!$B$7)/1500)^2+((C789-'Hybrid Calculator'!$B$8)/1300)^2+((D789-'Hybrid Calculator'!$B$9)/800)^2+((E789-'Hybrid Calculator'!$B$10)/350)^2+((F789-'Hybrid Calculator'!$B$11)/30)^2+(G789-'Hybrid Calculator'!$B$12)^2+((H789-'Hybrid Calculator'!$E$14)/IF(A789="Lightning",100,30000))^2+((I789-'Hybrid Calculator'!$E$17)/IF(A789="Lightning",100,30000))^2</f>
        <v>1.405224093728326</v>
      </c>
      <c r="K789" s="2">
        <f t="shared" si="48"/>
        <v>994</v>
      </c>
      <c r="L789" s="2">
        <f t="shared" si="49"/>
        <v>0</v>
      </c>
      <c r="M789" s="2">
        <f t="shared" si="50"/>
        <v>0</v>
      </c>
      <c r="N789" s="2">
        <v>-0.54199948989264612</v>
      </c>
      <c r="O789" s="2">
        <f t="shared" si="51"/>
        <v>0</v>
      </c>
      <c r="P789" s="2">
        <v>6.9901884524556408</v>
      </c>
      <c r="Q789" s="2">
        <v>5.9289456947783492</v>
      </c>
    </row>
    <row r="790" spans="1:17" ht="15">
      <c r="A790" s="2" t="s">
        <v>81</v>
      </c>
      <c r="B790" s="2">
        <v>972.32112870551646</v>
      </c>
      <c r="C790" s="2">
        <v>652.73123140214011</v>
      </c>
      <c r="D790" s="2">
        <v>661.62697207182646</v>
      </c>
      <c r="E790" s="2">
        <v>192.57190379546955</v>
      </c>
      <c r="F790" s="2">
        <v>13.032028950750828</v>
      </c>
      <c r="G790" s="2">
        <v>0.83830873066792266</v>
      </c>
      <c r="H790" s="2">
        <v>16555</v>
      </c>
      <c r="I790" s="2">
        <v>1200</v>
      </c>
      <c r="J790" s="2">
        <f>(IF(A790='Hybrid Calculator'!$B$6,0,1))^2+((B790-'Hybrid Calculator'!$B$7)/1500)^2+((C790-'Hybrid Calculator'!$B$8)/1300)^2+((D790-'Hybrid Calculator'!$B$9)/800)^2+((E790-'Hybrid Calculator'!$B$10)/350)^2+((F790-'Hybrid Calculator'!$B$11)/30)^2+(G790-'Hybrid Calculator'!$B$12)^2+((H790-'Hybrid Calculator'!$E$14)/IF(A790="Lightning",100,30000))^2+((I790-'Hybrid Calculator'!$E$17)/IF(A790="Lightning",100,30000))^2</f>
        <v>1.507487184867061</v>
      </c>
      <c r="K790" s="2">
        <f t="shared" si="48"/>
        <v>1224</v>
      </c>
      <c r="L790" s="2">
        <f t="shared" si="49"/>
        <v>0</v>
      </c>
      <c r="M790" s="2">
        <f t="shared" si="50"/>
        <v>0</v>
      </c>
      <c r="N790" s="2">
        <v>-1.7133200633640797</v>
      </c>
      <c r="O790" s="2">
        <f t="shared" si="51"/>
        <v>0</v>
      </c>
      <c r="P790" s="2">
        <v>-38.388020544075061</v>
      </c>
      <c r="Q790" s="2">
        <v>3.053846873991688</v>
      </c>
    </row>
    <row r="791" spans="1:17" ht="15">
      <c r="A791" s="2" t="s">
        <v>81</v>
      </c>
      <c r="B791" s="2">
        <v>1049.1433161427267</v>
      </c>
      <c r="C791" s="2">
        <v>659.42156163509935</v>
      </c>
      <c r="D791" s="2">
        <v>521.27682836726308</v>
      </c>
      <c r="E791" s="2">
        <v>240.72825482115149</v>
      </c>
      <c r="F791" s="2">
        <v>8.6488389954902232</v>
      </c>
      <c r="G791" s="2">
        <v>0.82793511198367931</v>
      </c>
      <c r="H791" s="2">
        <v>15045</v>
      </c>
      <c r="I791" s="2">
        <v>1200</v>
      </c>
      <c r="J791" s="2">
        <f>(IF(A791='Hybrid Calculator'!$B$6,0,1))^2+((B791-'Hybrid Calculator'!$B$7)/1500)^2+((C791-'Hybrid Calculator'!$B$8)/1300)^2+((D791-'Hybrid Calculator'!$B$9)/800)^2+((E791-'Hybrid Calculator'!$B$10)/350)^2+((F791-'Hybrid Calculator'!$B$11)/30)^2+(G791-'Hybrid Calculator'!$B$12)^2+((H791-'Hybrid Calculator'!$E$14)/IF(A791="Lightning",100,30000))^2+((I791-'Hybrid Calculator'!$E$17)/IF(A791="Lightning",100,30000))^2</f>
        <v>1.5114398587524787</v>
      </c>
      <c r="K791" s="2">
        <f t="shared" si="48"/>
        <v>1231</v>
      </c>
      <c r="L791" s="2">
        <f t="shared" si="49"/>
        <v>0</v>
      </c>
      <c r="M791" s="2">
        <f t="shared" si="50"/>
        <v>0</v>
      </c>
      <c r="N791" s="2">
        <v>0.86423366579427352</v>
      </c>
      <c r="O791" s="2">
        <f t="shared" si="51"/>
        <v>0</v>
      </c>
      <c r="P791" s="2">
        <v>-51.435456842526946</v>
      </c>
      <c r="Q791" s="2">
        <v>10.408821215421312</v>
      </c>
    </row>
    <row r="792" spans="1:17" ht="15">
      <c r="A792" s="2" t="s">
        <v>81</v>
      </c>
      <c r="B792" s="2">
        <v>1085.2314564632252</v>
      </c>
      <c r="C792" s="2">
        <v>710.41179859312251</v>
      </c>
      <c r="D792" s="2">
        <v>597.69070744514465</v>
      </c>
      <c r="E792" s="2">
        <v>248.27332408865914</v>
      </c>
      <c r="F792" s="2">
        <v>26.814018833450973</v>
      </c>
      <c r="G792" s="2">
        <v>0.80238441712921493</v>
      </c>
      <c r="H792" s="2">
        <v>13740</v>
      </c>
      <c r="I792" s="2">
        <v>1200</v>
      </c>
      <c r="J792" s="2">
        <f>(IF(A792='Hybrid Calculator'!$B$6,0,1))^2+((B792-'Hybrid Calculator'!$B$7)/1500)^2+((C792-'Hybrid Calculator'!$B$8)/1300)^2+((D792-'Hybrid Calculator'!$B$9)/800)^2+((E792-'Hybrid Calculator'!$B$10)/350)^2+((F792-'Hybrid Calculator'!$B$11)/30)^2+(G792-'Hybrid Calculator'!$B$12)^2+((H792-'Hybrid Calculator'!$E$14)/IF(A792="Lightning",100,30000))^2+((I792-'Hybrid Calculator'!$E$17)/IF(A792="Lightning",100,30000))^2</f>
        <v>1.4434746438593118</v>
      </c>
      <c r="K792" s="2">
        <f t="shared" si="48"/>
        <v>1093</v>
      </c>
      <c r="L792" s="2">
        <f t="shared" si="49"/>
        <v>0</v>
      </c>
      <c r="M792" s="2">
        <f t="shared" si="50"/>
        <v>0</v>
      </c>
      <c r="N792" s="2">
        <v>-2.254008095570299</v>
      </c>
      <c r="O792" s="2">
        <f t="shared" si="51"/>
        <v>0</v>
      </c>
      <c r="P792" s="2">
        <v>8.5366892168090089</v>
      </c>
      <c r="Q792" s="2">
        <v>-10.536638665666032</v>
      </c>
    </row>
    <row r="793" spans="1:17" ht="15">
      <c r="A793" s="2" t="s">
        <v>81</v>
      </c>
      <c r="B793" s="2">
        <v>977.34192394418642</v>
      </c>
      <c r="C793" s="2">
        <v>605.90803558006883</v>
      </c>
      <c r="D793" s="2">
        <v>581.61113625392318</v>
      </c>
      <c r="E793" s="2">
        <v>218.12515663448721</v>
      </c>
      <c r="F793" s="2">
        <v>15.512033147271723</v>
      </c>
      <c r="G793" s="2">
        <v>0.81598895684815942</v>
      </c>
      <c r="H793" s="2">
        <v>17750</v>
      </c>
      <c r="I793" s="2">
        <v>1200</v>
      </c>
      <c r="J793" s="2">
        <f>(IF(A793='Hybrid Calculator'!$B$6,0,1))^2+((B793-'Hybrid Calculator'!$B$7)/1500)^2+((C793-'Hybrid Calculator'!$B$8)/1300)^2+((D793-'Hybrid Calculator'!$B$9)/800)^2+((E793-'Hybrid Calculator'!$B$10)/350)^2+((F793-'Hybrid Calculator'!$B$11)/30)^2+(G793-'Hybrid Calculator'!$B$12)^2+((H793-'Hybrid Calculator'!$E$14)/IF(A793="Lightning",100,30000))^2+((I793-'Hybrid Calculator'!$E$17)/IF(A793="Lightning",100,30000))^2</f>
        <v>1.5321835429431645</v>
      </c>
      <c r="K793" s="2">
        <f t="shared" si="48"/>
        <v>1269</v>
      </c>
      <c r="L793" s="2">
        <f t="shared" si="49"/>
        <v>0</v>
      </c>
      <c r="M793" s="2">
        <f t="shared" si="50"/>
        <v>0</v>
      </c>
      <c r="N793" s="2">
        <v>1.4708780263717642</v>
      </c>
      <c r="O793" s="2">
        <f t="shared" si="51"/>
        <v>0</v>
      </c>
      <c r="P793" s="2">
        <v>-71.378930108652185</v>
      </c>
      <c r="Q793" s="2">
        <v>6.2084950729242792</v>
      </c>
    </row>
    <row r="794" spans="1:17" ht="15">
      <c r="A794" s="2" t="s">
        <v>81</v>
      </c>
      <c r="B794" s="2">
        <v>1030.1513573154807</v>
      </c>
      <c r="C794" s="2">
        <v>918.26490130042657</v>
      </c>
      <c r="D794" s="2">
        <v>527.4038614705205</v>
      </c>
      <c r="E794" s="2">
        <v>115.58837954187766</v>
      </c>
      <c r="F794" s="2">
        <v>12.969706466421485</v>
      </c>
      <c r="G794" s="2">
        <v>0.81497573153348646</v>
      </c>
      <c r="H794" s="2">
        <v>13700</v>
      </c>
      <c r="I794" s="2">
        <v>1200</v>
      </c>
      <c r="J794" s="2">
        <f>(IF(A794='Hybrid Calculator'!$B$6,0,1))^2+((B794-'Hybrid Calculator'!$B$7)/1500)^2+((C794-'Hybrid Calculator'!$B$8)/1300)^2+((D794-'Hybrid Calculator'!$B$9)/800)^2+((E794-'Hybrid Calculator'!$B$10)/350)^2+((F794-'Hybrid Calculator'!$B$11)/30)^2+(G794-'Hybrid Calculator'!$B$12)^2+((H794-'Hybrid Calculator'!$E$14)/IF(A794="Lightning",100,30000))^2+((I794-'Hybrid Calculator'!$E$17)/IF(A794="Lightning",100,30000))^2</f>
        <v>1.3254554235408511</v>
      </c>
      <c r="K794" s="2">
        <f t="shared" si="48"/>
        <v>769</v>
      </c>
      <c r="L794" s="2">
        <f t="shared" si="49"/>
        <v>0</v>
      </c>
      <c r="M794" s="2">
        <f t="shared" si="50"/>
        <v>0</v>
      </c>
      <c r="N794" s="2">
        <v>0.26895274516826362</v>
      </c>
      <c r="O794" s="2">
        <f t="shared" si="51"/>
        <v>0</v>
      </c>
      <c r="P794" s="2">
        <v>40.784330058769683</v>
      </c>
      <c r="Q794" s="2">
        <v>8.2386936002794755</v>
      </c>
    </row>
    <row r="795" spans="1:17" ht="15">
      <c r="A795" s="2" t="s">
        <v>81</v>
      </c>
      <c r="B795" s="2">
        <v>954.08158196369186</v>
      </c>
      <c r="C795" s="2">
        <v>1166.0560105228797</v>
      </c>
      <c r="D795" s="2">
        <v>678.83678684011102</v>
      </c>
      <c r="E795" s="2">
        <v>296.90139058046043</v>
      </c>
      <c r="F795" s="2">
        <v>16.463218201417476</v>
      </c>
      <c r="G795" s="2">
        <v>0.80740521308500324</v>
      </c>
      <c r="H795" s="2">
        <v>11650</v>
      </c>
      <c r="I795" s="2">
        <v>1195</v>
      </c>
      <c r="J795" s="2">
        <f>(IF(A795='Hybrid Calculator'!$B$6,0,1))^2+((B795-'Hybrid Calculator'!$B$7)/1500)^2+((C795-'Hybrid Calculator'!$B$8)/1300)^2+((D795-'Hybrid Calculator'!$B$9)/800)^2+((E795-'Hybrid Calculator'!$B$10)/350)^2+((F795-'Hybrid Calculator'!$B$11)/30)^2+(G795-'Hybrid Calculator'!$B$12)^2+((H795-'Hybrid Calculator'!$E$14)/IF(A795="Lightning",100,30000))^2+((I795-'Hybrid Calculator'!$E$17)/IF(A795="Lightning",100,30000))^2</f>
        <v>1.5396055712741052</v>
      </c>
      <c r="K795" s="2">
        <f t="shared" si="48"/>
        <v>1281</v>
      </c>
      <c r="L795" s="2">
        <f t="shared" si="49"/>
        <v>0</v>
      </c>
      <c r="M795" s="2">
        <f t="shared" si="50"/>
        <v>0</v>
      </c>
      <c r="N795" s="2">
        <v>3.3768299316461139</v>
      </c>
      <c r="O795" s="2">
        <f t="shared" si="51"/>
        <v>0</v>
      </c>
      <c r="P795" s="2">
        <v>41.553044751513426</v>
      </c>
      <c r="Q795" s="2">
        <v>-1.9729523265685884</v>
      </c>
    </row>
    <row r="796" spans="1:17" ht="15">
      <c r="A796" s="2" t="s">
        <v>81</v>
      </c>
      <c r="B796" s="2">
        <v>1065.0266236392781</v>
      </c>
      <c r="C796" s="2">
        <v>929.86791642615572</v>
      </c>
      <c r="D796" s="2">
        <v>563.55903334915638</v>
      </c>
      <c r="E796" s="2">
        <v>107.75793353794143</v>
      </c>
      <c r="F796" s="2">
        <v>15.333852694369853</v>
      </c>
      <c r="G796" s="2">
        <v>0.80383960894076156</v>
      </c>
      <c r="H796" s="2">
        <v>13355</v>
      </c>
      <c r="I796" s="2">
        <v>1200</v>
      </c>
      <c r="J796" s="2">
        <f>(IF(A796='Hybrid Calculator'!$B$6,0,1))^2+((B796-'Hybrid Calculator'!$B$7)/1500)^2+((C796-'Hybrid Calculator'!$B$8)/1300)^2+((D796-'Hybrid Calculator'!$B$9)/800)^2+((E796-'Hybrid Calculator'!$B$10)/350)^2+((F796-'Hybrid Calculator'!$B$11)/30)^2+(G796-'Hybrid Calculator'!$B$12)^2+((H796-'Hybrid Calculator'!$E$14)/IF(A796="Lightning",100,30000))^2+((I796-'Hybrid Calculator'!$E$17)/IF(A796="Lightning",100,30000))^2</f>
        <v>1.2918703024984888</v>
      </c>
      <c r="K796" s="2">
        <f t="shared" si="48"/>
        <v>718</v>
      </c>
      <c r="L796" s="2">
        <f t="shared" si="49"/>
        <v>0</v>
      </c>
      <c r="M796" s="2">
        <f t="shared" si="50"/>
        <v>0</v>
      </c>
      <c r="N796" s="2">
        <v>-0.31291929707148824</v>
      </c>
      <c r="O796" s="2">
        <f t="shared" si="51"/>
        <v>0</v>
      </c>
      <c r="P796" s="2">
        <v>37.825519901395637</v>
      </c>
      <c r="Q796" s="2">
        <v>4.8124033874323686</v>
      </c>
    </row>
    <row r="797" spans="1:17" ht="15">
      <c r="A797" s="2" t="s">
        <v>81</v>
      </c>
      <c r="B797" s="2">
        <v>1026.2793695903383</v>
      </c>
      <c r="C797" s="2">
        <v>1046.6693998780102</v>
      </c>
      <c r="D797" s="2">
        <v>618.47761673852801</v>
      </c>
      <c r="E797" s="2">
        <v>204.64305467437953</v>
      </c>
      <c r="F797" s="2">
        <v>11.484700101893395</v>
      </c>
      <c r="G797" s="2">
        <v>0.82064281661063432</v>
      </c>
      <c r="H797" s="2">
        <v>11440</v>
      </c>
      <c r="I797" s="2">
        <v>1195</v>
      </c>
      <c r="J797" s="2">
        <f>(IF(A797='Hybrid Calculator'!$B$6,0,1))^2+((B797-'Hybrid Calculator'!$B$7)/1500)^2+((C797-'Hybrid Calculator'!$B$8)/1300)^2+((D797-'Hybrid Calculator'!$B$9)/800)^2+((E797-'Hybrid Calculator'!$B$10)/350)^2+((F797-'Hybrid Calculator'!$B$11)/30)^2+(G797-'Hybrid Calculator'!$B$12)^2+((H797-'Hybrid Calculator'!$E$14)/IF(A797="Lightning",100,30000))^2+((I797-'Hybrid Calculator'!$E$17)/IF(A797="Lightning",100,30000))^2</f>
        <v>1.3402018636353206</v>
      </c>
      <c r="K797" s="2">
        <f t="shared" si="48"/>
        <v>801</v>
      </c>
      <c r="L797" s="2">
        <f t="shared" si="49"/>
        <v>0</v>
      </c>
      <c r="M797" s="2">
        <f t="shared" si="50"/>
        <v>0</v>
      </c>
      <c r="N797" s="2">
        <v>3.3094621690780173</v>
      </c>
      <c r="O797" s="2">
        <f t="shared" si="51"/>
        <v>0</v>
      </c>
      <c r="P797" s="2">
        <v>30.952326555183845</v>
      </c>
      <c r="Q797" s="2">
        <v>-3.7331345721686375</v>
      </c>
    </row>
    <row r="798" spans="1:17" ht="15">
      <c r="A798" s="2" t="s">
        <v>81</v>
      </c>
      <c r="B798" s="2">
        <v>981.80839172564447</v>
      </c>
      <c r="C798" s="2">
        <v>1027.4717385764234</v>
      </c>
      <c r="D798" s="2">
        <v>410.98344828933477</v>
      </c>
      <c r="E798" s="2">
        <v>185.43187131406739</v>
      </c>
      <c r="F798" s="2">
        <v>11.926211629062891</v>
      </c>
      <c r="G798" s="2">
        <v>0.81101705871755259</v>
      </c>
      <c r="H798" s="2">
        <v>13170</v>
      </c>
      <c r="I798" s="2">
        <v>1200</v>
      </c>
      <c r="J798" s="2">
        <f>(IF(A798='Hybrid Calculator'!$B$6,0,1))^2+((B798-'Hybrid Calculator'!$B$7)/1500)^2+((C798-'Hybrid Calculator'!$B$8)/1300)^2+((D798-'Hybrid Calculator'!$B$9)/800)^2+((E798-'Hybrid Calculator'!$B$10)/350)^2+((F798-'Hybrid Calculator'!$B$11)/30)^2+(G798-'Hybrid Calculator'!$B$12)^2+((H798-'Hybrid Calculator'!$E$14)/IF(A798="Lightning",100,30000))^2+((I798-'Hybrid Calculator'!$E$17)/IF(A798="Lightning",100,30000))^2</f>
        <v>1.3694550247088846</v>
      </c>
      <c r="K798" s="2">
        <f t="shared" si="48"/>
        <v>885</v>
      </c>
      <c r="L798" s="2">
        <f t="shared" si="49"/>
        <v>0</v>
      </c>
      <c r="M798" s="2">
        <f t="shared" si="50"/>
        <v>0</v>
      </c>
      <c r="N798" s="2">
        <v>0.74570684955477873</v>
      </c>
      <c r="O798" s="2">
        <f t="shared" si="51"/>
        <v>0</v>
      </c>
      <c r="P798" s="2">
        <v>-0.33436601450375747</v>
      </c>
      <c r="Q798" s="2">
        <v>10.077910995312322</v>
      </c>
    </row>
    <row r="799" spans="1:17" ht="15">
      <c r="A799" s="2" t="s">
        <v>81</v>
      </c>
      <c r="B799" s="2">
        <v>1062.0367510360666</v>
      </c>
      <c r="C799" s="2">
        <v>853.1901866896078</v>
      </c>
      <c r="D799" s="2">
        <v>595.5038164742291</v>
      </c>
      <c r="E799" s="2">
        <v>164.0899720788002</v>
      </c>
      <c r="F799" s="2">
        <v>22.94164831424132</v>
      </c>
      <c r="G799" s="2">
        <v>0.84203468434046957</v>
      </c>
      <c r="H799" s="2">
        <v>13260</v>
      </c>
      <c r="I799" s="2">
        <v>1200</v>
      </c>
      <c r="J799" s="2">
        <f>(IF(A799='Hybrid Calculator'!$B$6,0,1))^2+((B799-'Hybrid Calculator'!$B$7)/1500)^2+((C799-'Hybrid Calculator'!$B$8)/1300)^2+((D799-'Hybrid Calculator'!$B$9)/800)^2+((E799-'Hybrid Calculator'!$B$10)/350)^2+((F799-'Hybrid Calculator'!$B$11)/30)^2+(G799-'Hybrid Calculator'!$B$12)^2+((H799-'Hybrid Calculator'!$E$14)/IF(A799="Lightning",100,30000))^2+((I799-'Hybrid Calculator'!$E$17)/IF(A799="Lightning",100,30000))^2</f>
        <v>1.2922635910087346</v>
      </c>
      <c r="K799" s="2">
        <f t="shared" si="48"/>
        <v>719</v>
      </c>
      <c r="L799" s="2">
        <f t="shared" si="49"/>
        <v>0</v>
      </c>
      <c r="M799" s="2">
        <f t="shared" si="50"/>
        <v>0</v>
      </c>
      <c r="N799" s="2">
        <v>-2.2067263042852971</v>
      </c>
      <c r="O799" s="2">
        <f t="shared" si="51"/>
        <v>0</v>
      </c>
      <c r="P799" s="2">
        <v>-14.411132493773948</v>
      </c>
      <c r="Q799" s="2">
        <v>-5.242160263379219</v>
      </c>
    </row>
    <row r="800" spans="1:17" ht="15">
      <c r="A800" s="2" t="s">
        <v>81</v>
      </c>
      <c r="B800" s="2">
        <v>1086.8777554947883</v>
      </c>
      <c r="C800" s="2">
        <v>1169.2923530819826</v>
      </c>
      <c r="D800" s="2">
        <v>539.20490425080061</v>
      </c>
      <c r="E800" s="2">
        <v>322.29703313903883</v>
      </c>
      <c r="F800" s="2">
        <v>10.473042160272598</v>
      </c>
      <c r="G800" s="2">
        <v>0.80175784638384362</v>
      </c>
      <c r="H800" s="2">
        <v>10530</v>
      </c>
      <c r="I800" s="2">
        <v>1195</v>
      </c>
      <c r="J800" s="2">
        <f>(IF(A800='Hybrid Calculator'!$B$6,0,1))^2+((B800-'Hybrid Calculator'!$B$7)/1500)^2+((C800-'Hybrid Calculator'!$B$8)/1300)^2+((D800-'Hybrid Calculator'!$B$9)/800)^2+((E800-'Hybrid Calculator'!$B$10)/350)^2+((F800-'Hybrid Calculator'!$B$11)/30)^2+(G800-'Hybrid Calculator'!$B$12)^2+((H800-'Hybrid Calculator'!$E$14)/IF(A800="Lightning",100,30000))^2+((I800-'Hybrid Calculator'!$E$17)/IF(A800="Lightning",100,30000))^2</f>
        <v>1.5513530755123013</v>
      </c>
      <c r="K800" s="2">
        <f t="shared" si="48"/>
        <v>1304</v>
      </c>
      <c r="L800" s="2">
        <f t="shared" si="49"/>
        <v>0</v>
      </c>
      <c r="M800" s="2">
        <f t="shared" si="50"/>
        <v>0</v>
      </c>
      <c r="N800" s="2">
        <v>1.9116039740392807</v>
      </c>
      <c r="O800" s="2">
        <f t="shared" si="51"/>
        <v>0</v>
      </c>
      <c r="P800" s="2">
        <v>3.5125831539212413</v>
      </c>
      <c r="Q800" s="2">
        <v>-4.5758290592791582</v>
      </c>
    </row>
    <row r="801" spans="1:17" ht="15">
      <c r="A801" s="2" t="s">
        <v>81</v>
      </c>
      <c r="B801" s="2">
        <v>1097.0540561829694</v>
      </c>
      <c r="C801" s="2">
        <v>982.53866301383823</v>
      </c>
      <c r="D801" s="2">
        <v>424.76756395772099</v>
      </c>
      <c r="E801" s="2">
        <v>188.63994667306542</v>
      </c>
      <c r="F801" s="2">
        <v>27.030262014362961</v>
      </c>
      <c r="G801" s="2">
        <v>0.80295939562376595</v>
      </c>
      <c r="H801" s="2">
        <v>13400</v>
      </c>
      <c r="I801" s="2">
        <v>1200</v>
      </c>
      <c r="J801" s="2">
        <f>(IF(A801='Hybrid Calculator'!$B$6,0,1))^2+((B801-'Hybrid Calculator'!$B$7)/1500)^2+((C801-'Hybrid Calculator'!$B$8)/1300)^2+((D801-'Hybrid Calculator'!$B$9)/800)^2+((E801-'Hybrid Calculator'!$B$10)/350)^2+((F801-'Hybrid Calculator'!$B$11)/30)^2+(G801-'Hybrid Calculator'!$B$12)^2+((H801-'Hybrid Calculator'!$E$14)/IF(A801="Lightning",100,30000))^2+((I801-'Hybrid Calculator'!$E$17)/IF(A801="Lightning",100,30000))^2</f>
        <v>1.3599253006629288</v>
      </c>
      <c r="K801" s="2">
        <f t="shared" si="48"/>
        <v>856</v>
      </c>
      <c r="L801" s="2">
        <f t="shared" si="49"/>
        <v>0</v>
      </c>
      <c r="M801" s="2">
        <f t="shared" si="50"/>
        <v>0</v>
      </c>
      <c r="N801" s="2">
        <v>0.18372877933896348</v>
      </c>
      <c r="O801" s="2">
        <f t="shared" si="51"/>
        <v>0</v>
      </c>
      <c r="P801" s="2">
        <v>53.519964412031186</v>
      </c>
      <c r="Q801" s="2">
        <v>-12.190892428229972</v>
      </c>
    </row>
    <row r="802" spans="1:17" ht="15">
      <c r="A802" s="2" t="s">
        <v>81</v>
      </c>
      <c r="B802" s="2">
        <v>950.66540848929435</v>
      </c>
      <c r="C802" s="2">
        <v>706.06196728767827</v>
      </c>
      <c r="D802" s="2">
        <v>565.1038184762001</v>
      </c>
      <c r="E802" s="2">
        <v>191.17267882218584</v>
      </c>
      <c r="F802" s="2">
        <v>9.0765473050996661</v>
      </c>
      <c r="G802" s="2">
        <v>0.79348891589557757</v>
      </c>
      <c r="H802" s="2">
        <v>17060</v>
      </c>
      <c r="I802" s="2">
        <v>1200</v>
      </c>
      <c r="J802" s="2">
        <f>(IF(A802='Hybrid Calculator'!$B$6,0,1))^2+((B802-'Hybrid Calculator'!$B$7)/1500)^2+((C802-'Hybrid Calculator'!$B$8)/1300)^2+((D802-'Hybrid Calculator'!$B$9)/800)^2+((E802-'Hybrid Calculator'!$B$10)/350)^2+((F802-'Hybrid Calculator'!$B$11)/30)^2+(G802-'Hybrid Calculator'!$B$12)^2+((H802-'Hybrid Calculator'!$E$14)/IF(A802="Lightning",100,30000))^2+((I802-'Hybrid Calculator'!$E$17)/IF(A802="Lightning",100,30000))^2</f>
        <v>1.5551113929311522</v>
      </c>
      <c r="K802" s="2">
        <f t="shared" si="48"/>
        <v>1310</v>
      </c>
      <c r="L802" s="2">
        <f t="shared" si="49"/>
        <v>0</v>
      </c>
      <c r="M802" s="2">
        <f t="shared" si="50"/>
        <v>0</v>
      </c>
      <c r="N802" s="2">
        <v>3.2672999266756335</v>
      </c>
      <c r="O802" s="2">
        <f t="shared" si="51"/>
        <v>0</v>
      </c>
      <c r="P802" s="2">
        <v>-32.268789569354794</v>
      </c>
      <c r="Q802" s="2">
        <v>10.017622882433443</v>
      </c>
    </row>
    <row r="803" spans="1:17" ht="15">
      <c r="A803" s="2" t="s">
        <v>81</v>
      </c>
      <c r="B803" s="2">
        <v>1023.061500384938</v>
      </c>
      <c r="C803" s="2">
        <v>943.79988415166736</v>
      </c>
      <c r="D803" s="2">
        <v>599.60722243413329</v>
      </c>
      <c r="E803" s="2">
        <v>302.71835303399712</v>
      </c>
      <c r="F803" s="2">
        <v>14.652879839297384</v>
      </c>
      <c r="G803" s="2">
        <v>0.83457091507501902</v>
      </c>
      <c r="H803" s="2">
        <v>11585</v>
      </c>
      <c r="I803" s="2">
        <v>1195</v>
      </c>
      <c r="J803" s="2">
        <f>(IF(A803='Hybrid Calculator'!$B$6,0,1))^2+((B803-'Hybrid Calculator'!$B$7)/1500)^2+((C803-'Hybrid Calculator'!$B$8)/1300)^2+((D803-'Hybrid Calculator'!$B$9)/800)^2+((E803-'Hybrid Calculator'!$B$10)/350)^2+((F803-'Hybrid Calculator'!$B$11)/30)^2+(G803-'Hybrid Calculator'!$B$12)^2+((H803-'Hybrid Calculator'!$E$14)/IF(A803="Lightning",100,30000))^2+((I803-'Hybrid Calculator'!$E$17)/IF(A803="Lightning",100,30000))^2</f>
        <v>1.4489200473398596</v>
      </c>
      <c r="K803" s="2">
        <f t="shared" si="48"/>
        <v>1105</v>
      </c>
      <c r="L803" s="2">
        <f t="shared" si="49"/>
        <v>0</v>
      </c>
      <c r="M803" s="2">
        <f t="shared" si="50"/>
        <v>0</v>
      </c>
      <c r="N803" s="2">
        <v>4.3013336427426339</v>
      </c>
      <c r="O803" s="2">
        <f t="shared" si="51"/>
        <v>0</v>
      </c>
      <c r="P803" s="2">
        <v>-5.6665844843864761</v>
      </c>
      <c r="Q803" s="2">
        <v>2.3484047351726076</v>
      </c>
    </row>
    <row r="804" spans="1:17" ht="15">
      <c r="A804" s="2" t="s">
        <v>81</v>
      </c>
      <c r="B804" s="2">
        <v>1034.1749105602503</v>
      </c>
      <c r="C804" s="2">
        <v>723.11215162044391</v>
      </c>
      <c r="D804" s="2">
        <v>662.38166261464357</v>
      </c>
      <c r="E804" s="2">
        <v>318.36926795775071</v>
      </c>
      <c r="F804" s="2">
        <v>22.499264402315021</v>
      </c>
      <c r="G804" s="2">
        <v>0.85132241440238432</v>
      </c>
      <c r="H804" s="2">
        <v>12550</v>
      </c>
      <c r="I804" s="2">
        <v>1200</v>
      </c>
      <c r="J804" s="2">
        <f>(IF(A804='Hybrid Calculator'!$B$6,0,1))^2+((B804-'Hybrid Calculator'!$B$7)/1500)^2+((C804-'Hybrid Calculator'!$B$8)/1300)^2+((D804-'Hybrid Calculator'!$B$9)/800)^2+((E804-'Hybrid Calculator'!$B$10)/350)^2+((F804-'Hybrid Calculator'!$B$11)/30)^2+(G804-'Hybrid Calculator'!$B$12)^2+((H804-'Hybrid Calculator'!$E$14)/IF(A804="Lightning",100,30000))^2+((I804-'Hybrid Calculator'!$E$17)/IF(A804="Lightning",100,30000))^2</f>
        <v>1.5439244010291406</v>
      </c>
      <c r="K804" s="2">
        <f t="shared" si="48"/>
        <v>1289</v>
      </c>
      <c r="L804" s="2">
        <f t="shared" si="49"/>
        <v>0</v>
      </c>
      <c r="M804" s="2">
        <f t="shared" si="50"/>
        <v>0</v>
      </c>
      <c r="N804" s="2">
        <v>-9.6455554227645734E-3</v>
      </c>
      <c r="O804" s="2">
        <f t="shared" si="51"/>
        <v>0</v>
      </c>
      <c r="P804" s="2">
        <v>-1.8104986668090532</v>
      </c>
      <c r="Q804" s="2">
        <v>-7.5726877891897857</v>
      </c>
    </row>
    <row r="805" spans="1:17" ht="15">
      <c r="A805" s="2" t="s">
        <v>81</v>
      </c>
      <c r="B805" s="2">
        <v>982.60339299449697</v>
      </c>
      <c r="C805" s="2">
        <v>1025.2488976577297</v>
      </c>
      <c r="D805" s="2">
        <v>703.73410144820809</v>
      </c>
      <c r="E805" s="2">
        <v>173.52516732178628</v>
      </c>
      <c r="F805" s="2">
        <v>11.357489478308707</v>
      </c>
      <c r="G805" s="2">
        <v>0.83571438201237469</v>
      </c>
      <c r="H805" s="2">
        <v>13115</v>
      </c>
      <c r="I805" s="2">
        <v>1200</v>
      </c>
      <c r="J805" s="2">
        <f>(IF(A805='Hybrid Calculator'!$B$6,0,1))^2+((B805-'Hybrid Calculator'!$B$7)/1500)^2+((C805-'Hybrid Calculator'!$B$8)/1300)^2+((D805-'Hybrid Calculator'!$B$9)/800)^2+((E805-'Hybrid Calculator'!$B$10)/350)^2+((F805-'Hybrid Calculator'!$B$11)/30)^2+(G805-'Hybrid Calculator'!$B$12)^2+((H805-'Hybrid Calculator'!$E$14)/IF(A805="Lightning",100,30000))^2+((I805-'Hybrid Calculator'!$E$17)/IF(A805="Lightning",100,30000))^2</f>
        <v>1.422655706932533</v>
      </c>
      <c r="K805" s="2">
        <f t="shared" si="48"/>
        <v>1044</v>
      </c>
      <c r="L805" s="2">
        <f t="shared" si="49"/>
        <v>0</v>
      </c>
      <c r="M805" s="2">
        <f t="shared" si="50"/>
        <v>0</v>
      </c>
      <c r="N805" s="2">
        <v>1.5336708038712459</v>
      </c>
      <c r="O805" s="2">
        <f t="shared" si="51"/>
        <v>0</v>
      </c>
      <c r="P805" s="2">
        <v>38.333433052298005</v>
      </c>
      <c r="Q805" s="2">
        <v>-2.0446527635398297</v>
      </c>
    </row>
    <row r="806" spans="1:17" ht="15">
      <c r="A806" s="2" t="s">
        <v>81</v>
      </c>
      <c r="B806" s="2">
        <v>1098.8664393080398</v>
      </c>
      <c r="C806" s="2">
        <v>796.29744744161144</v>
      </c>
      <c r="D806" s="2">
        <v>449.78272654116154</v>
      </c>
      <c r="E806" s="2">
        <v>165.82694752840325</v>
      </c>
      <c r="F806" s="2">
        <v>21.978950359858572</v>
      </c>
      <c r="G806" s="2">
        <v>0.84581303315935663</v>
      </c>
      <c r="H806" s="2">
        <v>15145</v>
      </c>
      <c r="I806" s="2">
        <v>1200</v>
      </c>
      <c r="J806" s="2">
        <f>(IF(A806='Hybrid Calculator'!$B$6,0,1))^2+((B806-'Hybrid Calculator'!$B$7)/1500)^2+((C806-'Hybrid Calculator'!$B$8)/1300)^2+((D806-'Hybrid Calculator'!$B$9)/800)^2+((E806-'Hybrid Calculator'!$B$10)/350)^2+((F806-'Hybrid Calculator'!$B$11)/30)^2+(G806-'Hybrid Calculator'!$B$12)^2+((H806-'Hybrid Calculator'!$E$14)/IF(A806="Lightning",100,30000))^2+((I806-'Hybrid Calculator'!$E$17)/IF(A806="Lightning",100,30000))^2</f>
        <v>1.3237890027815786</v>
      </c>
      <c r="K806" s="2">
        <f t="shared" si="48"/>
        <v>765</v>
      </c>
      <c r="L806" s="2">
        <f t="shared" si="49"/>
        <v>0</v>
      </c>
      <c r="M806" s="2">
        <f t="shared" si="50"/>
        <v>0</v>
      </c>
      <c r="N806" s="2">
        <v>-2.5550336111951708</v>
      </c>
      <c r="O806" s="2">
        <f t="shared" si="51"/>
        <v>0</v>
      </c>
      <c r="P806" s="2">
        <v>-40.116629275599735</v>
      </c>
      <c r="Q806" s="2">
        <v>-0.21303280545021153</v>
      </c>
    </row>
    <row r="807" spans="1:17" ht="15">
      <c r="A807" s="2" t="s">
        <v>81</v>
      </c>
      <c r="B807" s="2">
        <v>974.4575273594819</v>
      </c>
      <c r="C807" s="2">
        <v>821.59902933053672</v>
      </c>
      <c r="D807" s="2">
        <v>643.99421168491244</v>
      </c>
      <c r="E807" s="2">
        <v>86.020011263899505</v>
      </c>
      <c r="F807" s="2">
        <v>9.6074111270718277</v>
      </c>
      <c r="G807" s="2">
        <v>0.81290840566158296</v>
      </c>
      <c r="H807" s="2">
        <v>16080</v>
      </c>
      <c r="I807" s="2">
        <v>1200</v>
      </c>
      <c r="J807" s="2">
        <f>(IF(A807='Hybrid Calculator'!$B$6,0,1))^2+((B807-'Hybrid Calculator'!$B$7)/1500)^2+((C807-'Hybrid Calculator'!$B$8)/1300)^2+((D807-'Hybrid Calculator'!$B$9)/800)^2+((E807-'Hybrid Calculator'!$B$10)/350)^2+((F807-'Hybrid Calculator'!$B$11)/30)^2+(G807-'Hybrid Calculator'!$B$12)^2+((H807-'Hybrid Calculator'!$E$14)/IF(A807="Lightning",100,30000))^2+((I807-'Hybrid Calculator'!$E$17)/IF(A807="Lightning",100,30000))^2</f>
        <v>1.5314686565660298</v>
      </c>
      <c r="K807" s="2">
        <f t="shared" si="48"/>
        <v>1266</v>
      </c>
      <c r="L807" s="2">
        <f t="shared" si="49"/>
        <v>0</v>
      </c>
      <c r="M807" s="2">
        <f t="shared" si="50"/>
        <v>0</v>
      </c>
      <c r="N807" s="2">
        <v>1.7049321854140373</v>
      </c>
      <c r="O807" s="2">
        <f t="shared" si="51"/>
        <v>0</v>
      </c>
      <c r="P807" s="2">
        <v>-8.4218383050047123</v>
      </c>
      <c r="Q807" s="2">
        <v>2.5368917503009243</v>
      </c>
    </row>
    <row r="808" spans="1:17" ht="15">
      <c r="A808" s="2" t="s">
        <v>81</v>
      </c>
      <c r="B808" s="2">
        <v>967.21280994825065</v>
      </c>
      <c r="C808" s="2">
        <v>1197.5203339825384</v>
      </c>
      <c r="D808" s="2">
        <v>711.45628746598959</v>
      </c>
      <c r="E808" s="2">
        <v>280.82594716222957</v>
      </c>
      <c r="F808" s="2">
        <v>18.447113897651434</v>
      </c>
      <c r="G808" s="2">
        <v>0.80735358435893434</v>
      </c>
      <c r="H808" s="2">
        <v>11395</v>
      </c>
      <c r="I808" s="2">
        <v>1195</v>
      </c>
      <c r="J808" s="2">
        <f>(IF(A808='Hybrid Calculator'!$B$6,0,1))^2+((B808-'Hybrid Calculator'!$B$7)/1500)^2+((C808-'Hybrid Calculator'!$B$8)/1300)^2+((D808-'Hybrid Calculator'!$B$9)/800)^2+((E808-'Hybrid Calculator'!$B$10)/350)^2+((F808-'Hybrid Calculator'!$B$11)/30)^2+(G808-'Hybrid Calculator'!$B$12)^2+((H808-'Hybrid Calculator'!$E$14)/IF(A808="Lightning",100,30000))^2+((I808-'Hybrid Calculator'!$E$17)/IF(A808="Lightning",100,30000))^2</f>
        <v>1.5188806950369507</v>
      </c>
      <c r="K808" s="2">
        <f t="shared" si="48"/>
        <v>1245</v>
      </c>
      <c r="L808" s="2">
        <f t="shared" si="49"/>
        <v>0</v>
      </c>
      <c r="M808" s="2">
        <f t="shared" si="50"/>
        <v>0</v>
      </c>
      <c r="N808" s="2">
        <v>4.9857673419148512</v>
      </c>
      <c r="O808" s="2">
        <f t="shared" si="51"/>
        <v>0</v>
      </c>
      <c r="P808" s="2">
        <v>8.6461232522042337</v>
      </c>
      <c r="Q808" s="2">
        <v>-7.4328563828461256</v>
      </c>
    </row>
    <row r="809" spans="1:17" ht="15">
      <c r="A809" s="2" t="s">
        <v>81</v>
      </c>
      <c r="B809" s="2">
        <v>1031.6682044533081</v>
      </c>
      <c r="C809" s="2">
        <v>1048.1873008189723</v>
      </c>
      <c r="D809" s="2">
        <v>639.4399275071919</v>
      </c>
      <c r="E809" s="2">
        <v>136.1006860807538</v>
      </c>
      <c r="F809" s="2">
        <v>12.709369274321944</v>
      </c>
      <c r="G809" s="2">
        <v>0.8029972058860585</v>
      </c>
      <c r="H809" s="2">
        <v>11725</v>
      </c>
      <c r="I809" s="2">
        <v>1195</v>
      </c>
      <c r="J809" s="2">
        <f>(IF(A809='Hybrid Calculator'!$B$6,0,1))^2+((B809-'Hybrid Calculator'!$B$7)/1500)^2+((C809-'Hybrid Calculator'!$B$8)/1300)^2+((D809-'Hybrid Calculator'!$B$9)/800)^2+((E809-'Hybrid Calculator'!$B$10)/350)^2+((F809-'Hybrid Calculator'!$B$11)/30)^2+(G809-'Hybrid Calculator'!$B$12)^2+((H809-'Hybrid Calculator'!$E$14)/IF(A809="Lightning",100,30000))^2+((I809-'Hybrid Calculator'!$E$17)/IF(A809="Lightning",100,30000))^2</f>
        <v>1.3144769307438913</v>
      </c>
      <c r="K809" s="2">
        <f t="shared" si="48"/>
        <v>753</v>
      </c>
      <c r="L809" s="2">
        <f t="shared" si="49"/>
        <v>0</v>
      </c>
      <c r="M809" s="2">
        <f t="shared" si="50"/>
        <v>0</v>
      </c>
      <c r="N809" s="2">
        <v>4.654350895545349</v>
      </c>
      <c r="O809" s="2">
        <f t="shared" si="51"/>
        <v>0</v>
      </c>
      <c r="P809" s="2">
        <v>38.154075553432449</v>
      </c>
      <c r="Q809" s="2">
        <v>-3.7025166367009206</v>
      </c>
    </row>
    <row r="810" spans="1:17" ht="15">
      <c r="A810" s="2" t="s">
        <v>81</v>
      </c>
      <c r="B810" s="2">
        <v>1057.3860407108441</v>
      </c>
      <c r="C810" s="2">
        <v>750.90579270618036</v>
      </c>
      <c r="D810" s="2">
        <v>730.33749982714653</v>
      </c>
      <c r="E810" s="2">
        <v>187.07935638492927</v>
      </c>
      <c r="F810" s="2">
        <v>14.57391834910959</v>
      </c>
      <c r="G810" s="2">
        <v>0.81747037695487967</v>
      </c>
      <c r="H810" s="2">
        <v>12820</v>
      </c>
      <c r="I810" s="2">
        <v>1200</v>
      </c>
      <c r="J810" s="2">
        <f>(IF(A810='Hybrid Calculator'!$B$6,0,1))^2+((B810-'Hybrid Calculator'!$B$7)/1500)^2+((C810-'Hybrid Calculator'!$B$8)/1300)^2+((D810-'Hybrid Calculator'!$B$9)/800)^2+((E810-'Hybrid Calculator'!$B$10)/350)^2+((F810-'Hybrid Calculator'!$B$11)/30)^2+(G810-'Hybrid Calculator'!$B$12)^2+((H810-'Hybrid Calculator'!$E$14)/IF(A810="Lightning",100,30000))^2+((I810-'Hybrid Calculator'!$E$17)/IF(A810="Lightning",100,30000))^2</f>
        <v>1.3598545233302912</v>
      </c>
      <c r="K810" s="2">
        <f t="shared" si="48"/>
        <v>855</v>
      </c>
      <c r="L810" s="2">
        <f t="shared" si="49"/>
        <v>0</v>
      </c>
      <c r="M810" s="2">
        <f t="shared" si="50"/>
        <v>0</v>
      </c>
      <c r="N810" s="2">
        <v>0.5554827786664589</v>
      </c>
      <c r="O810" s="2">
        <f t="shared" si="51"/>
        <v>0</v>
      </c>
      <c r="P810" s="2">
        <v>23.991663223445812</v>
      </c>
      <c r="Q810" s="2">
        <v>5.1587212735360026</v>
      </c>
    </row>
    <row r="811" spans="1:17" ht="15">
      <c r="A811" s="2" t="s">
        <v>81</v>
      </c>
      <c r="B811" s="2">
        <v>1039.2409922438674</v>
      </c>
      <c r="C811" s="2">
        <v>1024.7746501117945</v>
      </c>
      <c r="D811" s="2">
        <v>521.02862587198615</v>
      </c>
      <c r="E811" s="2">
        <v>278.69172305334359</v>
      </c>
      <c r="F811" s="2">
        <v>21.141247676219791</v>
      </c>
      <c r="G811" s="2">
        <v>0.79153285729698841</v>
      </c>
      <c r="H811" s="2">
        <v>11720</v>
      </c>
      <c r="I811" s="2">
        <v>1195</v>
      </c>
      <c r="J811" s="2">
        <f>(IF(A811='Hybrid Calculator'!$B$6,0,1))^2+((B811-'Hybrid Calculator'!$B$7)/1500)^2+((C811-'Hybrid Calculator'!$B$8)/1300)^2+((D811-'Hybrid Calculator'!$B$9)/800)^2+((E811-'Hybrid Calculator'!$B$10)/350)^2+((F811-'Hybrid Calculator'!$B$11)/30)^2+(G811-'Hybrid Calculator'!$B$12)^2+((H811-'Hybrid Calculator'!$E$14)/IF(A811="Lightning",100,30000))^2+((I811-'Hybrid Calculator'!$E$17)/IF(A811="Lightning",100,30000))^2</f>
        <v>1.3815034916204654</v>
      </c>
      <c r="K811" s="2">
        <f t="shared" si="48"/>
        <v>921</v>
      </c>
      <c r="L811" s="2">
        <f t="shared" si="49"/>
        <v>0</v>
      </c>
      <c r="M811" s="2">
        <f t="shared" si="50"/>
        <v>0</v>
      </c>
      <c r="N811" s="2">
        <v>3.2609209311424365</v>
      </c>
      <c r="O811" s="2">
        <f t="shared" si="51"/>
        <v>0</v>
      </c>
      <c r="P811" s="2">
        <v>25.654487415283711</v>
      </c>
      <c r="Q811" s="2">
        <v>-3.5315263975965081</v>
      </c>
    </row>
    <row r="812" spans="1:17" ht="15">
      <c r="A812" s="2" t="s">
        <v>81</v>
      </c>
      <c r="B812" s="2">
        <v>1090.1782627217472</v>
      </c>
      <c r="C812" s="2">
        <v>635.3908191784285</v>
      </c>
      <c r="D812" s="2">
        <v>477.22286526113749</v>
      </c>
      <c r="E812" s="2">
        <v>163.89124000677839</v>
      </c>
      <c r="F812" s="2">
        <v>19.025456288829446</v>
      </c>
      <c r="G812" s="2">
        <v>0.84352664302336056</v>
      </c>
      <c r="H812" s="2">
        <v>16755</v>
      </c>
      <c r="I812" s="2">
        <v>1200</v>
      </c>
      <c r="J812" s="2">
        <f>(IF(A812='Hybrid Calculator'!$B$6,0,1))^2+((B812-'Hybrid Calculator'!$B$7)/1500)^2+((C812-'Hybrid Calculator'!$B$8)/1300)^2+((D812-'Hybrid Calculator'!$B$9)/800)^2+((E812-'Hybrid Calculator'!$B$10)/350)^2+((F812-'Hybrid Calculator'!$B$11)/30)^2+(G812-'Hybrid Calculator'!$B$12)^2+((H812-'Hybrid Calculator'!$E$14)/IF(A812="Lightning",100,30000))^2+((I812-'Hybrid Calculator'!$E$17)/IF(A812="Lightning",100,30000))^2</f>
        <v>1.3919209645994413</v>
      </c>
      <c r="K812" s="2">
        <f t="shared" si="48"/>
        <v>953</v>
      </c>
      <c r="L812" s="2">
        <f t="shared" si="49"/>
        <v>0</v>
      </c>
      <c r="M812" s="2">
        <f t="shared" si="50"/>
        <v>0</v>
      </c>
      <c r="N812" s="2">
        <v>-1.9417646717917876</v>
      </c>
      <c r="O812" s="2">
        <f t="shared" si="51"/>
        <v>0</v>
      </c>
      <c r="P812" s="2">
        <v>-30.840950302439978</v>
      </c>
      <c r="Q812" s="2">
        <v>6.1810005548707068</v>
      </c>
    </row>
    <row r="813" spans="1:17" ht="15">
      <c r="A813" s="2" t="s">
        <v>81</v>
      </c>
      <c r="B813" s="2">
        <v>986.07439302140847</v>
      </c>
      <c r="C813" s="2">
        <v>1095.9680087165907</v>
      </c>
      <c r="D813" s="2">
        <v>721.17117876186967</v>
      </c>
      <c r="E813" s="2">
        <v>205.47236890532076</v>
      </c>
      <c r="F813" s="2">
        <v>25.940482758451253</v>
      </c>
      <c r="G813" s="2">
        <v>0.80672683878336104</v>
      </c>
      <c r="H813" s="2">
        <v>10575</v>
      </c>
      <c r="I813" s="2">
        <v>1195</v>
      </c>
      <c r="J813" s="2">
        <f>(IF(A813='Hybrid Calculator'!$B$6,0,1))^2+((B813-'Hybrid Calculator'!$B$7)/1500)^2+((C813-'Hybrid Calculator'!$B$8)/1300)^2+((D813-'Hybrid Calculator'!$B$9)/800)^2+((E813-'Hybrid Calculator'!$B$10)/350)^2+((F813-'Hybrid Calculator'!$B$11)/30)^2+(G813-'Hybrid Calculator'!$B$12)^2+((H813-'Hybrid Calculator'!$E$14)/IF(A813="Lightning",100,30000))^2+((I813-'Hybrid Calculator'!$E$17)/IF(A813="Lightning",100,30000))^2</f>
        <v>1.4092691037232135</v>
      </c>
      <c r="K813" s="2">
        <f t="shared" si="48"/>
        <v>1004</v>
      </c>
      <c r="L813" s="2">
        <f t="shared" si="49"/>
        <v>0</v>
      </c>
      <c r="M813" s="2">
        <f t="shared" si="50"/>
        <v>0</v>
      </c>
      <c r="N813" s="2">
        <v>0.90724878820392973</v>
      </c>
      <c r="O813" s="2">
        <f t="shared" si="51"/>
        <v>0</v>
      </c>
      <c r="P813" s="2">
        <v>39.694506744935552</v>
      </c>
      <c r="Q813" s="2">
        <v>-10.239992614093808</v>
      </c>
    </row>
    <row r="814" spans="1:17" ht="15">
      <c r="A814" s="2" t="s">
        <v>81</v>
      </c>
      <c r="B814" s="2">
        <v>956.04265201836824</v>
      </c>
      <c r="C814" s="2">
        <v>949.96463808929548</v>
      </c>
      <c r="D814" s="2">
        <v>499.32908732444048</v>
      </c>
      <c r="E814" s="2">
        <v>138.44118964159861</v>
      </c>
      <c r="F814" s="2">
        <v>19.458055412396789</v>
      </c>
      <c r="G814" s="2">
        <v>0.81188713916810229</v>
      </c>
      <c r="H814" s="2">
        <v>15715</v>
      </c>
      <c r="I814" s="2">
        <v>1200</v>
      </c>
      <c r="J814" s="2">
        <f>(IF(A814='Hybrid Calculator'!$B$6,0,1))^2+((B814-'Hybrid Calculator'!$B$7)/1500)^2+((C814-'Hybrid Calculator'!$B$8)/1300)^2+((D814-'Hybrid Calculator'!$B$9)/800)^2+((E814-'Hybrid Calculator'!$B$10)/350)^2+((F814-'Hybrid Calculator'!$B$11)/30)^2+(G814-'Hybrid Calculator'!$B$12)^2+((H814-'Hybrid Calculator'!$E$14)/IF(A814="Lightning",100,30000))^2+((I814-'Hybrid Calculator'!$E$17)/IF(A814="Lightning",100,30000))^2</f>
        <v>1.3800247349106058</v>
      </c>
      <c r="K814" s="2">
        <f t="shared" si="48"/>
        <v>917</v>
      </c>
      <c r="L814" s="2">
        <f t="shared" si="49"/>
        <v>0</v>
      </c>
      <c r="M814" s="2">
        <f t="shared" si="50"/>
        <v>0</v>
      </c>
      <c r="N814" s="2">
        <v>2.5114358550775364</v>
      </c>
      <c r="O814" s="2">
        <f t="shared" si="51"/>
        <v>0</v>
      </c>
      <c r="P814" s="2">
        <v>48.563768202433948</v>
      </c>
      <c r="Q814" s="2">
        <v>-3.6149989025640252</v>
      </c>
    </row>
    <row r="815" spans="1:17" ht="15">
      <c r="A815" s="2" t="s">
        <v>81</v>
      </c>
      <c r="B815" s="2">
        <v>1020.9511370048858</v>
      </c>
      <c r="C815" s="2">
        <v>715.84409850183874</v>
      </c>
      <c r="D815" s="2">
        <v>627.84797260537744</v>
      </c>
      <c r="E815" s="2">
        <v>199.3925968836993</v>
      </c>
      <c r="F815" s="2">
        <v>9.878345285076648</v>
      </c>
      <c r="G815" s="2">
        <v>0.8087063469411806</v>
      </c>
      <c r="H815" s="2">
        <v>13860</v>
      </c>
      <c r="I815" s="2">
        <v>1200</v>
      </c>
      <c r="J815" s="2">
        <f>(IF(A815='Hybrid Calculator'!$B$6,0,1))^2+((B815-'Hybrid Calculator'!$B$7)/1500)^2+((C815-'Hybrid Calculator'!$B$8)/1300)^2+((D815-'Hybrid Calculator'!$B$9)/800)^2+((E815-'Hybrid Calculator'!$B$10)/350)^2+((F815-'Hybrid Calculator'!$B$11)/30)^2+(G815-'Hybrid Calculator'!$B$12)^2+((H815-'Hybrid Calculator'!$E$14)/IF(A815="Lightning",100,30000))^2+((I815-'Hybrid Calculator'!$E$17)/IF(A815="Lightning",100,30000))^2</f>
        <v>1.4248226395544761</v>
      </c>
      <c r="K815" s="2">
        <f t="shared" si="48"/>
        <v>1047</v>
      </c>
      <c r="L815" s="2">
        <f t="shared" si="49"/>
        <v>0</v>
      </c>
      <c r="M815" s="2">
        <f t="shared" si="50"/>
        <v>0</v>
      </c>
      <c r="N815" s="2">
        <v>-1.0696857497871974</v>
      </c>
      <c r="O815" s="2">
        <f t="shared" si="51"/>
        <v>0</v>
      </c>
      <c r="P815" s="2">
        <v>11.472763617430701</v>
      </c>
      <c r="Q815" s="2">
        <v>2.9773144365000235</v>
      </c>
    </row>
    <row r="816" spans="1:17" ht="15">
      <c r="A816" s="2" t="s">
        <v>81</v>
      </c>
      <c r="B816" s="2">
        <v>1022.9887786088511</v>
      </c>
      <c r="C816" s="2">
        <v>955.87107340106741</v>
      </c>
      <c r="D816" s="2">
        <v>597.32128866016865</v>
      </c>
      <c r="E816" s="2">
        <v>181.52141022263095</v>
      </c>
      <c r="F816" s="2">
        <v>28.624367983080447</v>
      </c>
      <c r="G816" s="2">
        <v>0.83235169394640252</v>
      </c>
      <c r="H816" s="2">
        <v>12330</v>
      </c>
      <c r="I816" s="2">
        <v>1200</v>
      </c>
      <c r="J816" s="2">
        <f>(IF(A816='Hybrid Calculator'!$B$6,0,1))^2+((B816-'Hybrid Calculator'!$B$7)/1500)^2+((C816-'Hybrid Calculator'!$B$8)/1300)^2+((D816-'Hybrid Calculator'!$B$9)/800)^2+((E816-'Hybrid Calculator'!$B$10)/350)^2+((F816-'Hybrid Calculator'!$B$11)/30)^2+(G816-'Hybrid Calculator'!$B$12)^2+((H816-'Hybrid Calculator'!$E$14)/IF(A816="Lightning",100,30000))^2+((I816-'Hybrid Calculator'!$E$17)/IF(A816="Lightning",100,30000))^2</f>
        <v>1.384502896429926</v>
      </c>
      <c r="K816" s="2">
        <f t="shared" si="48"/>
        <v>934</v>
      </c>
      <c r="L816" s="2">
        <f t="shared" si="49"/>
        <v>0</v>
      </c>
      <c r="M816" s="2">
        <f t="shared" si="50"/>
        <v>0</v>
      </c>
      <c r="N816" s="2">
        <v>-2.9272504039494152</v>
      </c>
      <c r="O816" s="2">
        <f t="shared" si="51"/>
        <v>0</v>
      </c>
      <c r="P816" s="2">
        <v>-30.586778344717459</v>
      </c>
      <c r="Q816" s="2">
        <v>-14.303643243863689</v>
      </c>
    </row>
    <row r="817" spans="1:17" ht="15">
      <c r="A817" s="2" t="s">
        <v>81</v>
      </c>
      <c r="B817" s="2">
        <v>1094.884465856012</v>
      </c>
      <c r="C817" s="2">
        <v>604.06975499354303</v>
      </c>
      <c r="D817" s="2">
        <v>388.38449819013476</v>
      </c>
      <c r="E817" s="2">
        <v>112.04820200335234</v>
      </c>
      <c r="F817" s="2">
        <v>16.136182847898453</v>
      </c>
      <c r="G817" s="2">
        <v>0.83756307046860456</v>
      </c>
      <c r="H817" s="2">
        <v>19360</v>
      </c>
      <c r="I817" s="2">
        <v>1200</v>
      </c>
      <c r="J817" s="2">
        <f>(IF(A817='Hybrid Calculator'!$B$6,0,1))^2+((B817-'Hybrid Calculator'!$B$7)/1500)^2+((C817-'Hybrid Calculator'!$B$8)/1300)^2+((D817-'Hybrid Calculator'!$B$9)/800)^2+((E817-'Hybrid Calculator'!$B$10)/350)^2+((F817-'Hybrid Calculator'!$B$11)/30)^2+(G817-'Hybrid Calculator'!$B$12)^2+((H817-'Hybrid Calculator'!$E$14)/IF(A817="Lightning",100,30000))^2+((I817-'Hybrid Calculator'!$E$17)/IF(A817="Lightning",100,30000))^2</f>
        <v>1.5378031477401648</v>
      </c>
      <c r="K817" s="2">
        <f t="shared" si="48"/>
        <v>1279</v>
      </c>
      <c r="L817" s="2">
        <f t="shared" si="49"/>
        <v>0</v>
      </c>
      <c r="M817" s="2">
        <f t="shared" si="50"/>
        <v>0</v>
      </c>
      <c r="N817" s="2">
        <v>-4.1117211486489396</v>
      </c>
      <c r="O817" s="2">
        <f t="shared" si="51"/>
        <v>0</v>
      </c>
      <c r="P817" s="2">
        <v>-34.555840398438249</v>
      </c>
      <c r="Q817" s="2">
        <v>19.471392733016955</v>
      </c>
    </row>
    <row r="818" spans="1:17" ht="15">
      <c r="A818" s="2" t="s">
        <v>81</v>
      </c>
      <c r="B818" s="2">
        <v>1003.0143262352794</v>
      </c>
      <c r="C818" s="2">
        <v>846.07688923133537</v>
      </c>
      <c r="D818" s="2">
        <v>680.76428975909948</v>
      </c>
      <c r="E818" s="2">
        <v>282.39903387846425</v>
      </c>
      <c r="F818" s="2">
        <v>13.357751864939928</v>
      </c>
      <c r="G818" s="2">
        <v>0.85718881443375727</v>
      </c>
      <c r="H818" s="2">
        <v>13790</v>
      </c>
      <c r="I818" s="2">
        <v>1200</v>
      </c>
      <c r="J818" s="2">
        <f>(IF(A818='Hybrid Calculator'!$B$6,0,1))^2+((B818-'Hybrid Calculator'!$B$7)/1500)^2+((C818-'Hybrid Calculator'!$B$8)/1300)^2+((D818-'Hybrid Calculator'!$B$9)/800)^2+((E818-'Hybrid Calculator'!$B$10)/350)^2+((F818-'Hybrid Calculator'!$B$11)/30)^2+(G818-'Hybrid Calculator'!$B$12)^2+((H818-'Hybrid Calculator'!$E$14)/IF(A818="Lightning",100,30000))^2+((I818-'Hybrid Calculator'!$E$17)/IF(A818="Lightning",100,30000))^2</f>
        <v>1.5153678276553921</v>
      </c>
      <c r="K818" s="2">
        <f t="shared" si="48"/>
        <v>1239</v>
      </c>
      <c r="L818" s="2">
        <f t="shared" si="49"/>
        <v>0</v>
      </c>
      <c r="M818" s="2">
        <f t="shared" si="50"/>
        <v>0</v>
      </c>
      <c r="N818" s="2">
        <v>0.82405457772475188</v>
      </c>
      <c r="O818" s="2">
        <f t="shared" si="51"/>
        <v>0</v>
      </c>
      <c r="P818" s="2">
        <v>-28.076649948891827</v>
      </c>
      <c r="Q818" s="2">
        <v>4.2944178456692725</v>
      </c>
    </row>
    <row r="819" spans="1:17" ht="15">
      <c r="A819" s="2" t="s">
        <v>81</v>
      </c>
      <c r="B819" s="2">
        <v>1063.5309482109733</v>
      </c>
      <c r="C819" s="2">
        <v>760.25128706824034</v>
      </c>
      <c r="D819" s="2">
        <v>735.87781237438321</v>
      </c>
      <c r="E819" s="2">
        <v>180.04353709518909</v>
      </c>
      <c r="F819" s="2">
        <v>10.42883192980662</v>
      </c>
      <c r="G819" s="2">
        <v>0.8048319078935311</v>
      </c>
      <c r="H819" s="2">
        <v>12760</v>
      </c>
      <c r="I819" s="2">
        <v>1200</v>
      </c>
      <c r="J819" s="2">
        <f>(IF(A819='Hybrid Calculator'!$B$6,0,1))^2+((B819-'Hybrid Calculator'!$B$7)/1500)^2+((C819-'Hybrid Calculator'!$B$8)/1300)^2+((D819-'Hybrid Calculator'!$B$9)/800)^2+((E819-'Hybrid Calculator'!$B$10)/350)^2+((F819-'Hybrid Calculator'!$B$11)/30)^2+(G819-'Hybrid Calculator'!$B$12)^2+((H819-'Hybrid Calculator'!$E$14)/IF(A819="Lightning",100,30000))^2+((I819-'Hybrid Calculator'!$E$17)/IF(A819="Lightning",100,30000))^2</f>
        <v>1.4107799088458337</v>
      </c>
      <c r="K819" s="2">
        <f t="shared" si="48"/>
        <v>1010</v>
      </c>
      <c r="L819" s="2">
        <f t="shared" si="49"/>
        <v>0</v>
      </c>
      <c r="M819" s="2">
        <f t="shared" si="50"/>
        <v>0</v>
      </c>
      <c r="N819" s="2">
        <v>-0.42239197356354907</v>
      </c>
      <c r="O819" s="2">
        <f t="shared" si="51"/>
        <v>0</v>
      </c>
      <c r="P819" s="2">
        <v>19.94832496429126</v>
      </c>
      <c r="Q819" s="2">
        <v>10.107550560121581</v>
      </c>
    </row>
    <row r="820" spans="1:17" ht="15">
      <c r="A820" s="2" t="s">
        <v>81</v>
      </c>
      <c r="B820" s="2">
        <v>955.74362559709698</v>
      </c>
      <c r="C820" s="2">
        <v>789.83121636556461</v>
      </c>
      <c r="D820" s="2">
        <v>540.07081463932991</v>
      </c>
      <c r="E820" s="2">
        <v>153.2279498479329</v>
      </c>
      <c r="F820" s="2">
        <v>13.47691088821739</v>
      </c>
      <c r="G820" s="2">
        <v>0.82910360825946561</v>
      </c>
      <c r="H820" s="2">
        <v>16825</v>
      </c>
      <c r="I820" s="2">
        <v>1200</v>
      </c>
      <c r="J820" s="2">
        <f>(IF(A820='Hybrid Calculator'!$B$6,0,1))^2+((B820-'Hybrid Calculator'!$B$7)/1500)^2+((C820-'Hybrid Calculator'!$B$8)/1300)^2+((D820-'Hybrid Calculator'!$B$9)/800)^2+((E820-'Hybrid Calculator'!$B$10)/350)^2+((F820-'Hybrid Calculator'!$B$11)/30)^2+(G820-'Hybrid Calculator'!$B$12)^2+((H820-'Hybrid Calculator'!$E$14)/IF(A820="Lightning",100,30000))^2+((I820-'Hybrid Calculator'!$E$17)/IF(A820="Lightning",100,30000))^2</f>
        <v>1.4449226307989655</v>
      </c>
      <c r="K820" s="2">
        <f t="shared" si="48"/>
        <v>1098</v>
      </c>
      <c r="L820" s="2">
        <f t="shared" si="49"/>
        <v>0</v>
      </c>
      <c r="M820" s="2">
        <f t="shared" si="50"/>
        <v>0</v>
      </c>
      <c r="N820" s="2">
        <v>-1.5953506180313184</v>
      </c>
      <c r="O820" s="2">
        <f t="shared" si="51"/>
        <v>0</v>
      </c>
      <c r="P820" s="2">
        <v>24.813405848075945</v>
      </c>
      <c r="Q820" s="2">
        <v>5.4351264662643644</v>
      </c>
    </row>
    <row r="821" spans="1:17" ht="15">
      <c r="A821" s="2" t="s">
        <v>81</v>
      </c>
      <c r="B821" s="2">
        <v>1099.2839045706205</v>
      </c>
      <c r="C821" s="2">
        <v>1148.8843014463782</v>
      </c>
      <c r="D821" s="2">
        <v>500.9595169685781</v>
      </c>
      <c r="E821" s="2">
        <v>320.25581975001842</v>
      </c>
      <c r="F821" s="2">
        <v>19.210002550389618</v>
      </c>
      <c r="G821" s="2">
        <v>0.83037308125756681</v>
      </c>
      <c r="H821" s="2">
        <v>10855</v>
      </c>
      <c r="I821" s="2">
        <v>1195</v>
      </c>
      <c r="J821" s="2">
        <f>(IF(A821='Hybrid Calculator'!$B$6,0,1))^2+((B821-'Hybrid Calculator'!$B$7)/1500)^2+((C821-'Hybrid Calculator'!$B$8)/1300)^2+((D821-'Hybrid Calculator'!$B$9)/800)^2+((E821-'Hybrid Calculator'!$B$10)/350)^2+((F821-'Hybrid Calculator'!$B$11)/30)^2+(G821-'Hybrid Calculator'!$B$12)^2+((H821-'Hybrid Calculator'!$E$14)/IF(A821="Lightning",100,30000))^2+((I821-'Hybrid Calculator'!$E$17)/IF(A821="Lightning",100,30000))^2</f>
        <v>1.4685497269848844</v>
      </c>
      <c r="K821" s="2">
        <f t="shared" si="48"/>
        <v>1153</v>
      </c>
      <c r="L821" s="2">
        <f t="shared" si="49"/>
        <v>0</v>
      </c>
      <c r="M821" s="2">
        <f t="shared" si="50"/>
        <v>0</v>
      </c>
      <c r="N821" s="2">
        <v>3.8596529934217187</v>
      </c>
      <c r="O821" s="2">
        <f t="shared" si="51"/>
        <v>0</v>
      </c>
      <c r="P821" s="2">
        <v>25.256844775445188</v>
      </c>
      <c r="Q821" s="2">
        <v>-1.5473644763073935</v>
      </c>
    </row>
    <row r="822" spans="1:17" ht="15">
      <c r="A822" s="2" t="s">
        <v>81</v>
      </c>
      <c r="B822" s="2">
        <v>1030.621285084635</v>
      </c>
      <c r="C822" s="2">
        <v>729.85135813942179</v>
      </c>
      <c r="D822" s="2">
        <v>587.13920209556818</v>
      </c>
      <c r="E822" s="2">
        <v>220.49707172671333</v>
      </c>
      <c r="F822" s="2">
        <v>25.365295263007283</v>
      </c>
      <c r="G822" s="2">
        <v>0.81956275827484204</v>
      </c>
      <c r="H822" s="2">
        <v>13910</v>
      </c>
      <c r="I822" s="2">
        <v>1200</v>
      </c>
      <c r="J822" s="2">
        <f>(IF(A822='Hybrid Calculator'!$B$6,0,1))^2+((B822-'Hybrid Calculator'!$B$7)/1500)^2+((C822-'Hybrid Calculator'!$B$8)/1300)^2+((D822-'Hybrid Calculator'!$B$9)/800)^2+((E822-'Hybrid Calculator'!$B$10)/350)^2+((F822-'Hybrid Calculator'!$B$11)/30)^2+(G822-'Hybrid Calculator'!$B$12)^2+((H822-'Hybrid Calculator'!$E$14)/IF(A822="Lightning",100,30000))^2+((I822-'Hybrid Calculator'!$E$17)/IF(A822="Lightning",100,30000))^2</f>
        <v>1.3974502631402346</v>
      </c>
      <c r="K822" s="2">
        <f t="shared" si="48"/>
        <v>968</v>
      </c>
      <c r="L822" s="2">
        <f t="shared" si="49"/>
        <v>0</v>
      </c>
      <c r="M822" s="2">
        <f t="shared" si="50"/>
        <v>0</v>
      </c>
      <c r="N822" s="2">
        <v>1.0551810483595148</v>
      </c>
      <c r="O822" s="2">
        <f t="shared" si="51"/>
        <v>0</v>
      </c>
      <c r="P822" s="2">
        <v>26.480705029756336</v>
      </c>
      <c r="Q822" s="2">
        <v>-8.9767120620617789</v>
      </c>
    </row>
    <row r="823" spans="1:17" ht="15">
      <c r="A823" s="2" t="s">
        <v>81</v>
      </c>
      <c r="B823" s="2">
        <v>1020.5034117796458</v>
      </c>
      <c r="C823" s="2">
        <v>1149.9117472441867</v>
      </c>
      <c r="D823" s="2">
        <v>537.40049982443452</v>
      </c>
      <c r="E823" s="2">
        <v>149.62341000325978</v>
      </c>
      <c r="F823" s="2">
        <v>26.968634888995439</v>
      </c>
      <c r="G823" s="2">
        <v>0.82239759261254219</v>
      </c>
      <c r="H823" s="2">
        <v>11640</v>
      </c>
      <c r="I823" s="2">
        <v>1195</v>
      </c>
      <c r="J823" s="2">
        <f>(IF(A823='Hybrid Calculator'!$B$6,0,1))^2+((B823-'Hybrid Calculator'!$B$7)/1500)^2+((C823-'Hybrid Calculator'!$B$8)/1300)^2+((D823-'Hybrid Calculator'!$B$9)/800)^2+((E823-'Hybrid Calculator'!$B$10)/350)^2+((F823-'Hybrid Calculator'!$B$11)/30)^2+(G823-'Hybrid Calculator'!$B$12)^2+((H823-'Hybrid Calculator'!$E$14)/IF(A823="Lightning",100,30000))^2+((I823-'Hybrid Calculator'!$E$17)/IF(A823="Lightning",100,30000))^2</f>
        <v>1.3585953848167065</v>
      </c>
      <c r="K823" s="2">
        <f t="shared" si="48"/>
        <v>852</v>
      </c>
      <c r="L823" s="2">
        <f t="shared" si="49"/>
        <v>0</v>
      </c>
      <c r="M823" s="2">
        <f t="shared" si="50"/>
        <v>0</v>
      </c>
      <c r="N823" s="2">
        <v>-1.5652418054155532</v>
      </c>
      <c r="O823" s="2">
        <f t="shared" si="51"/>
        <v>0</v>
      </c>
      <c r="P823" s="2">
        <v>-11.519564241182707</v>
      </c>
      <c r="Q823" s="2">
        <v>-9.6625571531275227</v>
      </c>
    </row>
    <row r="824" spans="1:17" ht="15">
      <c r="A824" s="2" t="s">
        <v>81</v>
      </c>
      <c r="B824" s="2">
        <v>1024.717347486876</v>
      </c>
      <c r="C824" s="2">
        <v>722.35508185112849</v>
      </c>
      <c r="D824" s="2">
        <v>378.346111997962</v>
      </c>
      <c r="E824" s="2">
        <v>146.5628730203025</v>
      </c>
      <c r="F824" s="2">
        <v>19.020337876863778</v>
      </c>
      <c r="G824" s="2">
        <v>0.82531176117016003</v>
      </c>
      <c r="H824" s="2">
        <v>17145</v>
      </c>
      <c r="I824" s="2">
        <v>1200</v>
      </c>
      <c r="J824" s="2">
        <f>(IF(A824='Hybrid Calculator'!$B$6,0,1))^2+((B824-'Hybrid Calculator'!$B$7)/1500)^2+((C824-'Hybrid Calculator'!$B$8)/1300)^2+((D824-'Hybrid Calculator'!$B$9)/800)^2+((E824-'Hybrid Calculator'!$B$10)/350)^2+((F824-'Hybrid Calculator'!$B$11)/30)^2+(G824-'Hybrid Calculator'!$B$12)^2+((H824-'Hybrid Calculator'!$E$14)/IF(A824="Lightning",100,30000))^2+((I824-'Hybrid Calculator'!$E$17)/IF(A824="Lightning",100,30000))^2</f>
        <v>1.4306466337778392</v>
      </c>
      <c r="K824" s="2">
        <f t="shared" si="48"/>
        <v>1062</v>
      </c>
      <c r="L824" s="2">
        <f t="shared" si="49"/>
        <v>0</v>
      </c>
      <c r="M824" s="2">
        <f t="shared" si="50"/>
        <v>0</v>
      </c>
      <c r="N824" s="2">
        <v>-4.3144069704557637</v>
      </c>
      <c r="O824" s="2">
        <f t="shared" si="51"/>
        <v>0</v>
      </c>
      <c r="P824" s="2">
        <v>-23.143299221863344</v>
      </c>
      <c r="Q824" s="2">
        <v>13.127721768370293</v>
      </c>
    </row>
    <row r="825" spans="1:17" ht="15">
      <c r="A825" s="2" t="s">
        <v>81</v>
      </c>
      <c r="B825" s="2">
        <v>1024.7429837821983</v>
      </c>
      <c r="C825" s="2">
        <v>1035.4577912483364</v>
      </c>
      <c r="D825" s="2">
        <v>709.02881203219295</v>
      </c>
      <c r="E825" s="2">
        <v>159.85942193772644</v>
      </c>
      <c r="F825" s="2">
        <v>13.571974083315581</v>
      </c>
      <c r="G825" s="2">
        <v>0.79430985631421214</v>
      </c>
      <c r="H825" s="2">
        <v>11230</v>
      </c>
      <c r="I825" s="2">
        <v>1195</v>
      </c>
      <c r="J825" s="2">
        <f>(IF(A825='Hybrid Calculator'!$B$6,0,1))^2+((B825-'Hybrid Calculator'!$B$7)/1500)^2+((C825-'Hybrid Calculator'!$B$8)/1300)^2+((D825-'Hybrid Calculator'!$B$9)/800)^2+((E825-'Hybrid Calculator'!$B$10)/350)^2+((F825-'Hybrid Calculator'!$B$11)/30)^2+(G825-'Hybrid Calculator'!$B$12)^2+((H825-'Hybrid Calculator'!$E$14)/IF(A825="Lightning",100,30000))^2+((I825-'Hybrid Calculator'!$E$17)/IF(A825="Lightning",100,30000))^2</f>
        <v>1.3286635213098064</v>
      </c>
      <c r="K825" s="2">
        <f t="shared" si="48"/>
        <v>773</v>
      </c>
      <c r="L825" s="2">
        <f t="shared" si="49"/>
        <v>0</v>
      </c>
      <c r="M825" s="2">
        <f t="shared" si="50"/>
        <v>0</v>
      </c>
      <c r="N825" s="2">
        <v>-0.27980496554860679</v>
      </c>
      <c r="O825" s="2">
        <f t="shared" si="51"/>
        <v>0</v>
      </c>
      <c r="P825" s="2">
        <v>49.800076464651738</v>
      </c>
      <c r="Q825" s="2">
        <v>-5.0424459704571518</v>
      </c>
    </row>
    <row r="826" spans="1:17" ht="15">
      <c r="A826" s="2" t="s">
        <v>81</v>
      </c>
      <c r="B826" s="2">
        <v>997.37372477538884</v>
      </c>
      <c r="C826" s="2">
        <v>966.78178346483037</v>
      </c>
      <c r="D826" s="2">
        <v>689.42521791905165</v>
      </c>
      <c r="E826" s="2">
        <v>239.55243661301211</v>
      </c>
      <c r="F826" s="2">
        <v>14.914183512330055</v>
      </c>
      <c r="G826" s="2">
        <v>0.85524113459745421</v>
      </c>
      <c r="H826" s="2">
        <v>13160</v>
      </c>
      <c r="I826" s="2">
        <v>1200</v>
      </c>
      <c r="J826" s="2">
        <f>(IF(A826='Hybrid Calculator'!$B$6,0,1))^2+((B826-'Hybrid Calculator'!$B$7)/1500)^2+((C826-'Hybrid Calculator'!$B$8)/1300)^2+((D826-'Hybrid Calculator'!$B$9)/800)^2+((E826-'Hybrid Calculator'!$B$10)/350)^2+((F826-'Hybrid Calculator'!$B$11)/30)^2+(G826-'Hybrid Calculator'!$B$12)^2+((H826-'Hybrid Calculator'!$E$14)/IF(A826="Lightning",100,30000))^2+((I826-'Hybrid Calculator'!$E$17)/IF(A826="Lightning",100,30000))^2</f>
        <v>1.4189064553996209</v>
      </c>
      <c r="K826" s="2">
        <f t="shared" si="48"/>
        <v>1037</v>
      </c>
      <c r="L826" s="2">
        <f t="shared" si="49"/>
        <v>0</v>
      </c>
      <c r="M826" s="2">
        <f t="shared" si="50"/>
        <v>0</v>
      </c>
      <c r="N826" s="2">
        <v>2.5246564142612158</v>
      </c>
      <c r="O826" s="2">
        <f t="shared" si="51"/>
        <v>0</v>
      </c>
      <c r="P826" s="2">
        <v>24.653617741681501</v>
      </c>
      <c r="Q826" s="2">
        <v>-0.77130793934588837</v>
      </c>
    </row>
    <row r="827" spans="1:17" ht="15">
      <c r="A827" s="2" t="s">
        <v>81</v>
      </c>
      <c r="B827" s="2">
        <v>958.83767205523327</v>
      </c>
      <c r="C827" s="2">
        <v>866.44771003630012</v>
      </c>
      <c r="D827" s="2">
        <v>582.61067988350987</v>
      </c>
      <c r="E827" s="2">
        <v>321.47518025711179</v>
      </c>
      <c r="F827" s="2">
        <v>10.942232674453408</v>
      </c>
      <c r="G827" s="2">
        <v>0.80602344532962888</v>
      </c>
      <c r="H827" s="2">
        <v>14090</v>
      </c>
      <c r="I827" s="2">
        <v>1200</v>
      </c>
      <c r="J827" s="2">
        <f>(IF(A827='Hybrid Calculator'!$B$6,0,1))^2+((B827-'Hybrid Calculator'!$B$7)/1500)^2+((C827-'Hybrid Calculator'!$B$8)/1300)^2+((D827-'Hybrid Calculator'!$B$9)/800)^2+((E827-'Hybrid Calculator'!$B$10)/350)^2+((F827-'Hybrid Calculator'!$B$11)/30)^2+(G827-'Hybrid Calculator'!$B$12)^2+((H827-'Hybrid Calculator'!$E$14)/IF(A827="Lightning",100,30000))^2+((I827-'Hybrid Calculator'!$E$17)/IF(A827="Lightning",100,30000))^2</f>
        <v>1.6316548022147959</v>
      </c>
      <c r="K827" s="2">
        <f t="shared" si="48"/>
        <v>1368</v>
      </c>
      <c r="L827" s="2">
        <f t="shared" si="49"/>
        <v>0</v>
      </c>
      <c r="M827" s="2">
        <f t="shared" si="50"/>
        <v>0</v>
      </c>
      <c r="N827" s="2">
        <v>2.9483229865439853</v>
      </c>
      <c r="O827" s="2">
        <f t="shared" si="51"/>
        <v>0</v>
      </c>
      <c r="P827" s="2">
        <v>-36.282147141204405</v>
      </c>
      <c r="Q827" s="2">
        <v>3.8925713026515041</v>
      </c>
    </row>
    <row r="828" spans="1:17" ht="15">
      <c r="A828" s="2" t="s">
        <v>81</v>
      </c>
      <c r="B828" s="2">
        <v>986.77687491290271</v>
      </c>
      <c r="C828" s="2">
        <v>656.87324636382982</v>
      </c>
      <c r="D828" s="2">
        <v>623.13719149678946</v>
      </c>
      <c r="E828" s="2">
        <v>191.31461412878707</v>
      </c>
      <c r="F828" s="2">
        <v>9.5047747008502483</v>
      </c>
      <c r="G828" s="2">
        <v>0.84823499869788066</v>
      </c>
      <c r="H828" s="2">
        <v>16960</v>
      </c>
      <c r="I828" s="2">
        <v>1200</v>
      </c>
      <c r="J828" s="2">
        <f>(IF(A828='Hybrid Calculator'!$B$6,0,1))^2+((B828-'Hybrid Calculator'!$B$7)/1500)^2+((C828-'Hybrid Calculator'!$B$8)/1300)^2+((D828-'Hybrid Calculator'!$B$9)/800)^2+((E828-'Hybrid Calculator'!$B$10)/350)^2+((F828-'Hybrid Calculator'!$B$11)/30)^2+(G828-'Hybrid Calculator'!$B$12)^2+((H828-'Hybrid Calculator'!$E$14)/IF(A828="Lightning",100,30000))^2+((I828-'Hybrid Calculator'!$E$17)/IF(A828="Lightning",100,30000))^2</f>
        <v>1.5550022469862705</v>
      </c>
      <c r="K828" s="2">
        <f t="shared" si="48"/>
        <v>1309</v>
      </c>
      <c r="L828" s="2">
        <f t="shared" si="49"/>
        <v>0</v>
      </c>
      <c r="M828" s="2">
        <f t="shared" si="50"/>
        <v>0</v>
      </c>
      <c r="N828" s="2">
        <v>-1.5281189523796286</v>
      </c>
      <c r="O828" s="2">
        <f t="shared" si="51"/>
        <v>0</v>
      </c>
      <c r="P828" s="2">
        <v>-53.221521955552362</v>
      </c>
      <c r="Q828" s="2">
        <v>14.068265719369151</v>
      </c>
    </row>
    <row r="829" spans="1:17" ht="15">
      <c r="A829" s="2" t="s">
        <v>81</v>
      </c>
      <c r="B829" s="2">
        <v>964.50593323679641</v>
      </c>
      <c r="C829" s="2">
        <v>703.70175603311509</v>
      </c>
      <c r="D829" s="2">
        <v>546.24935584142804</v>
      </c>
      <c r="E829" s="2">
        <v>113.4119638428092</v>
      </c>
      <c r="F829" s="2">
        <v>17.515655177179724</v>
      </c>
      <c r="G829" s="2">
        <v>0.85085956062655899</v>
      </c>
      <c r="H829" s="2">
        <v>18300</v>
      </c>
      <c r="I829" s="2">
        <v>1200</v>
      </c>
      <c r="J829" s="2">
        <f>(IF(A829='Hybrid Calculator'!$B$6,0,1))^2+((B829-'Hybrid Calculator'!$B$7)/1500)^2+((C829-'Hybrid Calculator'!$B$8)/1300)^2+((D829-'Hybrid Calculator'!$B$9)/800)^2+((E829-'Hybrid Calculator'!$B$10)/350)^2+((F829-'Hybrid Calculator'!$B$11)/30)^2+(G829-'Hybrid Calculator'!$B$12)^2+((H829-'Hybrid Calculator'!$E$14)/IF(A829="Lightning",100,30000))^2+((I829-'Hybrid Calculator'!$E$17)/IF(A829="Lightning",100,30000))^2</f>
        <v>1.4948137793788536</v>
      </c>
      <c r="K829" s="2">
        <f t="shared" si="48"/>
        <v>1198</v>
      </c>
      <c r="L829" s="2">
        <f t="shared" si="49"/>
        <v>0</v>
      </c>
      <c r="M829" s="2">
        <f t="shared" si="50"/>
        <v>0</v>
      </c>
      <c r="N829" s="2">
        <v>-1.6204962299549095</v>
      </c>
      <c r="O829" s="2">
        <f t="shared" si="51"/>
        <v>0</v>
      </c>
      <c r="P829" s="2">
        <v>-53.696255734682836</v>
      </c>
      <c r="Q829" s="2">
        <v>6.0412824841338306</v>
      </c>
    </row>
    <row r="830" spans="1:17" ht="15">
      <c r="A830" s="2" t="s">
        <v>81</v>
      </c>
      <c r="B830" s="2">
        <v>977.91702116373926</v>
      </c>
      <c r="C830" s="2">
        <v>1098.6053324420936</v>
      </c>
      <c r="D830" s="2">
        <v>592.72452816367149</v>
      </c>
      <c r="E830" s="2">
        <v>292.29301526909694</v>
      </c>
      <c r="F830" s="2">
        <v>15.942685238085687</v>
      </c>
      <c r="G830" s="2">
        <v>0.83244360903045167</v>
      </c>
      <c r="H830" s="2">
        <v>12580</v>
      </c>
      <c r="I830" s="2">
        <v>1200</v>
      </c>
      <c r="J830" s="2">
        <f>(IF(A830='Hybrid Calculator'!$B$6,0,1))^2+((B830-'Hybrid Calculator'!$B$7)/1500)^2+((C830-'Hybrid Calculator'!$B$8)/1300)^2+((D830-'Hybrid Calculator'!$B$9)/800)^2+((E830-'Hybrid Calculator'!$B$10)/350)^2+((F830-'Hybrid Calculator'!$B$11)/30)^2+(G830-'Hybrid Calculator'!$B$12)^2+((H830-'Hybrid Calculator'!$E$14)/IF(A830="Lightning",100,30000))^2+((I830-'Hybrid Calculator'!$E$17)/IF(A830="Lightning",100,30000))^2</f>
        <v>1.4875267962556309</v>
      </c>
      <c r="K830" s="2">
        <f t="shared" si="48"/>
        <v>1189</v>
      </c>
      <c r="L830" s="2">
        <f t="shared" si="49"/>
        <v>0</v>
      </c>
      <c r="M830" s="2">
        <f t="shared" si="50"/>
        <v>0</v>
      </c>
      <c r="N830" s="2">
        <v>4.2960889891814702</v>
      </c>
      <c r="O830" s="2">
        <f t="shared" si="51"/>
        <v>0</v>
      </c>
      <c r="P830" s="2">
        <v>12.573292455130286</v>
      </c>
      <c r="Q830" s="2">
        <v>0.14269506675475441</v>
      </c>
    </row>
    <row r="831" spans="1:17" ht="15">
      <c r="A831" s="2" t="s">
        <v>81</v>
      </c>
      <c r="B831" s="2">
        <v>1041.6721476125531</v>
      </c>
      <c r="C831" s="2">
        <v>1106.6315837204456</v>
      </c>
      <c r="D831" s="2">
        <v>467.13012745603919</v>
      </c>
      <c r="E831" s="2">
        <v>154.89434548188001</v>
      </c>
      <c r="F831" s="2">
        <v>14.109859318938106</v>
      </c>
      <c r="G831" s="2">
        <v>0.83065202544443317</v>
      </c>
      <c r="H831" s="2">
        <v>12370</v>
      </c>
      <c r="I831" s="2">
        <v>1200</v>
      </c>
      <c r="J831" s="2">
        <f>(IF(A831='Hybrid Calculator'!$B$6,0,1))^2+((B831-'Hybrid Calculator'!$B$7)/1500)^2+((C831-'Hybrid Calculator'!$B$8)/1300)^2+((D831-'Hybrid Calculator'!$B$9)/800)^2+((E831-'Hybrid Calculator'!$B$10)/350)^2+((F831-'Hybrid Calculator'!$B$11)/30)^2+(G831-'Hybrid Calculator'!$B$12)^2+((H831-'Hybrid Calculator'!$E$14)/IF(A831="Lightning",100,30000))^2+((I831-'Hybrid Calculator'!$E$17)/IF(A831="Lightning",100,30000))^2</f>
        <v>1.2978701912603074</v>
      </c>
      <c r="K831" s="2">
        <f t="shared" si="48"/>
        <v>724</v>
      </c>
      <c r="L831" s="2">
        <f t="shared" si="49"/>
        <v>0</v>
      </c>
      <c r="M831" s="2">
        <f t="shared" si="50"/>
        <v>0</v>
      </c>
      <c r="N831" s="2">
        <v>3.8285059301570357</v>
      </c>
      <c r="O831" s="2">
        <f t="shared" si="51"/>
        <v>0</v>
      </c>
      <c r="P831" s="2">
        <v>14.498164659897611</v>
      </c>
      <c r="Q831" s="2">
        <v>-0.79016031533387832</v>
      </c>
    </row>
    <row r="832" spans="1:17" ht="15">
      <c r="A832" s="2" t="s">
        <v>81</v>
      </c>
      <c r="B832" s="2">
        <v>1084.6196315251291</v>
      </c>
      <c r="C832" s="2">
        <v>1152.8230994357727</v>
      </c>
      <c r="D832" s="2">
        <v>702.6353919878602</v>
      </c>
      <c r="E832" s="2">
        <v>155.17236383864656</v>
      </c>
      <c r="F832" s="2">
        <v>15.738325441256166</v>
      </c>
      <c r="G832" s="2">
        <v>0.83883646193193273</v>
      </c>
      <c r="H832" s="2">
        <v>10635</v>
      </c>
      <c r="I832" s="2">
        <v>1195</v>
      </c>
      <c r="J832" s="2">
        <f>(IF(A832='Hybrid Calculator'!$B$6,0,1))^2+((B832-'Hybrid Calculator'!$B$7)/1500)^2+((C832-'Hybrid Calculator'!$B$8)/1300)^2+((D832-'Hybrid Calculator'!$B$9)/800)^2+((E832-'Hybrid Calculator'!$B$10)/350)^2+((F832-'Hybrid Calculator'!$B$11)/30)^2+(G832-'Hybrid Calculator'!$B$12)^2+((H832-'Hybrid Calculator'!$E$14)/IF(A832="Lightning",100,30000))^2+((I832-'Hybrid Calculator'!$E$17)/IF(A832="Lightning",100,30000))^2</f>
        <v>1.3049720493268138</v>
      </c>
      <c r="K832" s="2">
        <f t="shared" si="48"/>
        <v>739</v>
      </c>
      <c r="L832" s="2">
        <f t="shared" si="49"/>
        <v>0</v>
      </c>
      <c r="M832" s="2">
        <f t="shared" si="50"/>
        <v>0</v>
      </c>
      <c r="N832" s="2">
        <v>5.6039258769514788</v>
      </c>
      <c r="O832" s="2">
        <f t="shared" si="51"/>
        <v>0</v>
      </c>
      <c r="P832" s="2">
        <v>16.102598587719058</v>
      </c>
      <c r="Q832" s="2">
        <v>-1.612731135702461</v>
      </c>
    </row>
    <row r="833" spans="1:17" ht="15">
      <c r="A833" s="2" t="s">
        <v>81</v>
      </c>
      <c r="B833" s="2">
        <v>1027.7653367840685</v>
      </c>
      <c r="C833" s="2">
        <v>741.35635599959642</v>
      </c>
      <c r="D833" s="2">
        <v>621.94732958450913</v>
      </c>
      <c r="E833" s="2">
        <v>94.502402627840638</v>
      </c>
      <c r="F833" s="2">
        <v>23.026096769142896</v>
      </c>
      <c r="G833" s="2">
        <v>0.79928503221366554</v>
      </c>
      <c r="H833" s="2">
        <v>14670</v>
      </c>
      <c r="I833" s="2">
        <v>1200</v>
      </c>
      <c r="J833" s="2">
        <f>(IF(A833='Hybrid Calculator'!$B$6,0,1))^2+((B833-'Hybrid Calculator'!$B$7)/1500)^2+((C833-'Hybrid Calculator'!$B$8)/1300)^2+((D833-'Hybrid Calculator'!$B$9)/800)^2+((E833-'Hybrid Calculator'!$B$10)/350)^2+((F833-'Hybrid Calculator'!$B$11)/30)^2+(G833-'Hybrid Calculator'!$B$12)^2+((H833-'Hybrid Calculator'!$E$14)/IF(A833="Lightning",100,30000))^2+((I833-'Hybrid Calculator'!$E$17)/IF(A833="Lightning",100,30000))^2</f>
        <v>1.3877130983213748</v>
      </c>
      <c r="K833" s="2">
        <f t="shared" si="48"/>
        <v>941</v>
      </c>
      <c r="L833" s="2">
        <f t="shared" si="49"/>
        <v>0</v>
      </c>
      <c r="M833" s="2">
        <f t="shared" si="50"/>
        <v>0</v>
      </c>
      <c r="N833" s="2">
        <v>-2.6001376235743976</v>
      </c>
      <c r="O833" s="2">
        <f t="shared" si="51"/>
        <v>0</v>
      </c>
      <c r="P833" s="2">
        <v>-36.311317745678934</v>
      </c>
      <c r="Q833" s="2">
        <v>-2.7297598256161564</v>
      </c>
    </row>
    <row r="834" spans="1:17" ht="15">
      <c r="A834" s="2" t="s">
        <v>81</v>
      </c>
      <c r="B834" s="2">
        <v>1036.3479181891307</v>
      </c>
      <c r="C834" s="2">
        <v>1050.3804878913797</v>
      </c>
      <c r="D834" s="2">
        <v>371.57020382583141</v>
      </c>
      <c r="E834" s="2">
        <v>228.71898823184893</v>
      </c>
      <c r="F834" s="2">
        <v>10.895517815835774</v>
      </c>
      <c r="G834" s="2">
        <v>0.84404604368610314</v>
      </c>
      <c r="H834" s="2">
        <v>12955</v>
      </c>
      <c r="I834" s="2">
        <v>1200</v>
      </c>
      <c r="J834" s="2">
        <f>(IF(A834='Hybrid Calculator'!$B$6,0,1))^2+((B834-'Hybrid Calculator'!$B$7)/1500)^2+((C834-'Hybrid Calculator'!$B$8)/1300)^2+((D834-'Hybrid Calculator'!$B$9)/800)^2+((E834-'Hybrid Calculator'!$B$10)/350)^2+((F834-'Hybrid Calculator'!$B$11)/30)^2+(G834-'Hybrid Calculator'!$B$12)^2+((H834-'Hybrid Calculator'!$E$14)/IF(A834="Lightning",100,30000))^2+((I834-'Hybrid Calculator'!$E$17)/IF(A834="Lightning",100,30000))^2</f>
        <v>1.4186587532161825</v>
      </c>
      <c r="K834" s="2">
        <f t="shared" ref="K834:K897" si="52">RANK(J834,$J$2:$J$1401,1)</f>
        <v>1036</v>
      </c>
      <c r="L834" s="2">
        <f t="shared" ref="L834:L897" si="53">IF(K834&lt;=7,1,0)</f>
        <v>0</v>
      </c>
      <c r="M834" s="2">
        <f t="shared" ref="M834:M897" si="54">IF(L834=1,1/(J834+0.000001),0)</f>
        <v>0</v>
      </c>
      <c r="N834" s="2">
        <v>0.2204344392399662</v>
      </c>
      <c r="O834" s="2">
        <f t="shared" ref="O834:O897" si="55">M834</f>
        <v>0</v>
      </c>
      <c r="P834" s="2">
        <v>2.8330217044226629</v>
      </c>
      <c r="Q834" s="2">
        <v>4.0617401300671645</v>
      </c>
    </row>
    <row r="835" spans="1:17" ht="15">
      <c r="A835" s="2" t="s">
        <v>81</v>
      </c>
      <c r="B835" s="2">
        <v>1044.0106417401694</v>
      </c>
      <c r="C835" s="2">
        <v>1028.3619225490838</v>
      </c>
      <c r="D835" s="2">
        <v>646.96935145184398</v>
      </c>
      <c r="E835" s="2">
        <v>207.59535608347505</v>
      </c>
      <c r="F835" s="2">
        <v>27.280961878132075</v>
      </c>
      <c r="G835" s="2">
        <v>0.80356629652902489</v>
      </c>
      <c r="H835" s="2">
        <v>11360</v>
      </c>
      <c r="I835" s="2">
        <v>1195</v>
      </c>
      <c r="J835" s="2">
        <f>(IF(A835='Hybrid Calculator'!$B$6,0,1))^2+((B835-'Hybrid Calculator'!$B$7)/1500)^2+((C835-'Hybrid Calculator'!$B$8)/1300)^2+((D835-'Hybrid Calculator'!$B$9)/800)^2+((E835-'Hybrid Calculator'!$B$10)/350)^2+((F835-'Hybrid Calculator'!$B$11)/30)^2+(G835-'Hybrid Calculator'!$B$12)^2+((H835-'Hybrid Calculator'!$E$14)/IF(A835="Lightning",100,30000))^2+((I835-'Hybrid Calculator'!$E$17)/IF(A835="Lightning",100,30000))^2</f>
        <v>1.3737586274742433</v>
      </c>
      <c r="K835" s="2">
        <f t="shared" si="52"/>
        <v>902</v>
      </c>
      <c r="L835" s="2">
        <f t="shared" si="53"/>
        <v>0</v>
      </c>
      <c r="M835" s="2">
        <f t="shared" si="54"/>
        <v>0</v>
      </c>
      <c r="N835" s="2">
        <v>-1.6288476806089136</v>
      </c>
      <c r="O835" s="2">
        <f t="shared" si="55"/>
        <v>0</v>
      </c>
      <c r="P835" s="2">
        <v>2.5732533907480502</v>
      </c>
      <c r="Q835" s="2">
        <v>-19.398591291616412</v>
      </c>
    </row>
    <row r="836" spans="1:17" ht="15">
      <c r="A836" s="2" t="s">
        <v>81</v>
      </c>
      <c r="B836" s="2">
        <v>956.4096859190613</v>
      </c>
      <c r="C836" s="2">
        <v>894.08002624986693</v>
      </c>
      <c r="D836" s="2">
        <v>601.77707206457853</v>
      </c>
      <c r="E836" s="2">
        <v>158.31592607544735</v>
      </c>
      <c r="F836" s="2">
        <v>19.076359994709492</v>
      </c>
      <c r="G836" s="2">
        <v>0.80054355660686272</v>
      </c>
      <c r="H836" s="2">
        <v>15085</v>
      </c>
      <c r="I836" s="2">
        <v>1200</v>
      </c>
      <c r="J836" s="2">
        <f>(IF(A836='Hybrid Calculator'!$B$6,0,1))^2+((B836-'Hybrid Calculator'!$B$7)/1500)^2+((C836-'Hybrid Calculator'!$B$8)/1300)^2+((D836-'Hybrid Calculator'!$B$9)/800)^2+((E836-'Hybrid Calculator'!$B$10)/350)^2+((F836-'Hybrid Calculator'!$B$11)/30)^2+(G836-'Hybrid Calculator'!$B$12)^2+((H836-'Hybrid Calculator'!$E$14)/IF(A836="Lightning",100,30000))^2+((I836-'Hybrid Calculator'!$E$17)/IF(A836="Lightning",100,30000))^2</f>
        <v>1.3689389651179464</v>
      </c>
      <c r="K836" s="2">
        <f t="shared" si="52"/>
        <v>881</v>
      </c>
      <c r="L836" s="2">
        <f t="shared" si="53"/>
        <v>0</v>
      </c>
      <c r="M836" s="2">
        <f t="shared" si="54"/>
        <v>0</v>
      </c>
      <c r="N836" s="2">
        <v>1.5298771600975556</v>
      </c>
      <c r="O836" s="2">
        <f t="shared" si="55"/>
        <v>0</v>
      </c>
      <c r="P836" s="2">
        <v>26.97367025391668</v>
      </c>
      <c r="Q836" s="2">
        <v>-1.0812913997909845</v>
      </c>
    </row>
    <row r="837" spans="1:17" ht="15">
      <c r="A837" s="2" t="s">
        <v>81</v>
      </c>
      <c r="B837" s="2">
        <v>1045.0661997427233</v>
      </c>
      <c r="C837" s="2">
        <v>606.66012687142938</v>
      </c>
      <c r="D837" s="2">
        <v>566.07682975009084</v>
      </c>
      <c r="E837" s="2">
        <v>192.16684943065047</v>
      </c>
      <c r="F837" s="2">
        <v>15.397768108639866</v>
      </c>
      <c r="G837" s="2">
        <v>0.79367350192274899</v>
      </c>
      <c r="H837" s="2">
        <v>15670</v>
      </c>
      <c r="I837" s="2">
        <v>1200</v>
      </c>
      <c r="J837" s="2">
        <f>(IF(A837='Hybrid Calculator'!$B$6,0,1))^2+((B837-'Hybrid Calculator'!$B$7)/1500)^2+((C837-'Hybrid Calculator'!$B$8)/1300)^2+((D837-'Hybrid Calculator'!$B$9)/800)^2+((E837-'Hybrid Calculator'!$B$10)/350)^2+((F837-'Hybrid Calculator'!$B$11)/30)^2+(G837-'Hybrid Calculator'!$B$12)^2+((H837-'Hybrid Calculator'!$E$14)/IF(A837="Lightning",100,30000))^2+((I837-'Hybrid Calculator'!$E$17)/IF(A837="Lightning",100,30000))^2</f>
        <v>1.4045442548972296</v>
      </c>
      <c r="K837" s="2">
        <f t="shared" si="52"/>
        <v>991</v>
      </c>
      <c r="L837" s="2">
        <f t="shared" si="53"/>
        <v>0</v>
      </c>
      <c r="M837" s="2">
        <f t="shared" si="54"/>
        <v>0</v>
      </c>
      <c r="N837" s="2">
        <v>-2.3588186332561634</v>
      </c>
      <c r="O837" s="2">
        <f t="shared" si="55"/>
        <v>0</v>
      </c>
      <c r="P837" s="2">
        <v>-22.761626811514361</v>
      </c>
      <c r="Q837" s="2">
        <v>8.7086299619559213</v>
      </c>
    </row>
    <row r="838" spans="1:17" ht="15">
      <c r="A838" s="2" t="s">
        <v>81</v>
      </c>
      <c r="B838" s="2">
        <v>1022.8371347533539</v>
      </c>
      <c r="C838" s="2">
        <v>1107.5872633722611</v>
      </c>
      <c r="D838" s="2">
        <v>591.85162782669067</v>
      </c>
      <c r="E838" s="2">
        <v>189.52213214477524</v>
      </c>
      <c r="F838" s="2">
        <v>19.970224219374359</v>
      </c>
      <c r="G838" s="2">
        <v>0.79847079388564457</v>
      </c>
      <c r="H838" s="2">
        <v>11320</v>
      </c>
      <c r="I838" s="2">
        <v>1195</v>
      </c>
      <c r="J838" s="2">
        <f>(IF(A838='Hybrid Calculator'!$B$6,0,1))^2+((B838-'Hybrid Calculator'!$B$7)/1500)^2+((C838-'Hybrid Calculator'!$B$8)/1300)^2+((D838-'Hybrid Calculator'!$B$9)/800)^2+((E838-'Hybrid Calculator'!$B$10)/350)^2+((F838-'Hybrid Calculator'!$B$11)/30)^2+(G838-'Hybrid Calculator'!$B$12)^2+((H838-'Hybrid Calculator'!$E$14)/IF(A838="Lightning",100,30000))^2+((I838-'Hybrid Calculator'!$E$17)/IF(A838="Lightning",100,30000))^2</f>
        <v>1.2825883457558025</v>
      </c>
      <c r="K838" s="2">
        <f t="shared" si="52"/>
        <v>712</v>
      </c>
      <c r="L838" s="2">
        <f t="shared" si="53"/>
        <v>0</v>
      </c>
      <c r="M838" s="2">
        <f t="shared" si="54"/>
        <v>0</v>
      </c>
      <c r="N838" s="2">
        <v>2.0395924789179389</v>
      </c>
      <c r="O838" s="2">
        <f t="shared" si="55"/>
        <v>0</v>
      </c>
      <c r="P838" s="2">
        <v>46.866335397305647</v>
      </c>
      <c r="Q838" s="2">
        <v>-10.120223151261257</v>
      </c>
    </row>
    <row r="839" spans="1:17" ht="15">
      <c r="A839" s="2" t="s">
        <v>81</v>
      </c>
      <c r="B839" s="2">
        <v>1031.4292074064724</v>
      </c>
      <c r="C839" s="2">
        <v>976.42996916547418</v>
      </c>
      <c r="D839" s="2">
        <v>748.68882661685348</v>
      </c>
      <c r="E839" s="2">
        <v>88.469754480756819</v>
      </c>
      <c r="F839" s="2">
        <v>23.584278596099466</v>
      </c>
      <c r="G839" s="2">
        <v>0.81075712502934039</v>
      </c>
      <c r="H839" s="2">
        <v>11790</v>
      </c>
      <c r="I839" s="2">
        <v>1195</v>
      </c>
      <c r="J839" s="2">
        <f>(IF(A839='Hybrid Calculator'!$B$6,0,1))^2+((B839-'Hybrid Calculator'!$B$7)/1500)^2+((C839-'Hybrid Calculator'!$B$8)/1300)^2+((D839-'Hybrid Calculator'!$B$9)/800)^2+((E839-'Hybrid Calculator'!$B$10)/350)^2+((F839-'Hybrid Calculator'!$B$11)/30)^2+(G839-'Hybrid Calculator'!$B$12)^2+((H839-'Hybrid Calculator'!$E$14)/IF(A839="Lightning",100,30000))^2+((I839-'Hybrid Calculator'!$E$17)/IF(A839="Lightning",100,30000))^2</f>
        <v>1.3893126235375513</v>
      </c>
      <c r="K839" s="2">
        <f t="shared" si="52"/>
        <v>948</v>
      </c>
      <c r="L839" s="2">
        <f t="shared" si="53"/>
        <v>0</v>
      </c>
      <c r="M839" s="2">
        <f t="shared" si="54"/>
        <v>0</v>
      </c>
      <c r="N839" s="2">
        <v>-0.36287897352715959</v>
      </c>
      <c r="O839" s="2">
        <f t="shared" si="55"/>
        <v>0</v>
      </c>
      <c r="P839" s="2">
        <v>-18.878806548684679</v>
      </c>
      <c r="Q839" s="2">
        <v>-6.3453521063047447</v>
      </c>
    </row>
    <row r="840" spans="1:17" ht="15">
      <c r="A840" s="2" t="s">
        <v>81</v>
      </c>
      <c r="B840" s="2">
        <v>958.01956187933683</v>
      </c>
      <c r="C840" s="2">
        <v>1235.4720626375638</v>
      </c>
      <c r="D840" s="2">
        <v>742.92675275355577</v>
      </c>
      <c r="E840" s="2">
        <v>140.97143847728148</v>
      </c>
      <c r="F840" s="2">
        <v>11.753058334812522</v>
      </c>
      <c r="G840" s="2">
        <v>0.82378533841343604</v>
      </c>
      <c r="H840" s="2">
        <v>11770</v>
      </c>
      <c r="I840" s="2">
        <v>1195</v>
      </c>
      <c r="J840" s="2">
        <f>(IF(A840='Hybrid Calculator'!$B$6,0,1))^2+((B840-'Hybrid Calculator'!$B$7)/1500)^2+((C840-'Hybrid Calculator'!$B$8)/1300)^2+((D840-'Hybrid Calculator'!$B$9)/800)^2+((E840-'Hybrid Calculator'!$B$10)/350)^2+((F840-'Hybrid Calculator'!$B$11)/30)^2+(G840-'Hybrid Calculator'!$B$12)^2+((H840-'Hybrid Calculator'!$E$14)/IF(A840="Lightning",100,30000))^2+((I840-'Hybrid Calculator'!$E$17)/IF(A840="Lightning",100,30000))^2</f>
        <v>1.4824514238074309</v>
      </c>
      <c r="K840" s="2">
        <f t="shared" si="52"/>
        <v>1180</v>
      </c>
      <c r="L840" s="2">
        <f t="shared" si="53"/>
        <v>0</v>
      </c>
      <c r="M840" s="2">
        <f t="shared" si="54"/>
        <v>0</v>
      </c>
      <c r="N840" s="2">
        <v>3.0934907686456938</v>
      </c>
      <c r="O840" s="2">
        <f t="shared" si="55"/>
        <v>0</v>
      </c>
      <c r="P840" s="2">
        <v>-1.80283824444723</v>
      </c>
      <c r="Q840" s="2">
        <v>-7.7629798313711262</v>
      </c>
    </row>
    <row r="841" spans="1:17" ht="15">
      <c r="A841" s="2" t="s">
        <v>81</v>
      </c>
      <c r="B841" s="2">
        <v>1005.0388526753522</v>
      </c>
      <c r="C841" s="2">
        <v>737.19175870064646</v>
      </c>
      <c r="D841" s="2">
        <v>728.82792362943292</v>
      </c>
      <c r="E841" s="2">
        <v>232.5040443520993</v>
      </c>
      <c r="F841" s="2">
        <v>17.102911074180156</v>
      </c>
      <c r="G841" s="2">
        <v>0.82897487085778265</v>
      </c>
      <c r="H841" s="2">
        <v>12590</v>
      </c>
      <c r="I841" s="2">
        <v>1200</v>
      </c>
      <c r="J841" s="2">
        <f>(IF(A841='Hybrid Calculator'!$B$6,0,1))^2+((B841-'Hybrid Calculator'!$B$7)/1500)^2+((C841-'Hybrid Calculator'!$B$8)/1300)^2+((D841-'Hybrid Calculator'!$B$9)/800)^2+((E841-'Hybrid Calculator'!$B$10)/350)^2+((F841-'Hybrid Calculator'!$B$11)/30)^2+(G841-'Hybrid Calculator'!$B$12)^2+((H841-'Hybrid Calculator'!$E$14)/IF(A841="Lightning",100,30000))^2+((I841-'Hybrid Calculator'!$E$17)/IF(A841="Lightning",100,30000))^2</f>
        <v>1.4018054405954392</v>
      </c>
      <c r="K841" s="2">
        <f t="shared" si="52"/>
        <v>979</v>
      </c>
      <c r="L841" s="2">
        <f t="shared" si="53"/>
        <v>0</v>
      </c>
      <c r="M841" s="2">
        <f t="shared" si="54"/>
        <v>0</v>
      </c>
      <c r="N841" s="2">
        <v>3.3995140536441113</v>
      </c>
      <c r="O841" s="2">
        <f t="shared" si="55"/>
        <v>0</v>
      </c>
      <c r="P841" s="2">
        <v>-59.757058108637466</v>
      </c>
      <c r="Q841" s="2">
        <v>4.7424730370431689</v>
      </c>
    </row>
    <row r="842" spans="1:17" ht="15">
      <c r="A842" s="2" t="s">
        <v>81</v>
      </c>
      <c r="B842" s="2">
        <v>1079.4613574631512</v>
      </c>
      <c r="C842" s="2">
        <v>822.91337338974699</v>
      </c>
      <c r="D842" s="2">
        <v>556.94507751613855</v>
      </c>
      <c r="E842" s="2">
        <v>173.48733728984371</v>
      </c>
      <c r="F842" s="2">
        <v>14.082504587247968</v>
      </c>
      <c r="G842" s="2">
        <v>0.85408685921924188</v>
      </c>
      <c r="H842" s="2">
        <v>13770</v>
      </c>
      <c r="I842" s="2">
        <v>1200</v>
      </c>
      <c r="J842" s="2">
        <f>(IF(A842='Hybrid Calculator'!$B$6,0,1))^2+((B842-'Hybrid Calculator'!$B$7)/1500)^2+((C842-'Hybrid Calculator'!$B$8)/1300)^2+((D842-'Hybrid Calculator'!$B$9)/800)^2+((E842-'Hybrid Calculator'!$B$10)/350)^2+((F842-'Hybrid Calculator'!$B$11)/30)^2+(G842-'Hybrid Calculator'!$B$12)^2+((H842-'Hybrid Calculator'!$E$14)/IF(A842="Lightning",100,30000))^2+((I842-'Hybrid Calculator'!$E$17)/IF(A842="Lightning",100,30000))^2</f>
        <v>1.2966017733681188</v>
      </c>
      <c r="K842" s="2">
        <f t="shared" si="52"/>
        <v>723</v>
      </c>
      <c r="L842" s="2">
        <f t="shared" si="53"/>
        <v>0</v>
      </c>
      <c r="M842" s="2">
        <f t="shared" si="54"/>
        <v>0</v>
      </c>
      <c r="N842" s="2">
        <v>-1.6797551805791784</v>
      </c>
      <c r="O842" s="2">
        <f t="shared" si="55"/>
        <v>0</v>
      </c>
      <c r="P842" s="2">
        <v>-27.80633666445874</v>
      </c>
      <c r="Q842" s="2">
        <v>12.212367831654774</v>
      </c>
    </row>
    <row r="843" spans="1:17" ht="15">
      <c r="A843" s="2" t="s">
        <v>81</v>
      </c>
      <c r="B843" s="2">
        <v>1022.6390681811608</v>
      </c>
      <c r="C843" s="2">
        <v>1164.955918234773</v>
      </c>
      <c r="D843" s="2">
        <v>628.91933405771852</v>
      </c>
      <c r="E843" s="2">
        <v>266.84350815601647</v>
      </c>
      <c r="F843" s="2">
        <v>29.949874014128</v>
      </c>
      <c r="G843" s="2">
        <v>0.83848092394415297</v>
      </c>
      <c r="H843" s="2">
        <v>10380</v>
      </c>
      <c r="I843" s="2">
        <v>1195</v>
      </c>
      <c r="J843" s="2">
        <f>(IF(A843='Hybrid Calculator'!$B$6,0,1))^2+((B843-'Hybrid Calculator'!$B$7)/1500)^2+((C843-'Hybrid Calculator'!$B$8)/1300)^2+((D843-'Hybrid Calculator'!$B$9)/800)^2+((E843-'Hybrid Calculator'!$B$10)/350)^2+((F843-'Hybrid Calculator'!$B$11)/30)^2+(G843-'Hybrid Calculator'!$B$12)^2+((H843-'Hybrid Calculator'!$E$14)/IF(A843="Lightning",100,30000))^2+((I843-'Hybrid Calculator'!$E$17)/IF(A843="Lightning",100,30000))^2</f>
        <v>1.5341611062797267</v>
      </c>
      <c r="K843" s="2">
        <f t="shared" si="52"/>
        <v>1273</v>
      </c>
      <c r="L843" s="2">
        <f t="shared" si="53"/>
        <v>0</v>
      </c>
      <c r="M843" s="2">
        <f t="shared" si="54"/>
        <v>0</v>
      </c>
      <c r="N843" s="2">
        <v>1.7329335335057294</v>
      </c>
      <c r="O843" s="2">
        <f t="shared" si="55"/>
        <v>0</v>
      </c>
      <c r="P843" s="2">
        <v>18.400375887809787</v>
      </c>
      <c r="Q843" s="2">
        <v>-15.270363583014728</v>
      </c>
    </row>
    <row r="844" spans="1:17" ht="15">
      <c r="A844" s="2" t="s">
        <v>81</v>
      </c>
      <c r="B844" s="2">
        <v>984.37726923730224</v>
      </c>
      <c r="C844" s="2">
        <v>641.11213792348281</v>
      </c>
      <c r="D844" s="2">
        <v>556.04385696351528</v>
      </c>
      <c r="E844" s="2">
        <v>108.39961525751278</v>
      </c>
      <c r="F844" s="2">
        <v>23.717108410783112</v>
      </c>
      <c r="G844" s="2">
        <v>0.80613485415233299</v>
      </c>
      <c r="H844" s="2">
        <v>16380</v>
      </c>
      <c r="I844" s="2">
        <v>1200</v>
      </c>
      <c r="J844" s="2">
        <f>(IF(A844='Hybrid Calculator'!$B$6,0,1))^2+((B844-'Hybrid Calculator'!$B$7)/1500)^2+((C844-'Hybrid Calculator'!$B$8)/1300)^2+((D844-'Hybrid Calculator'!$B$9)/800)^2+((E844-'Hybrid Calculator'!$B$10)/350)^2+((F844-'Hybrid Calculator'!$B$11)/30)^2+(G844-'Hybrid Calculator'!$B$12)^2+((H844-'Hybrid Calculator'!$E$14)/IF(A844="Lightning",100,30000))^2+((I844-'Hybrid Calculator'!$E$17)/IF(A844="Lightning",100,30000))^2</f>
        <v>1.4594096652063233</v>
      </c>
      <c r="K844" s="2">
        <f t="shared" si="52"/>
        <v>1130</v>
      </c>
      <c r="L844" s="2">
        <f t="shared" si="53"/>
        <v>0</v>
      </c>
      <c r="M844" s="2">
        <f t="shared" si="54"/>
        <v>0</v>
      </c>
      <c r="N844" s="2">
        <v>-0.91529890586213014</v>
      </c>
      <c r="O844" s="2">
        <f t="shared" si="55"/>
        <v>0</v>
      </c>
      <c r="P844" s="2">
        <v>-17.382031929898858</v>
      </c>
      <c r="Q844" s="2">
        <v>6.7898188132732002</v>
      </c>
    </row>
    <row r="845" spans="1:17" ht="15">
      <c r="A845" s="2" t="s">
        <v>81</v>
      </c>
      <c r="B845" s="2">
        <v>963.34652317455038</v>
      </c>
      <c r="C845" s="2">
        <v>846.55502908863127</v>
      </c>
      <c r="D845" s="2">
        <v>450.4541146568954</v>
      </c>
      <c r="E845" s="2">
        <v>129.76653621997684</v>
      </c>
      <c r="F845" s="2">
        <v>25.8392324144952</v>
      </c>
      <c r="G845" s="2">
        <v>0.83304437780752782</v>
      </c>
      <c r="H845" s="2">
        <v>17485</v>
      </c>
      <c r="I845" s="2">
        <v>1200</v>
      </c>
      <c r="J845" s="2">
        <f>(IF(A845='Hybrid Calculator'!$B$6,0,1))^2+((B845-'Hybrid Calculator'!$B$7)/1500)^2+((C845-'Hybrid Calculator'!$B$8)/1300)^2+((D845-'Hybrid Calculator'!$B$9)/800)^2+((E845-'Hybrid Calculator'!$B$10)/350)^2+((F845-'Hybrid Calculator'!$B$11)/30)^2+(G845-'Hybrid Calculator'!$B$12)^2+((H845-'Hybrid Calculator'!$E$14)/IF(A845="Lightning",100,30000))^2+((I845-'Hybrid Calculator'!$E$17)/IF(A845="Lightning",100,30000))^2</f>
        <v>1.5012145074459133</v>
      </c>
      <c r="K845" s="2">
        <f t="shared" si="52"/>
        <v>1211</v>
      </c>
      <c r="L845" s="2">
        <f t="shared" si="53"/>
        <v>0</v>
      </c>
      <c r="M845" s="2">
        <f t="shared" si="54"/>
        <v>0</v>
      </c>
      <c r="N845" s="2">
        <v>-2.7716461315092715</v>
      </c>
      <c r="O845" s="2">
        <f t="shared" si="55"/>
        <v>0</v>
      </c>
      <c r="P845" s="2">
        <v>18.426405601031092</v>
      </c>
      <c r="Q845" s="2">
        <v>-5.1461399498123228</v>
      </c>
    </row>
    <row r="846" spans="1:17" ht="15">
      <c r="A846" s="2" t="s">
        <v>81</v>
      </c>
      <c r="B846" s="2">
        <v>1002.9227469582111</v>
      </c>
      <c r="C846" s="2">
        <v>690.09351952699944</v>
      </c>
      <c r="D846" s="2">
        <v>515.559914521873</v>
      </c>
      <c r="E846" s="2">
        <v>274.46669361786917</v>
      </c>
      <c r="F846" s="2">
        <v>28.434592366218567</v>
      </c>
      <c r="G846" s="2">
        <v>0.79971051251748582</v>
      </c>
      <c r="H846" s="2">
        <v>14450</v>
      </c>
      <c r="I846" s="2">
        <v>1200</v>
      </c>
      <c r="J846" s="2">
        <f>(IF(A846='Hybrid Calculator'!$B$6,0,1))^2+((B846-'Hybrid Calculator'!$B$7)/1500)^2+((C846-'Hybrid Calculator'!$B$8)/1300)^2+((D846-'Hybrid Calculator'!$B$9)/800)^2+((E846-'Hybrid Calculator'!$B$10)/350)^2+((F846-'Hybrid Calculator'!$B$11)/30)^2+(G846-'Hybrid Calculator'!$B$12)^2+((H846-'Hybrid Calculator'!$E$14)/IF(A846="Lightning",100,30000))^2+((I846-'Hybrid Calculator'!$E$17)/IF(A846="Lightning",100,30000))^2</f>
        <v>1.5631589647696638</v>
      </c>
      <c r="K846" s="2">
        <f t="shared" si="52"/>
        <v>1322</v>
      </c>
      <c r="L846" s="2">
        <f t="shared" si="53"/>
        <v>0</v>
      </c>
      <c r="M846" s="2">
        <f t="shared" si="54"/>
        <v>0</v>
      </c>
      <c r="N846" s="2">
        <v>-0.22627361103215549</v>
      </c>
      <c r="O846" s="2">
        <f t="shared" si="55"/>
        <v>0</v>
      </c>
      <c r="P846" s="2">
        <v>18.465892228090524</v>
      </c>
      <c r="Q846" s="2">
        <v>-6.1309788872732724</v>
      </c>
    </row>
    <row r="847" spans="1:17" ht="15">
      <c r="A847" s="2" t="s">
        <v>81</v>
      </c>
      <c r="B847" s="2">
        <v>1090.1046157930978</v>
      </c>
      <c r="C847" s="2">
        <v>1124.390541925095</v>
      </c>
      <c r="D847" s="2">
        <v>577.84126223996282</v>
      </c>
      <c r="E847" s="2">
        <v>312.16072702780366</v>
      </c>
      <c r="F847" s="2">
        <v>20.599219432566315</v>
      </c>
      <c r="G847" s="2">
        <v>0.79292564315255731</v>
      </c>
      <c r="H847" s="2">
        <v>10615</v>
      </c>
      <c r="I847" s="2">
        <v>1195</v>
      </c>
      <c r="J847" s="2">
        <f>(IF(A847='Hybrid Calculator'!$B$6,0,1))^2+((B847-'Hybrid Calculator'!$B$7)/1500)^2+((C847-'Hybrid Calculator'!$B$8)/1300)^2+((D847-'Hybrid Calculator'!$B$9)/800)^2+((E847-'Hybrid Calculator'!$B$10)/350)^2+((F847-'Hybrid Calculator'!$B$11)/30)^2+(G847-'Hybrid Calculator'!$B$12)^2+((H847-'Hybrid Calculator'!$E$14)/IF(A847="Lightning",100,30000))^2+((I847-'Hybrid Calculator'!$E$17)/IF(A847="Lightning",100,30000))^2</f>
        <v>1.4496984156821431</v>
      </c>
      <c r="K847" s="2">
        <f t="shared" si="52"/>
        <v>1109</v>
      </c>
      <c r="L847" s="2">
        <f t="shared" si="53"/>
        <v>0</v>
      </c>
      <c r="M847" s="2">
        <f t="shared" si="54"/>
        <v>0</v>
      </c>
      <c r="N847" s="2">
        <v>3.9615003702659521</v>
      </c>
      <c r="O847" s="2">
        <f t="shared" si="55"/>
        <v>0</v>
      </c>
      <c r="P847" s="2">
        <v>67.347931927699392</v>
      </c>
      <c r="Q847" s="2">
        <v>-3.1600504366326732</v>
      </c>
    </row>
    <row r="848" spans="1:17" ht="15">
      <c r="A848" s="2" t="s">
        <v>81</v>
      </c>
      <c r="B848" s="2">
        <v>1067.2013216884807</v>
      </c>
      <c r="C848" s="2">
        <v>1100.0394282978959</v>
      </c>
      <c r="D848" s="2">
        <v>370.20414620637894</v>
      </c>
      <c r="E848" s="2">
        <v>80.55710127344355</v>
      </c>
      <c r="F848" s="2">
        <v>18.385247121565044</v>
      </c>
      <c r="G848" s="2">
        <v>0.81754983145510784</v>
      </c>
      <c r="H848" s="2">
        <v>13790</v>
      </c>
      <c r="I848" s="2">
        <v>1200</v>
      </c>
      <c r="J848" s="2">
        <f>(IF(A848='Hybrid Calculator'!$B$6,0,1))^2+((B848-'Hybrid Calculator'!$B$7)/1500)^2+((C848-'Hybrid Calculator'!$B$8)/1300)^2+((D848-'Hybrid Calculator'!$B$9)/800)^2+((E848-'Hybrid Calculator'!$B$10)/350)^2+((F848-'Hybrid Calculator'!$B$11)/30)^2+(G848-'Hybrid Calculator'!$B$12)^2+((H848-'Hybrid Calculator'!$E$14)/IF(A848="Lightning",100,30000))^2+((I848-'Hybrid Calculator'!$E$17)/IF(A848="Lightning",100,30000))^2</f>
        <v>1.3708995349545725</v>
      </c>
      <c r="K848" s="2">
        <f t="shared" si="52"/>
        <v>892</v>
      </c>
      <c r="L848" s="2">
        <f t="shared" si="53"/>
        <v>0</v>
      </c>
      <c r="M848" s="2">
        <f t="shared" si="54"/>
        <v>0</v>
      </c>
      <c r="N848" s="2">
        <v>1.1116815195923095</v>
      </c>
      <c r="O848" s="2">
        <f t="shared" si="55"/>
        <v>0</v>
      </c>
      <c r="P848" s="2">
        <v>30.242571507392768</v>
      </c>
      <c r="Q848" s="2">
        <v>0.23619567540026765</v>
      </c>
    </row>
    <row r="849" spans="1:17" ht="15">
      <c r="A849" s="2" t="s">
        <v>81</v>
      </c>
      <c r="B849" s="2">
        <v>1062.1697551454417</v>
      </c>
      <c r="C849" s="2">
        <v>804.07253680750728</v>
      </c>
      <c r="D849" s="2">
        <v>653.24535286054015</v>
      </c>
      <c r="E849" s="2">
        <v>308.3733623335138</v>
      </c>
      <c r="F849" s="2">
        <v>28.236056303139776</v>
      </c>
      <c r="G849" s="2">
        <v>0.84985470634885141</v>
      </c>
      <c r="H849" s="2">
        <v>12110</v>
      </c>
      <c r="I849" s="2">
        <v>1200</v>
      </c>
      <c r="J849" s="2">
        <f>(IF(A849='Hybrid Calculator'!$B$6,0,1))^2+((B849-'Hybrid Calculator'!$B$7)/1500)^2+((C849-'Hybrid Calculator'!$B$8)/1300)^2+((D849-'Hybrid Calculator'!$B$9)/800)^2+((E849-'Hybrid Calculator'!$B$10)/350)^2+((F849-'Hybrid Calculator'!$B$11)/30)^2+(G849-'Hybrid Calculator'!$B$12)^2+((H849-'Hybrid Calculator'!$E$14)/IF(A849="Lightning",100,30000))^2+((I849-'Hybrid Calculator'!$E$17)/IF(A849="Lightning",100,30000))^2</f>
        <v>1.5705557790972962</v>
      </c>
      <c r="K849" s="2">
        <f t="shared" si="52"/>
        <v>1328</v>
      </c>
      <c r="L849" s="2">
        <f t="shared" si="53"/>
        <v>0</v>
      </c>
      <c r="M849" s="2">
        <f t="shared" si="54"/>
        <v>0</v>
      </c>
      <c r="N849" s="2">
        <v>-3.4789260762505307</v>
      </c>
      <c r="O849" s="2">
        <f t="shared" si="55"/>
        <v>0</v>
      </c>
      <c r="P849" s="2">
        <v>-36.54587668958311</v>
      </c>
      <c r="Q849" s="2">
        <v>-8.0407270371704271</v>
      </c>
    </row>
    <row r="850" spans="1:17" ht="15">
      <c r="A850" s="2" t="s">
        <v>81</v>
      </c>
      <c r="B850" s="2">
        <v>1098.1735911220312</v>
      </c>
      <c r="C850" s="2">
        <v>1172.7479113615118</v>
      </c>
      <c r="D850" s="2">
        <v>547.29427862912416</v>
      </c>
      <c r="E850" s="2">
        <v>175.9764575236477</v>
      </c>
      <c r="F850" s="2">
        <v>9.9339357744902372</v>
      </c>
      <c r="G850" s="2">
        <v>0.80794077334227044</v>
      </c>
      <c r="H850" s="2">
        <v>11280</v>
      </c>
      <c r="I850" s="2">
        <v>1195</v>
      </c>
      <c r="J850" s="2">
        <f>(IF(A850='Hybrid Calculator'!$B$6,0,1))^2+((B850-'Hybrid Calculator'!$B$7)/1500)^2+((C850-'Hybrid Calculator'!$B$8)/1300)^2+((D850-'Hybrid Calculator'!$B$9)/800)^2+((E850-'Hybrid Calculator'!$B$10)/350)^2+((F850-'Hybrid Calculator'!$B$11)/30)^2+(G850-'Hybrid Calculator'!$B$12)^2+((H850-'Hybrid Calculator'!$E$14)/IF(A850="Lightning",100,30000))^2+((I850-'Hybrid Calculator'!$E$17)/IF(A850="Lightning",100,30000))^2</f>
        <v>1.3414360441540856</v>
      </c>
      <c r="K850" s="2">
        <f t="shared" si="52"/>
        <v>805</v>
      </c>
      <c r="L850" s="2">
        <f t="shared" si="53"/>
        <v>0</v>
      </c>
      <c r="M850" s="2">
        <f t="shared" si="54"/>
        <v>0</v>
      </c>
      <c r="N850" s="2">
        <v>3.6354993359051377</v>
      </c>
      <c r="O850" s="2">
        <f t="shared" si="55"/>
        <v>0</v>
      </c>
      <c r="P850" s="2">
        <v>5.3823050649216384</v>
      </c>
      <c r="Q850" s="2">
        <v>0.53390788562455782</v>
      </c>
    </row>
    <row r="851" spans="1:17" ht="15">
      <c r="A851" s="2" t="s">
        <v>81</v>
      </c>
      <c r="B851" s="2">
        <v>1076.4303746283986</v>
      </c>
      <c r="C851" s="2">
        <v>620.53363455925137</v>
      </c>
      <c r="D851" s="2">
        <v>720.15933552756906</v>
      </c>
      <c r="E851" s="2">
        <v>306.49763501249254</v>
      </c>
      <c r="F851" s="2">
        <v>11.074382286984473</v>
      </c>
      <c r="G851" s="2">
        <v>0.83890371256042273</v>
      </c>
      <c r="H851" s="2">
        <v>12985</v>
      </c>
      <c r="I851" s="2">
        <v>1200</v>
      </c>
      <c r="J851" s="2">
        <f>(IF(A851='Hybrid Calculator'!$B$6,0,1))^2+((B851-'Hybrid Calculator'!$B$7)/1500)^2+((C851-'Hybrid Calculator'!$B$8)/1300)^2+((D851-'Hybrid Calculator'!$B$9)/800)^2+((E851-'Hybrid Calculator'!$B$10)/350)^2+((F851-'Hybrid Calculator'!$B$11)/30)^2+(G851-'Hybrid Calculator'!$B$12)^2+((H851-'Hybrid Calculator'!$E$14)/IF(A851="Lightning",100,30000))^2+((I851-'Hybrid Calculator'!$E$17)/IF(A851="Lightning",100,30000))^2</f>
        <v>1.6098848323885786</v>
      </c>
      <c r="K851" s="2">
        <f t="shared" si="52"/>
        <v>1359</v>
      </c>
      <c r="L851" s="2">
        <f t="shared" si="53"/>
        <v>0</v>
      </c>
      <c r="M851" s="2">
        <f t="shared" si="54"/>
        <v>0</v>
      </c>
      <c r="N851" s="2">
        <v>-0.55702552954002726</v>
      </c>
      <c r="O851" s="2">
        <f t="shared" si="55"/>
        <v>0</v>
      </c>
      <c r="P851" s="2">
        <v>-66.378723706315213</v>
      </c>
      <c r="Q851" s="2">
        <v>2.8733043586339591</v>
      </c>
    </row>
    <row r="852" spans="1:17" ht="15">
      <c r="A852" s="2" t="s">
        <v>81</v>
      </c>
      <c r="B852" s="2">
        <v>983.55209797155112</v>
      </c>
      <c r="C852" s="2">
        <v>778.90726557234302</v>
      </c>
      <c r="D852" s="2">
        <v>485.1821456104517</v>
      </c>
      <c r="E852" s="2">
        <v>177.0933914068155</v>
      </c>
      <c r="F852" s="2">
        <v>24.398661204613745</v>
      </c>
      <c r="G852" s="2">
        <v>0.83688442530808971</v>
      </c>
      <c r="H852" s="2">
        <v>17310</v>
      </c>
      <c r="I852" s="2">
        <v>1200</v>
      </c>
      <c r="J852" s="2">
        <f>(IF(A852='Hybrid Calculator'!$B$6,0,1))^2+((B852-'Hybrid Calculator'!$B$7)/1500)^2+((C852-'Hybrid Calculator'!$B$8)/1300)^2+((D852-'Hybrid Calculator'!$B$9)/800)^2+((E852-'Hybrid Calculator'!$B$10)/350)^2+((F852-'Hybrid Calculator'!$B$11)/30)^2+(G852-'Hybrid Calculator'!$B$12)^2+((H852-'Hybrid Calculator'!$E$14)/IF(A852="Lightning",100,30000))^2+((I852-'Hybrid Calculator'!$E$17)/IF(A852="Lightning",100,30000))^2</f>
        <v>1.4674254230127233</v>
      </c>
      <c r="K852" s="2">
        <f t="shared" si="52"/>
        <v>1150</v>
      </c>
      <c r="L852" s="2">
        <f t="shared" si="53"/>
        <v>0</v>
      </c>
      <c r="M852" s="2">
        <f t="shared" si="54"/>
        <v>0</v>
      </c>
      <c r="N852" s="2">
        <v>-1.2259631398248416</v>
      </c>
      <c r="O852" s="2">
        <f t="shared" si="55"/>
        <v>0</v>
      </c>
      <c r="P852" s="2">
        <v>-50.52281217204154</v>
      </c>
      <c r="Q852" s="2">
        <v>0.2228210059746516</v>
      </c>
    </row>
    <row r="853" spans="1:17" ht="15">
      <c r="A853" s="2" t="s">
        <v>81</v>
      </c>
      <c r="B853" s="2">
        <v>1051.9367132685147</v>
      </c>
      <c r="C853" s="2">
        <v>1219.9417050462216</v>
      </c>
      <c r="D853" s="2">
        <v>639.25307346507907</v>
      </c>
      <c r="E853" s="2">
        <v>246.58540617208928</v>
      </c>
      <c r="F853" s="2">
        <v>19.635851930361241</v>
      </c>
      <c r="G853" s="2">
        <v>0.82063416346907614</v>
      </c>
      <c r="H853" s="2">
        <v>10155</v>
      </c>
      <c r="I853" s="2">
        <v>1195</v>
      </c>
      <c r="J853" s="2">
        <f>(IF(A853='Hybrid Calculator'!$B$6,0,1))^2+((B853-'Hybrid Calculator'!$B$7)/1500)^2+((C853-'Hybrid Calculator'!$B$8)/1300)^2+((D853-'Hybrid Calculator'!$B$9)/800)^2+((E853-'Hybrid Calculator'!$B$10)/350)^2+((F853-'Hybrid Calculator'!$B$11)/30)^2+(G853-'Hybrid Calculator'!$B$12)^2+((H853-'Hybrid Calculator'!$E$14)/IF(A853="Lightning",100,30000))^2+((I853-'Hybrid Calculator'!$E$17)/IF(A853="Lightning",100,30000))^2</f>
        <v>1.3657001733568406</v>
      </c>
      <c r="K853" s="2">
        <f t="shared" si="52"/>
        <v>872</v>
      </c>
      <c r="L853" s="2">
        <f t="shared" si="53"/>
        <v>0</v>
      </c>
      <c r="M853" s="2">
        <f t="shared" si="54"/>
        <v>0</v>
      </c>
      <c r="N853" s="2">
        <v>4.0804877579989238</v>
      </c>
      <c r="O853" s="2">
        <f t="shared" si="55"/>
        <v>0</v>
      </c>
      <c r="P853" s="2">
        <v>31.15441281479616</v>
      </c>
      <c r="Q853" s="2">
        <v>-10.767372761929209</v>
      </c>
    </row>
    <row r="854" spans="1:17" ht="15">
      <c r="A854" s="2" t="s">
        <v>81</v>
      </c>
      <c r="B854" s="2">
        <v>978.0404161196202</v>
      </c>
      <c r="C854" s="2">
        <v>639.22406256897375</v>
      </c>
      <c r="D854" s="2">
        <v>556.88726361840963</v>
      </c>
      <c r="E854" s="2">
        <v>278.06351402075961</v>
      </c>
      <c r="F854" s="2">
        <v>28.212931033223867</v>
      </c>
      <c r="G854" s="2">
        <v>0.80343227569246667</v>
      </c>
      <c r="H854" s="2">
        <v>14505</v>
      </c>
      <c r="I854" s="2">
        <v>1200</v>
      </c>
      <c r="J854" s="2">
        <f>(IF(A854='Hybrid Calculator'!$B$6,0,1))^2+((B854-'Hybrid Calculator'!$B$7)/1500)^2+((C854-'Hybrid Calculator'!$B$8)/1300)^2+((D854-'Hybrid Calculator'!$B$9)/800)^2+((E854-'Hybrid Calculator'!$B$10)/350)^2+((F854-'Hybrid Calculator'!$B$11)/30)^2+(G854-'Hybrid Calculator'!$B$12)^2+((H854-'Hybrid Calculator'!$E$14)/IF(A854="Lightning",100,30000))^2+((I854-'Hybrid Calculator'!$E$17)/IF(A854="Lightning",100,30000))^2</f>
        <v>1.5928072578478172</v>
      </c>
      <c r="K854" s="2">
        <f t="shared" si="52"/>
        <v>1344</v>
      </c>
      <c r="L854" s="2">
        <f t="shared" si="53"/>
        <v>0</v>
      </c>
      <c r="M854" s="2">
        <f t="shared" si="54"/>
        <v>0</v>
      </c>
      <c r="N854" s="2">
        <v>-3.0138444367421471</v>
      </c>
      <c r="O854" s="2">
        <f t="shared" si="55"/>
        <v>0</v>
      </c>
      <c r="P854" s="2">
        <v>-8.9917173047283541</v>
      </c>
      <c r="Q854" s="2">
        <v>2.8057229347950852E-3</v>
      </c>
    </row>
    <row r="855" spans="1:17" ht="15">
      <c r="A855" s="2" t="s">
        <v>81</v>
      </c>
      <c r="B855" s="2">
        <v>1064.548852678854</v>
      </c>
      <c r="C855" s="2">
        <v>1095.8003501174971</v>
      </c>
      <c r="D855" s="2">
        <v>584.59908263757825</v>
      </c>
      <c r="E855" s="2">
        <v>162.78406504541636</v>
      </c>
      <c r="F855" s="2">
        <v>26.030030908528715</v>
      </c>
      <c r="G855" s="2">
        <v>0.82306390869896862</v>
      </c>
      <c r="H855" s="2">
        <v>11605</v>
      </c>
      <c r="I855" s="2">
        <v>1195</v>
      </c>
      <c r="J855" s="2">
        <f>(IF(A855='Hybrid Calculator'!$B$6,0,1))^2+((B855-'Hybrid Calculator'!$B$7)/1500)^2+((C855-'Hybrid Calculator'!$B$8)/1300)^2+((D855-'Hybrid Calculator'!$B$9)/800)^2+((E855-'Hybrid Calculator'!$B$10)/350)^2+((F855-'Hybrid Calculator'!$B$11)/30)^2+(G855-'Hybrid Calculator'!$B$12)^2+((H855-'Hybrid Calculator'!$E$14)/IF(A855="Lightning",100,30000))^2+((I855-'Hybrid Calculator'!$E$17)/IF(A855="Lightning",100,30000))^2</f>
        <v>1.3188968694927348</v>
      </c>
      <c r="K855" s="2">
        <f t="shared" si="52"/>
        <v>760</v>
      </c>
      <c r="L855" s="2">
        <f t="shared" si="53"/>
        <v>0</v>
      </c>
      <c r="M855" s="2">
        <f t="shared" si="54"/>
        <v>0</v>
      </c>
      <c r="N855" s="2">
        <v>0.22906962126191388</v>
      </c>
      <c r="O855" s="2">
        <f t="shared" si="55"/>
        <v>0</v>
      </c>
      <c r="P855" s="2">
        <v>36.576992733166207</v>
      </c>
      <c r="Q855" s="2">
        <v>-6.5388326687996141</v>
      </c>
    </row>
    <row r="856" spans="1:17" ht="15">
      <c r="A856" s="2" t="s">
        <v>81</v>
      </c>
      <c r="B856" s="2">
        <v>990.60477190651</v>
      </c>
      <c r="C856" s="2">
        <v>1004.5941443997435</v>
      </c>
      <c r="D856" s="2">
        <v>363.32379411906004</v>
      </c>
      <c r="E856" s="2">
        <v>256.77076096879318</v>
      </c>
      <c r="F856" s="2">
        <v>22.072834484279156</v>
      </c>
      <c r="G856" s="2">
        <v>0.79640640052268286</v>
      </c>
      <c r="H856" s="2">
        <v>13165</v>
      </c>
      <c r="I856" s="2">
        <v>1200</v>
      </c>
      <c r="J856" s="2">
        <f>(IF(A856='Hybrid Calculator'!$B$6,0,1))^2+((B856-'Hybrid Calculator'!$B$7)/1500)^2+((C856-'Hybrid Calculator'!$B$8)/1300)^2+((D856-'Hybrid Calculator'!$B$9)/800)^2+((E856-'Hybrid Calculator'!$B$10)/350)^2+((F856-'Hybrid Calculator'!$B$11)/30)^2+(G856-'Hybrid Calculator'!$B$12)^2+((H856-'Hybrid Calculator'!$E$14)/IF(A856="Lightning",100,30000))^2+((I856-'Hybrid Calculator'!$E$17)/IF(A856="Lightning",100,30000))^2</f>
        <v>1.4276461092055772</v>
      </c>
      <c r="K856" s="2">
        <f t="shared" si="52"/>
        <v>1056</v>
      </c>
      <c r="L856" s="2">
        <f t="shared" si="53"/>
        <v>0</v>
      </c>
      <c r="M856" s="2">
        <f t="shared" si="54"/>
        <v>0</v>
      </c>
      <c r="N856" s="2">
        <v>-0.17466578220586371</v>
      </c>
      <c r="O856" s="2">
        <f t="shared" si="55"/>
        <v>0</v>
      </c>
      <c r="P856" s="2">
        <v>19.354370762840063</v>
      </c>
      <c r="Q856" s="2">
        <v>-2.1786132703407475</v>
      </c>
    </row>
    <row r="857" spans="1:17" ht="15">
      <c r="A857" s="2" t="s">
        <v>81</v>
      </c>
      <c r="B857" s="2">
        <v>1092.2157070715912</v>
      </c>
      <c r="C857" s="2">
        <v>752.63532360550016</v>
      </c>
      <c r="D857" s="2">
        <v>728.74992461875081</v>
      </c>
      <c r="E857" s="2">
        <v>87.939509581774473</v>
      </c>
      <c r="F857" s="2">
        <v>14.265916480217129</v>
      </c>
      <c r="G857" s="2">
        <v>0.85307231897022584</v>
      </c>
      <c r="H857" s="2">
        <v>13625</v>
      </c>
      <c r="I857" s="2">
        <v>1200</v>
      </c>
      <c r="J857" s="2">
        <f>(IF(A857='Hybrid Calculator'!$B$6,0,1))^2+((B857-'Hybrid Calculator'!$B$7)/1500)^2+((C857-'Hybrid Calculator'!$B$8)/1300)^2+((D857-'Hybrid Calculator'!$B$9)/800)^2+((E857-'Hybrid Calculator'!$B$10)/350)^2+((F857-'Hybrid Calculator'!$B$11)/30)^2+(G857-'Hybrid Calculator'!$B$12)^2+((H857-'Hybrid Calculator'!$E$14)/IF(A857="Lightning",100,30000))^2+((I857-'Hybrid Calculator'!$E$17)/IF(A857="Lightning",100,30000))^2</f>
        <v>1.3953340804784804</v>
      </c>
      <c r="K857" s="2">
        <f t="shared" si="52"/>
        <v>963</v>
      </c>
      <c r="L857" s="2">
        <f t="shared" si="53"/>
        <v>0</v>
      </c>
      <c r="M857" s="2">
        <f t="shared" si="54"/>
        <v>0</v>
      </c>
      <c r="N857" s="2">
        <v>0.29341356590683176</v>
      </c>
      <c r="O857" s="2">
        <f t="shared" si="55"/>
        <v>0</v>
      </c>
      <c r="P857" s="2">
        <v>-42.246803149922016</v>
      </c>
      <c r="Q857" s="2">
        <v>12.609475610650179</v>
      </c>
    </row>
    <row r="858" spans="1:17" ht="15">
      <c r="A858" s="2" t="s">
        <v>81</v>
      </c>
      <c r="B858" s="2">
        <v>1024.509050627239</v>
      </c>
      <c r="C858" s="2">
        <v>1089.2571710166521</v>
      </c>
      <c r="D858" s="2">
        <v>655.2496463060379</v>
      </c>
      <c r="E858" s="2">
        <v>181.21546679874882</v>
      </c>
      <c r="F858" s="2">
        <v>28.582335892133415</v>
      </c>
      <c r="G858" s="2">
        <v>0.8213229279196822</v>
      </c>
      <c r="H858" s="2">
        <v>11105</v>
      </c>
      <c r="I858" s="2">
        <v>1195</v>
      </c>
      <c r="J858" s="2">
        <f>(IF(A858='Hybrid Calculator'!$B$6,0,1))^2+((B858-'Hybrid Calculator'!$B$7)/1500)^2+((C858-'Hybrid Calculator'!$B$8)/1300)^2+((D858-'Hybrid Calculator'!$B$9)/800)^2+((E858-'Hybrid Calculator'!$B$10)/350)^2+((F858-'Hybrid Calculator'!$B$11)/30)^2+(G858-'Hybrid Calculator'!$B$12)^2+((H858-'Hybrid Calculator'!$E$14)/IF(A858="Lightning",100,30000))^2+((I858-'Hybrid Calculator'!$E$17)/IF(A858="Lightning",100,30000))^2</f>
        <v>1.4010357057672838</v>
      </c>
      <c r="K858" s="2">
        <f t="shared" si="52"/>
        <v>977</v>
      </c>
      <c r="L858" s="2">
        <f t="shared" si="53"/>
        <v>0</v>
      </c>
      <c r="M858" s="2">
        <f t="shared" si="54"/>
        <v>0</v>
      </c>
      <c r="N858" s="2">
        <v>2.563035798595962</v>
      </c>
      <c r="O858" s="2">
        <f t="shared" si="55"/>
        <v>0</v>
      </c>
      <c r="P858" s="2">
        <v>24.90056534957148</v>
      </c>
      <c r="Q858" s="2">
        <v>-17.65467692596917</v>
      </c>
    </row>
    <row r="859" spans="1:17" ht="15">
      <c r="A859" s="2" t="s">
        <v>81</v>
      </c>
      <c r="B859" s="2">
        <v>1070.6226837704889</v>
      </c>
      <c r="C859" s="2">
        <v>635.15749918296933</v>
      </c>
      <c r="D859" s="2">
        <v>682.16720884665847</v>
      </c>
      <c r="E859" s="2">
        <v>278.58292082790285</v>
      </c>
      <c r="F859" s="2">
        <v>11.987109122332186</v>
      </c>
      <c r="G859" s="2">
        <v>0.84728973531164231</v>
      </c>
      <c r="H859" s="2">
        <v>13400</v>
      </c>
      <c r="I859" s="2">
        <v>1200</v>
      </c>
      <c r="J859" s="2">
        <f>(IF(A859='Hybrid Calculator'!$B$6,0,1))^2+((B859-'Hybrid Calculator'!$B$7)/1500)^2+((C859-'Hybrid Calculator'!$B$8)/1300)^2+((D859-'Hybrid Calculator'!$B$9)/800)^2+((E859-'Hybrid Calculator'!$B$10)/350)^2+((F859-'Hybrid Calculator'!$B$11)/30)^2+(G859-'Hybrid Calculator'!$B$12)^2+((H859-'Hybrid Calculator'!$E$14)/IF(A859="Lightning",100,30000))^2+((I859-'Hybrid Calculator'!$E$17)/IF(A859="Lightning",100,30000))^2</f>
        <v>1.5173806840326822</v>
      </c>
      <c r="K859" s="2">
        <f t="shared" si="52"/>
        <v>1243</v>
      </c>
      <c r="L859" s="2">
        <f t="shared" si="53"/>
        <v>0</v>
      </c>
      <c r="M859" s="2">
        <f t="shared" si="54"/>
        <v>0</v>
      </c>
      <c r="N859" s="2">
        <v>2.9025860238139956</v>
      </c>
      <c r="O859" s="2">
        <f t="shared" si="55"/>
        <v>0</v>
      </c>
      <c r="P859" s="2">
        <v>-40.331531953119338</v>
      </c>
      <c r="Q859" s="2">
        <v>8.1384074674106159</v>
      </c>
    </row>
    <row r="860" spans="1:17" ht="15">
      <c r="A860" s="2" t="s">
        <v>81</v>
      </c>
      <c r="B860" s="2">
        <v>1070.0115302577615</v>
      </c>
      <c r="C860" s="2">
        <v>720.52081752335653</v>
      </c>
      <c r="D860" s="2">
        <v>699.06599838286638</v>
      </c>
      <c r="E860" s="2">
        <v>314.61589362705126</v>
      </c>
      <c r="F860" s="2">
        <v>14.983377343043685</v>
      </c>
      <c r="G860" s="2">
        <v>0.8007081710663625</v>
      </c>
      <c r="H860" s="2">
        <v>12330</v>
      </c>
      <c r="I860" s="2">
        <v>1200</v>
      </c>
      <c r="J860" s="2">
        <f>(IF(A860='Hybrid Calculator'!$B$6,0,1))^2+((B860-'Hybrid Calculator'!$B$7)/1500)^2+((C860-'Hybrid Calculator'!$B$8)/1300)^2+((D860-'Hybrid Calculator'!$B$9)/800)^2+((E860-'Hybrid Calculator'!$B$10)/350)^2+((F860-'Hybrid Calculator'!$B$11)/30)^2+(G860-'Hybrid Calculator'!$B$12)^2+((H860-'Hybrid Calculator'!$E$14)/IF(A860="Lightning",100,30000))^2+((I860-'Hybrid Calculator'!$E$17)/IF(A860="Lightning",100,30000))^2</f>
        <v>1.5322571720038489</v>
      </c>
      <c r="K860" s="2">
        <f t="shared" si="52"/>
        <v>1270</v>
      </c>
      <c r="L860" s="2">
        <f t="shared" si="53"/>
        <v>0</v>
      </c>
      <c r="M860" s="2">
        <f t="shared" si="54"/>
        <v>0</v>
      </c>
      <c r="N860" s="2">
        <v>-0.95331969164146813</v>
      </c>
      <c r="O860" s="2">
        <f t="shared" si="55"/>
        <v>0</v>
      </c>
      <c r="P860" s="2">
        <v>-8.7636897101283466</v>
      </c>
      <c r="Q860" s="2">
        <v>-2.4457864964817873</v>
      </c>
    </row>
    <row r="861" spans="1:17" ht="15">
      <c r="A861" s="2" t="s">
        <v>81</v>
      </c>
      <c r="B861" s="2">
        <v>977.70093014696613</v>
      </c>
      <c r="C861" s="2">
        <v>1146.7066571349278</v>
      </c>
      <c r="D861" s="2">
        <v>689.63796803727746</v>
      </c>
      <c r="E861" s="2">
        <v>319.48402400128543</v>
      </c>
      <c r="F861" s="2">
        <v>25.957960490603</v>
      </c>
      <c r="G861" s="2">
        <v>0.83256991569418459</v>
      </c>
      <c r="H861" s="2">
        <v>11575</v>
      </c>
      <c r="I861" s="2">
        <v>1195</v>
      </c>
      <c r="J861" s="2">
        <f>(IF(A861='Hybrid Calculator'!$B$6,0,1))^2+((B861-'Hybrid Calculator'!$B$7)/1500)^2+((C861-'Hybrid Calculator'!$B$8)/1300)^2+((D861-'Hybrid Calculator'!$B$9)/800)^2+((E861-'Hybrid Calculator'!$B$10)/350)^2+((F861-'Hybrid Calculator'!$B$11)/30)^2+(G861-'Hybrid Calculator'!$B$12)^2+((H861-'Hybrid Calculator'!$E$14)/IF(A861="Lightning",100,30000))^2+((I861-'Hybrid Calculator'!$E$17)/IF(A861="Lightning",100,30000))^2</f>
        <v>1.6427587697912471</v>
      </c>
      <c r="K861" s="2">
        <f t="shared" si="52"/>
        <v>1376</v>
      </c>
      <c r="L861" s="2">
        <f t="shared" si="53"/>
        <v>0</v>
      </c>
      <c r="M861" s="2">
        <f t="shared" si="54"/>
        <v>0</v>
      </c>
      <c r="N861" s="2">
        <v>-0.55505804726433894</v>
      </c>
      <c r="O861" s="2">
        <f t="shared" si="55"/>
        <v>0</v>
      </c>
      <c r="P861" s="2">
        <v>29.448164826639186</v>
      </c>
      <c r="Q861" s="2">
        <v>-15.583423688066659</v>
      </c>
    </row>
    <row r="862" spans="1:17" ht="15">
      <c r="A862" s="2" t="s">
        <v>81</v>
      </c>
      <c r="B862" s="2">
        <v>1017.7959258435294</v>
      </c>
      <c r="C862" s="2">
        <v>811.79121906170622</v>
      </c>
      <c r="D862" s="2">
        <v>677.60176546871662</v>
      </c>
      <c r="E862" s="2">
        <v>219.43375292001292</v>
      </c>
      <c r="F862" s="2">
        <v>10.340463639236987</v>
      </c>
      <c r="G862" s="2">
        <v>0.80728553383378321</v>
      </c>
      <c r="H862" s="2">
        <v>12515</v>
      </c>
      <c r="I862" s="2">
        <v>1200</v>
      </c>
      <c r="J862" s="2">
        <f>(IF(A862='Hybrid Calculator'!$B$6,0,1))^2+((B862-'Hybrid Calculator'!$B$7)/1500)^2+((C862-'Hybrid Calculator'!$B$8)/1300)^2+((D862-'Hybrid Calculator'!$B$9)/800)^2+((E862-'Hybrid Calculator'!$B$10)/350)^2+((F862-'Hybrid Calculator'!$B$11)/30)^2+(G862-'Hybrid Calculator'!$B$12)^2+((H862-'Hybrid Calculator'!$E$14)/IF(A862="Lightning",100,30000))^2+((I862-'Hybrid Calculator'!$E$17)/IF(A862="Lightning",100,30000))^2</f>
        <v>1.4115114645061908</v>
      </c>
      <c r="K862" s="2">
        <f t="shared" si="52"/>
        <v>1011</v>
      </c>
      <c r="L862" s="2">
        <f t="shared" si="53"/>
        <v>0</v>
      </c>
      <c r="M862" s="2">
        <f t="shared" si="54"/>
        <v>0</v>
      </c>
      <c r="N862" s="2">
        <v>3.331148258379045</v>
      </c>
      <c r="O862" s="2">
        <f t="shared" si="55"/>
        <v>0</v>
      </c>
      <c r="P862" s="2">
        <v>30.117435098927217</v>
      </c>
      <c r="Q862" s="2">
        <v>-0.73840807801082065</v>
      </c>
    </row>
    <row r="863" spans="1:17" ht="15">
      <c r="A863" s="2" t="s">
        <v>81</v>
      </c>
      <c r="B863" s="2">
        <v>966.94806910818443</v>
      </c>
      <c r="C863" s="2">
        <v>687.28415197692811</v>
      </c>
      <c r="D863" s="2">
        <v>415.54681761190295</v>
      </c>
      <c r="E863" s="2">
        <v>86.882901187054813</v>
      </c>
      <c r="F863" s="2">
        <v>14.17015305487439</v>
      </c>
      <c r="G863" s="2">
        <v>0.81929550971835852</v>
      </c>
      <c r="H863" s="2">
        <v>20970</v>
      </c>
      <c r="I863" s="2">
        <v>1200</v>
      </c>
      <c r="J863" s="2">
        <f>(IF(A863='Hybrid Calculator'!$B$6,0,1))^2+((B863-'Hybrid Calculator'!$B$7)/1500)^2+((C863-'Hybrid Calculator'!$B$8)/1300)^2+((D863-'Hybrid Calculator'!$B$9)/800)^2+((E863-'Hybrid Calculator'!$B$10)/350)^2+((F863-'Hybrid Calculator'!$B$11)/30)^2+(G863-'Hybrid Calculator'!$B$12)^2+((H863-'Hybrid Calculator'!$E$14)/IF(A863="Lightning",100,30000))^2+((I863-'Hybrid Calculator'!$E$17)/IF(A863="Lightning",100,30000))^2</f>
        <v>1.6612199020640781</v>
      </c>
      <c r="K863" s="2">
        <f t="shared" si="52"/>
        <v>1384</v>
      </c>
      <c r="L863" s="2">
        <f t="shared" si="53"/>
        <v>0</v>
      </c>
      <c r="M863" s="2">
        <f t="shared" si="54"/>
        <v>0</v>
      </c>
      <c r="N863" s="2">
        <v>-3.5334263553760934</v>
      </c>
      <c r="O863" s="2">
        <f t="shared" si="55"/>
        <v>0</v>
      </c>
      <c r="P863" s="2">
        <v>-17.832705534078286</v>
      </c>
      <c r="Q863" s="2">
        <v>18.000839068808887</v>
      </c>
    </row>
    <row r="864" spans="1:17" ht="15">
      <c r="A864" s="2" t="s">
        <v>81</v>
      </c>
      <c r="B864" s="2">
        <v>985.89388667605817</v>
      </c>
      <c r="C864" s="2">
        <v>1064.2285338486545</v>
      </c>
      <c r="D864" s="2">
        <v>444.61453165858984</v>
      </c>
      <c r="E864" s="2">
        <v>297.33512711944059</v>
      </c>
      <c r="F864" s="2">
        <v>13.410722244530916</v>
      </c>
      <c r="G864" s="2">
        <v>0.83975591480964795</v>
      </c>
      <c r="H864" s="2">
        <v>13815</v>
      </c>
      <c r="I864" s="2">
        <v>1200</v>
      </c>
      <c r="J864" s="2">
        <f>(IF(A864='Hybrid Calculator'!$B$6,0,1))^2+((B864-'Hybrid Calculator'!$B$7)/1500)^2+((C864-'Hybrid Calculator'!$B$8)/1300)^2+((D864-'Hybrid Calculator'!$B$9)/800)^2+((E864-'Hybrid Calculator'!$B$10)/350)^2+((F864-'Hybrid Calculator'!$B$11)/30)^2+(G864-'Hybrid Calculator'!$B$12)^2+((H864-'Hybrid Calculator'!$E$14)/IF(A864="Lightning",100,30000))^2+((I864-'Hybrid Calculator'!$E$17)/IF(A864="Lightning",100,30000))^2</f>
        <v>1.536080553162557</v>
      </c>
      <c r="K864" s="2">
        <f t="shared" si="52"/>
        <v>1276</v>
      </c>
      <c r="L864" s="2">
        <f t="shared" si="53"/>
        <v>0</v>
      </c>
      <c r="M864" s="2">
        <f t="shared" si="54"/>
        <v>0</v>
      </c>
      <c r="N864" s="2">
        <v>2.7509681869139229</v>
      </c>
      <c r="O864" s="2">
        <f t="shared" si="55"/>
        <v>0</v>
      </c>
      <c r="P864" s="2">
        <v>16.027252394036623</v>
      </c>
      <c r="Q864" s="2">
        <v>4.8619514382047555</v>
      </c>
    </row>
    <row r="865" spans="1:17" ht="15">
      <c r="A865" s="2" t="s">
        <v>81</v>
      </c>
      <c r="B865" s="2">
        <v>1093.7361108255573</v>
      </c>
      <c r="C865" s="2">
        <v>1186.2224620534107</v>
      </c>
      <c r="D865" s="2">
        <v>440.51916049793363</v>
      </c>
      <c r="E865" s="2">
        <v>267.53438256680965</v>
      </c>
      <c r="F865" s="2">
        <v>27.989993060473353</v>
      </c>
      <c r="G865" s="2">
        <v>0.83579425394069407</v>
      </c>
      <c r="H865" s="2">
        <v>11290</v>
      </c>
      <c r="I865" s="2">
        <v>1195</v>
      </c>
      <c r="J865" s="2">
        <f>(IF(A865='Hybrid Calculator'!$B$6,0,1))^2+((B865-'Hybrid Calculator'!$B$7)/1500)^2+((C865-'Hybrid Calculator'!$B$8)/1300)^2+((D865-'Hybrid Calculator'!$B$9)/800)^2+((E865-'Hybrid Calculator'!$B$10)/350)^2+((F865-'Hybrid Calculator'!$B$11)/30)^2+(G865-'Hybrid Calculator'!$B$12)^2+((H865-'Hybrid Calculator'!$E$14)/IF(A865="Lightning",100,30000))^2+((I865-'Hybrid Calculator'!$E$17)/IF(A865="Lightning",100,30000))^2</f>
        <v>1.4761726344381592</v>
      </c>
      <c r="K865" s="2">
        <f t="shared" si="52"/>
        <v>1171</v>
      </c>
      <c r="L865" s="2">
        <f t="shared" si="53"/>
        <v>0</v>
      </c>
      <c r="M865" s="2">
        <f t="shared" si="54"/>
        <v>0</v>
      </c>
      <c r="N865" s="2">
        <v>0.18831533215970353</v>
      </c>
      <c r="O865" s="2">
        <f t="shared" si="55"/>
        <v>0</v>
      </c>
      <c r="P865" s="2">
        <v>32.134608070913146</v>
      </c>
      <c r="Q865" s="2">
        <v>-12.254304878849553</v>
      </c>
    </row>
    <row r="866" spans="1:17" ht="15">
      <c r="A866" s="2" t="s">
        <v>81</v>
      </c>
      <c r="B866" s="2">
        <v>981.26975505147129</v>
      </c>
      <c r="C866" s="2">
        <v>922.56140011595562</v>
      </c>
      <c r="D866" s="2">
        <v>730.29058054089546</v>
      </c>
      <c r="E866" s="2">
        <v>125.6262644729577</v>
      </c>
      <c r="F866" s="2">
        <v>18.286218195222318</v>
      </c>
      <c r="G866" s="2">
        <v>0.84897467491915457</v>
      </c>
      <c r="H866" s="2">
        <v>14030</v>
      </c>
      <c r="I866" s="2">
        <v>1200</v>
      </c>
      <c r="J866" s="2">
        <f>(IF(A866='Hybrid Calculator'!$B$6,0,1))^2+((B866-'Hybrid Calculator'!$B$7)/1500)^2+((C866-'Hybrid Calculator'!$B$8)/1300)^2+((D866-'Hybrid Calculator'!$B$9)/800)^2+((E866-'Hybrid Calculator'!$B$10)/350)^2+((F866-'Hybrid Calculator'!$B$11)/30)^2+(G866-'Hybrid Calculator'!$B$12)^2+((H866-'Hybrid Calculator'!$E$14)/IF(A866="Lightning",100,30000))^2+((I866-'Hybrid Calculator'!$E$17)/IF(A866="Lightning",100,30000))^2</f>
        <v>1.3979202477528392</v>
      </c>
      <c r="K866" s="2">
        <f t="shared" si="52"/>
        <v>969</v>
      </c>
      <c r="L866" s="2">
        <f t="shared" si="53"/>
        <v>0</v>
      </c>
      <c r="M866" s="2">
        <f t="shared" si="54"/>
        <v>0</v>
      </c>
      <c r="N866" s="2">
        <v>3.0000086787458997</v>
      </c>
      <c r="O866" s="2">
        <f t="shared" si="55"/>
        <v>0</v>
      </c>
      <c r="P866" s="2">
        <v>9.1986984145923998</v>
      </c>
      <c r="Q866" s="2">
        <v>2.5619732604960745</v>
      </c>
    </row>
    <row r="867" spans="1:17" ht="15">
      <c r="A867" s="2" t="s">
        <v>81</v>
      </c>
      <c r="B867" s="2">
        <v>1037.9561632755212</v>
      </c>
      <c r="C867" s="2">
        <v>678.37432604283094</v>
      </c>
      <c r="D867" s="2">
        <v>675.2311541698873</v>
      </c>
      <c r="E867" s="2">
        <v>255.82613800186664</v>
      </c>
      <c r="F867" s="2">
        <v>13.400960424449295</v>
      </c>
      <c r="G867" s="2">
        <v>0.79904909684322778</v>
      </c>
      <c r="H867" s="2">
        <v>13290</v>
      </c>
      <c r="I867" s="2">
        <v>1200</v>
      </c>
      <c r="J867" s="2">
        <f>(IF(A867='Hybrid Calculator'!$B$6,0,1))^2+((B867-'Hybrid Calculator'!$B$7)/1500)^2+((C867-'Hybrid Calculator'!$B$8)/1300)^2+((D867-'Hybrid Calculator'!$B$9)/800)^2+((E867-'Hybrid Calculator'!$B$10)/350)^2+((F867-'Hybrid Calculator'!$B$11)/30)^2+(G867-'Hybrid Calculator'!$B$12)^2+((H867-'Hybrid Calculator'!$E$14)/IF(A867="Lightning",100,30000))^2+((I867-'Hybrid Calculator'!$E$17)/IF(A867="Lightning",100,30000))^2</f>
        <v>1.4490453567723867</v>
      </c>
      <c r="K867" s="2">
        <f t="shared" si="52"/>
        <v>1106</v>
      </c>
      <c r="L867" s="2">
        <f t="shared" si="53"/>
        <v>0</v>
      </c>
      <c r="M867" s="2">
        <f t="shared" si="54"/>
        <v>0</v>
      </c>
      <c r="N867" s="2">
        <v>-1.3850651290665041</v>
      </c>
      <c r="O867" s="2">
        <f t="shared" si="55"/>
        <v>0</v>
      </c>
      <c r="P867" s="2">
        <v>-20.028311154916082</v>
      </c>
      <c r="Q867" s="2">
        <v>6.0095643513925552</v>
      </c>
    </row>
    <row r="868" spans="1:17" ht="15">
      <c r="A868" s="2" t="s">
        <v>81</v>
      </c>
      <c r="B868" s="2">
        <v>1083.3955288864672</v>
      </c>
      <c r="C868" s="2">
        <v>721.89641868462786</v>
      </c>
      <c r="D868" s="2">
        <v>559.08013079315424</v>
      </c>
      <c r="E868" s="2">
        <v>329.45979012409225</v>
      </c>
      <c r="F868" s="2">
        <v>18.223250212147832</v>
      </c>
      <c r="G868" s="2">
        <v>0.8369409524579533</v>
      </c>
      <c r="H868" s="2">
        <v>13280</v>
      </c>
      <c r="I868" s="2">
        <v>1200</v>
      </c>
      <c r="J868" s="2">
        <f>(IF(A868='Hybrid Calculator'!$B$6,0,1))^2+((B868-'Hybrid Calculator'!$B$7)/1500)^2+((C868-'Hybrid Calculator'!$B$8)/1300)^2+((D868-'Hybrid Calculator'!$B$9)/800)^2+((E868-'Hybrid Calculator'!$B$10)/350)^2+((F868-'Hybrid Calculator'!$B$11)/30)^2+(G868-'Hybrid Calculator'!$B$12)^2+((H868-'Hybrid Calculator'!$E$14)/IF(A868="Lightning",100,30000))^2+((I868-'Hybrid Calculator'!$E$17)/IF(A868="Lightning",100,30000))^2</f>
        <v>1.5263197934914094</v>
      </c>
      <c r="K868" s="2">
        <f t="shared" si="52"/>
        <v>1258</v>
      </c>
      <c r="L868" s="2">
        <f t="shared" si="53"/>
        <v>0</v>
      </c>
      <c r="M868" s="2">
        <f t="shared" si="54"/>
        <v>0</v>
      </c>
      <c r="N868" s="2">
        <v>1.9627852598653703</v>
      </c>
      <c r="O868" s="2">
        <f t="shared" si="55"/>
        <v>0</v>
      </c>
      <c r="P868" s="2">
        <v>-11.13535945990543</v>
      </c>
      <c r="Q868" s="2">
        <v>3.8391034646704156</v>
      </c>
    </row>
    <row r="869" spans="1:17" ht="15">
      <c r="A869" s="2" t="s">
        <v>81</v>
      </c>
      <c r="B869" s="2">
        <v>981.16372261429206</v>
      </c>
      <c r="C869" s="2">
        <v>1166.7772517772391</v>
      </c>
      <c r="D869" s="2">
        <v>662.89765620604157</v>
      </c>
      <c r="E869" s="2">
        <v>121.01471905596554</v>
      </c>
      <c r="F869" s="2">
        <v>15.414318934548646</v>
      </c>
      <c r="G869" s="2">
        <v>0.81042098859790712</v>
      </c>
      <c r="H869" s="2">
        <v>10965</v>
      </c>
      <c r="I869" s="2">
        <v>1195</v>
      </c>
      <c r="J869" s="2">
        <f>(IF(A869='Hybrid Calculator'!$B$6,0,1))^2+((B869-'Hybrid Calculator'!$B$7)/1500)^2+((C869-'Hybrid Calculator'!$B$8)/1300)^2+((D869-'Hybrid Calculator'!$B$9)/800)^2+((E869-'Hybrid Calculator'!$B$10)/350)^2+((F869-'Hybrid Calculator'!$B$11)/30)^2+(G869-'Hybrid Calculator'!$B$12)^2+((H869-'Hybrid Calculator'!$E$14)/IF(A869="Lightning",100,30000))^2+((I869-'Hybrid Calculator'!$E$17)/IF(A869="Lightning",100,30000))^2</f>
        <v>1.3398159109354157</v>
      </c>
      <c r="K869" s="2">
        <f t="shared" si="52"/>
        <v>800</v>
      </c>
      <c r="L869" s="2">
        <f t="shared" si="53"/>
        <v>0</v>
      </c>
      <c r="M869" s="2">
        <f t="shared" si="54"/>
        <v>0</v>
      </c>
      <c r="N869" s="2">
        <v>2.3634139232968892</v>
      </c>
      <c r="O869" s="2">
        <f t="shared" si="55"/>
        <v>0</v>
      </c>
      <c r="P869" s="2">
        <v>11.924075207506576</v>
      </c>
      <c r="Q869" s="2">
        <v>0.39497428029483217</v>
      </c>
    </row>
    <row r="870" spans="1:17" ht="15">
      <c r="A870" s="2" t="s">
        <v>81</v>
      </c>
      <c r="B870" s="2">
        <v>1084.6837393939495</v>
      </c>
      <c r="C870" s="2">
        <v>759.14127550786361</v>
      </c>
      <c r="D870" s="2">
        <v>525.42086709290743</v>
      </c>
      <c r="E870" s="2">
        <v>150.76563179725781</v>
      </c>
      <c r="F870" s="2">
        <v>27.56102049164474</v>
      </c>
      <c r="G870" s="2">
        <v>0.82445066024782143</v>
      </c>
      <c r="H870" s="2">
        <v>14900</v>
      </c>
      <c r="I870" s="2">
        <v>1200</v>
      </c>
      <c r="J870" s="2">
        <f>(IF(A870='Hybrid Calculator'!$B$6,0,1))^2+((B870-'Hybrid Calculator'!$B$7)/1500)^2+((C870-'Hybrid Calculator'!$B$8)/1300)^2+((D870-'Hybrid Calculator'!$B$9)/800)^2+((E870-'Hybrid Calculator'!$B$10)/350)^2+((F870-'Hybrid Calculator'!$B$11)/30)^2+(G870-'Hybrid Calculator'!$B$12)^2+((H870-'Hybrid Calculator'!$E$14)/IF(A870="Lightning",100,30000))^2+((I870-'Hybrid Calculator'!$E$17)/IF(A870="Lightning",100,30000))^2</f>
        <v>1.3951760886961413</v>
      </c>
      <c r="K870" s="2">
        <f t="shared" si="52"/>
        <v>962</v>
      </c>
      <c r="L870" s="2">
        <f t="shared" si="53"/>
        <v>0</v>
      </c>
      <c r="M870" s="2">
        <f t="shared" si="54"/>
        <v>0</v>
      </c>
      <c r="N870" s="2">
        <v>-5.2151769702664126</v>
      </c>
      <c r="O870" s="2">
        <f t="shared" si="55"/>
        <v>0</v>
      </c>
      <c r="P870" s="2">
        <v>-22.427434096289744</v>
      </c>
      <c r="Q870" s="2">
        <v>-5.8193282616605302</v>
      </c>
    </row>
    <row r="871" spans="1:17" ht="15">
      <c r="A871" s="2" t="s">
        <v>81</v>
      </c>
      <c r="B871" s="2">
        <v>963.05813031503931</v>
      </c>
      <c r="C871" s="2">
        <v>685.68229249212891</v>
      </c>
      <c r="D871" s="2">
        <v>393.91054967418313</v>
      </c>
      <c r="E871" s="2">
        <v>268.82725550793111</v>
      </c>
      <c r="F871" s="2">
        <v>29.69123723777011</v>
      </c>
      <c r="G871" s="2">
        <v>0.80227130130399027</v>
      </c>
      <c r="H871" s="2">
        <v>15860</v>
      </c>
      <c r="I871" s="2">
        <v>1200</v>
      </c>
      <c r="J871" s="2">
        <f>(IF(A871='Hybrid Calculator'!$B$6,0,1))^2+((B871-'Hybrid Calculator'!$B$7)/1500)^2+((C871-'Hybrid Calculator'!$B$8)/1300)^2+((D871-'Hybrid Calculator'!$B$9)/800)^2+((E871-'Hybrid Calculator'!$B$10)/350)^2+((F871-'Hybrid Calculator'!$B$11)/30)^2+(G871-'Hybrid Calculator'!$B$12)^2+((H871-'Hybrid Calculator'!$E$14)/IF(A871="Lightning",100,30000))^2+((I871-'Hybrid Calculator'!$E$17)/IF(A871="Lightning",100,30000))^2</f>
        <v>1.6624042643854495</v>
      </c>
      <c r="K871" s="2">
        <f t="shared" si="52"/>
        <v>1385</v>
      </c>
      <c r="L871" s="2">
        <f t="shared" si="53"/>
        <v>0</v>
      </c>
      <c r="M871" s="2">
        <f t="shared" si="54"/>
        <v>0</v>
      </c>
      <c r="N871" s="2">
        <v>-1.9686486550693587</v>
      </c>
      <c r="O871" s="2">
        <f t="shared" si="55"/>
        <v>0</v>
      </c>
      <c r="P871" s="2">
        <v>-30.636872456567744</v>
      </c>
      <c r="Q871" s="2">
        <v>-4.8324274994455436</v>
      </c>
    </row>
    <row r="872" spans="1:17" ht="15">
      <c r="A872" s="2" t="s">
        <v>81</v>
      </c>
      <c r="B872" s="2">
        <v>1008.3707087440416</v>
      </c>
      <c r="C872" s="2">
        <v>770.65694449702278</v>
      </c>
      <c r="D872" s="2">
        <v>690.9126702696085</v>
      </c>
      <c r="E872" s="2">
        <v>178.06731826392934</v>
      </c>
      <c r="F872" s="2">
        <v>13.451622896827757</v>
      </c>
      <c r="G872" s="2">
        <v>0.80844130153534932</v>
      </c>
      <c r="H872" s="2">
        <v>13045</v>
      </c>
      <c r="I872" s="2">
        <v>1200</v>
      </c>
      <c r="J872" s="2">
        <f>(IF(A872='Hybrid Calculator'!$B$6,0,1))^2+((B872-'Hybrid Calculator'!$B$7)/1500)^2+((C872-'Hybrid Calculator'!$B$8)/1300)^2+((D872-'Hybrid Calculator'!$B$9)/800)^2+((E872-'Hybrid Calculator'!$B$10)/350)^2+((F872-'Hybrid Calculator'!$B$11)/30)^2+(G872-'Hybrid Calculator'!$B$12)^2+((H872-'Hybrid Calculator'!$E$14)/IF(A872="Lightning",100,30000))^2+((I872-'Hybrid Calculator'!$E$17)/IF(A872="Lightning",100,30000))^2</f>
        <v>1.3618708478622905</v>
      </c>
      <c r="K872" s="2">
        <f t="shared" si="52"/>
        <v>860</v>
      </c>
      <c r="L872" s="2">
        <f t="shared" si="53"/>
        <v>0</v>
      </c>
      <c r="M872" s="2">
        <f t="shared" si="54"/>
        <v>0</v>
      </c>
      <c r="N872" s="2">
        <v>2.1578586548113208</v>
      </c>
      <c r="O872" s="2">
        <f t="shared" si="55"/>
        <v>0</v>
      </c>
      <c r="P872" s="2">
        <v>-9.4935044733442737</v>
      </c>
      <c r="Q872" s="2">
        <v>3.2861926335896214</v>
      </c>
    </row>
    <row r="873" spans="1:17" ht="15">
      <c r="A873" s="2" t="s">
        <v>81</v>
      </c>
      <c r="B873" s="2">
        <v>958.12589976703748</v>
      </c>
      <c r="C873" s="2">
        <v>1244.453003956005</v>
      </c>
      <c r="D873" s="2">
        <v>528.37172402068973</v>
      </c>
      <c r="E873" s="2">
        <v>260.22045481484383</v>
      </c>
      <c r="F873" s="2">
        <v>9.017955060582608</v>
      </c>
      <c r="G873" s="2">
        <v>0.85631135530769831</v>
      </c>
      <c r="H873" s="2">
        <v>12270</v>
      </c>
      <c r="I873" s="2">
        <v>1200</v>
      </c>
      <c r="J873" s="2">
        <f>(IF(A873='Hybrid Calculator'!$B$6,0,1))^2+((B873-'Hybrid Calculator'!$B$7)/1500)^2+((C873-'Hybrid Calculator'!$B$8)/1300)^2+((D873-'Hybrid Calculator'!$B$9)/800)^2+((E873-'Hybrid Calculator'!$B$10)/350)^2+((F873-'Hybrid Calculator'!$B$11)/30)^2+(G873-'Hybrid Calculator'!$B$12)^2+((H873-'Hybrid Calculator'!$E$14)/IF(A873="Lightning",100,30000))^2+((I873-'Hybrid Calculator'!$E$17)/IF(A873="Lightning",100,30000))^2</f>
        <v>1.5580447939713957</v>
      </c>
      <c r="K873" s="2">
        <f t="shared" si="52"/>
        <v>1313</v>
      </c>
      <c r="L873" s="2">
        <f t="shared" si="53"/>
        <v>0</v>
      </c>
      <c r="M873" s="2">
        <f t="shared" si="54"/>
        <v>0</v>
      </c>
      <c r="N873" s="2">
        <v>1.8916542917132233</v>
      </c>
      <c r="O873" s="2">
        <f t="shared" si="55"/>
        <v>0</v>
      </c>
      <c r="P873" s="2">
        <v>6.9687414824020379</v>
      </c>
      <c r="Q873" s="2">
        <v>2.2787772315441543</v>
      </c>
    </row>
    <row r="874" spans="1:17" ht="15">
      <c r="A874" s="2" t="s">
        <v>81</v>
      </c>
      <c r="B874" s="2">
        <v>1036.1633456777781</v>
      </c>
      <c r="C874" s="2">
        <v>939.62283142609522</v>
      </c>
      <c r="D874" s="2">
        <v>748.10689445585012</v>
      </c>
      <c r="E874" s="2">
        <v>188.07582066627219</v>
      </c>
      <c r="F874" s="2">
        <v>26.868213754147291</v>
      </c>
      <c r="G874" s="2">
        <v>0.83038560088956737</v>
      </c>
      <c r="H874" s="2">
        <v>11400</v>
      </c>
      <c r="I874" s="2">
        <v>1195</v>
      </c>
      <c r="J874" s="2">
        <f>(IF(A874='Hybrid Calculator'!$B$6,0,1))^2+((B874-'Hybrid Calculator'!$B$7)/1500)^2+((C874-'Hybrid Calculator'!$B$8)/1300)^2+((D874-'Hybrid Calculator'!$B$9)/800)^2+((E874-'Hybrid Calculator'!$B$10)/350)^2+((F874-'Hybrid Calculator'!$B$11)/30)^2+(G874-'Hybrid Calculator'!$B$12)^2+((H874-'Hybrid Calculator'!$E$14)/IF(A874="Lightning",100,30000))^2+((I874-'Hybrid Calculator'!$E$17)/IF(A874="Lightning",100,30000))^2</f>
        <v>1.4025405741510857</v>
      </c>
      <c r="K874" s="2">
        <f t="shared" si="52"/>
        <v>982</v>
      </c>
      <c r="L874" s="2">
        <f t="shared" si="53"/>
        <v>0</v>
      </c>
      <c r="M874" s="2">
        <f t="shared" si="54"/>
        <v>0</v>
      </c>
      <c r="N874" s="2">
        <v>0.29489326805958171</v>
      </c>
      <c r="O874" s="2">
        <f t="shared" si="55"/>
        <v>0</v>
      </c>
      <c r="P874" s="2">
        <v>29.158744719342849</v>
      </c>
      <c r="Q874" s="2">
        <v>-13.766699089278177</v>
      </c>
    </row>
    <row r="875" spans="1:17" ht="15">
      <c r="A875" s="2" t="s">
        <v>81</v>
      </c>
      <c r="B875" s="2">
        <v>971.02425770135596</v>
      </c>
      <c r="C875" s="2">
        <v>1197.8290303377435</v>
      </c>
      <c r="D875" s="2">
        <v>516.25668602064252</v>
      </c>
      <c r="E875" s="2">
        <v>145.45356195420027</v>
      </c>
      <c r="F875" s="2">
        <v>21.132135140243918</v>
      </c>
      <c r="G875" s="2">
        <v>0.82957484971266249</v>
      </c>
      <c r="H875" s="2">
        <v>13415</v>
      </c>
      <c r="I875" s="2">
        <v>1200</v>
      </c>
      <c r="J875" s="2">
        <f>(IF(A875='Hybrid Calculator'!$B$6,0,1))^2+((B875-'Hybrid Calculator'!$B$7)/1500)^2+((C875-'Hybrid Calculator'!$B$8)/1300)^2+((D875-'Hybrid Calculator'!$B$9)/800)^2+((E875-'Hybrid Calculator'!$B$10)/350)^2+((F875-'Hybrid Calculator'!$B$11)/30)^2+(G875-'Hybrid Calculator'!$B$12)^2+((H875-'Hybrid Calculator'!$E$14)/IF(A875="Lightning",100,30000))^2+((I875-'Hybrid Calculator'!$E$17)/IF(A875="Lightning",100,30000))^2</f>
        <v>1.3715616562568194</v>
      </c>
      <c r="K875" s="2">
        <f t="shared" si="52"/>
        <v>894</v>
      </c>
      <c r="L875" s="2">
        <f t="shared" si="53"/>
        <v>0</v>
      </c>
      <c r="M875" s="2">
        <f t="shared" si="54"/>
        <v>0</v>
      </c>
      <c r="N875" s="2">
        <v>2.3544113681410295</v>
      </c>
      <c r="O875" s="2">
        <f t="shared" si="55"/>
        <v>0</v>
      </c>
      <c r="P875" s="2">
        <v>6.8428550914709376</v>
      </c>
      <c r="Q875" s="2">
        <v>-6.1328977292633908</v>
      </c>
    </row>
    <row r="876" spans="1:17" ht="15">
      <c r="A876" s="2" t="s">
        <v>81</v>
      </c>
      <c r="B876" s="2">
        <v>969.35306082013994</v>
      </c>
      <c r="C876" s="2">
        <v>1202.21130392747</v>
      </c>
      <c r="D876" s="2">
        <v>580.22403344511986</v>
      </c>
      <c r="E876" s="2">
        <v>176.06089204316959</v>
      </c>
      <c r="F876" s="2">
        <v>13.750373206101358</v>
      </c>
      <c r="G876" s="2">
        <v>0.84458212220808493</v>
      </c>
      <c r="H876" s="2">
        <v>12740</v>
      </c>
      <c r="I876" s="2">
        <v>1200</v>
      </c>
      <c r="J876" s="2">
        <f>(IF(A876='Hybrid Calculator'!$B$6,0,1))^2+((B876-'Hybrid Calculator'!$B$7)/1500)^2+((C876-'Hybrid Calculator'!$B$8)/1300)^2+((D876-'Hybrid Calculator'!$B$9)/800)^2+((E876-'Hybrid Calculator'!$B$10)/350)^2+((F876-'Hybrid Calculator'!$B$11)/30)^2+(G876-'Hybrid Calculator'!$B$12)^2+((H876-'Hybrid Calculator'!$E$14)/IF(A876="Lightning",100,30000))^2+((I876-'Hybrid Calculator'!$E$17)/IF(A876="Lightning",100,30000))^2</f>
        <v>1.387410119459519</v>
      </c>
      <c r="K876" s="2">
        <f t="shared" si="52"/>
        <v>939</v>
      </c>
      <c r="L876" s="2">
        <f t="shared" si="53"/>
        <v>0</v>
      </c>
      <c r="M876" s="2">
        <f t="shared" si="54"/>
        <v>0</v>
      </c>
      <c r="N876" s="2">
        <v>3.6468857700114654</v>
      </c>
      <c r="O876" s="2">
        <f t="shared" si="55"/>
        <v>0</v>
      </c>
      <c r="P876" s="2">
        <v>5.7668928744592449</v>
      </c>
      <c r="Q876" s="2">
        <v>-5.4273598746341349</v>
      </c>
    </row>
    <row r="877" spans="1:17" ht="15">
      <c r="A877" s="2" t="s">
        <v>81</v>
      </c>
      <c r="B877" s="2">
        <v>1067.9273282992654</v>
      </c>
      <c r="C877" s="2">
        <v>693.37263256311417</v>
      </c>
      <c r="D877" s="2">
        <v>586.71464612707496</v>
      </c>
      <c r="E877" s="2">
        <v>292.98241161275655</v>
      </c>
      <c r="F877" s="2">
        <v>17.478191079106182</v>
      </c>
      <c r="G877" s="2">
        <v>0.81290732379071418</v>
      </c>
      <c r="H877" s="2">
        <v>13595</v>
      </c>
      <c r="I877" s="2">
        <v>1200</v>
      </c>
      <c r="J877" s="2">
        <f>(IF(A877='Hybrid Calculator'!$B$6,0,1))^2+((B877-'Hybrid Calculator'!$B$7)/1500)^2+((C877-'Hybrid Calculator'!$B$8)/1300)^2+((D877-'Hybrid Calculator'!$B$9)/800)^2+((E877-'Hybrid Calculator'!$B$10)/350)^2+((F877-'Hybrid Calculator'!$B$11)/30)^2+(G877-'Hybrid Calculator'!$B$12)^2+((H877-'Hybrid Calculator'!$E$14)/IF(A877="Lightning",100,30000))^2+((I877-'Hybrid Calculator'!$E$17)/IF(A877="Lightning",100,30000))^2</f>
        <v>1.4564184661797894</v>
      </c>
      <c r="K877" s="2">
        <f t="shared" si="52"/>
        <v>1120</v>
      </c>
      <c r="L877" s="2">
        <f t="shared" si="53"/>
        <v>0</v>
      </c>
      <c r="M877" s="2">
        <f t="shared" si="54"/>
        <v>0</v>
      </c>
      <c r="N877" s="2">
        <v>2.3072426700142898</v>
      </c>
      <c r="O877" s="2">
        <f t="shared" si="55"/>
        <v>0</v>
      </c>
      <c r="P877" s="2">
        <v>-13.819361822810151</v>
      </c>
      <c r="Q877" s="2">
        <v>-0.14239210721143536</v>
      </c>
    </row>
    <row r="878" spans="1:17" ht="15">
      <c r="A878" s="2" t="s">
        <v>81</v>
      </c>
      <c r="B878" s="2">
        <v>1095.2574445866048</v>
      </c>
      <c r="C878" s="2">
        <v>1177.8964287950657</v>
      </c>
      <c r="D878" s="2">
        <v>692.51340869814157</v>
      </c>
      <c r="E878" s="2">
        <v>221.2752895266749</v>
      </c>
      <c r="F878" s="2">
        <v>13.307841593399644</v>
      </c>
      <c r="G878" s="2">
        <v>0.84161465573357419</v>
      </c>
      <c r="H878" s="2">
        <v>10225</v>
      </c>
      <c r="I878" s="2">
        <v>1195</v>
      </c>
      <c r="J878" s="2">
        <f>(IF(A878='Hybrid Calculator'!$B$6,0,1))^2+((B878-'Hybrid Calculator'!$B$7)/1500)^2+((C878-'Hybrid Calculator'!$B$8)/1300)^2+((D878-'Hybrid Calculator'!$B$9)/800)^2+((E878-'Hybrid Calculator'!$B$10)/350)^2+((F878-'Hybrid Calculator'!$B$11)/30)^2+(G878-'Hybrid Calculator'!$B$12)^2+((H878-'Hybrid Calculator'!$E$14)/IF(A878="Lightning",100,30000))^2+((I878-'Hybrid Calculator'!$E$17)/IF(A878="Lightning",100,30000))^2</f>
        <v>1.3582988147115589</v>
      </c>
      <c r="K878" s="2">
        <f t="shared" si="52"/>
        <v>851</v>
      </c>
      <c r="L878" s="2">
        <f t="shared" si="53"/>
        <v>0</v>
      </c>
      <c r="M878" s="2">
        <f t="shared" si="54"/>
        <v>0</v>
      </c>
      <c r="N878" s="2">
        <v>3.1870520064935306</v>
      </c>
      <c r="O878" s="2">
        <f t="shared" si="55"/>
        <v>0</v>
      </c>
      <c r="P878" s="2">
        <v>69.301368975482546</v>
      </c>
      <c r="Q878" s="2">
        <v>-0.81660620819411633</v>
      </c>
    </row>
    <row r="879" spans="1:17" ht="15">
      <c r="A879" s="2" t="s">
        <v>81</v>
      </c>
      <c r="B879" s="2">
        <v>1024.3236178182997</v>
      </c>
      <c r="C879" s="2">
        <v>623.22320521343499</v>
      </c>
      <c r="D879" s="2">
        <v>509.44743091240525</v>
      </c>
      <c r="E879" s="2">
        <v>285.85416280664504</v>
      </c>
      <c r="F879" s="2">
        <v>26.423919715452939</v>
      </c>
      <c r="G879" s="2">
        <v>0.80322955361101778</v>
      </c>
      <c r="H879" s="2">
        <v>15075</v>
      </c>
      <c r="I879" s="2">
        <v>1200</v>
      </c>
      <c r="J879" s="2">
        <f>(IF(A879='Hybrid Calculator'!$B$6,0,1))^2+((B879-'Hybrid Calculator'!$B$7)/1500)^2+((C879-'Hybrid Calculator'!$B$8)/1300)^2+((D879-'Hybrid Calculator'!$B$9)/800)^2+((E879-'Hybrid Calculator'!$B$10)/350)^2+((F879-'Hybrid Calculator'!$B$11)/30)^2+(G879-'Hybrid Calculator'!$B$12)^2+((H879-'Hybrid Calculator'!$E$14)/IF(A879="Lightning",100,30000))^2+((I879-'Hybrid Calculator'!$E$17)/IF(A879="Lightning",100,30000))^2</f>
        <v>1.5750002836872539</v>
      </c>
      <c r="K879" s="2">
        <f t="shared" si="52"/>
        <v>1331</v>
      </c>
      <c r="L879" s="2">
        <f t="shared" si="53"/>
        <v>0</v>
      </c>
      <c r="M879" s="2">
        <f t="shared" si="54"/>
        <v>0</v>
      </c>
      <c r="N879" s="2">
        <v>-0.31438993270256788</v>
      </c>
      <c r="O879" s="2">
        <f t="shared" si="55"/>
        <v>0</v>
      </c>
      <c r="P879" s="2">
        <v>-50.784830952615721</v>
      </c>
      <c r="Q879" s="2">
        <v>0.41464058130395642</v>
      </c>
    </row>
    <row r="880" spans="1:17" ht="15">
      <c r="A880" s="2" t="s">
        <v>81</v>
      </c>
      <c r="B880" s="2">
        <v>970.65408600028604</v>
      </c>
      <c r="C880" s="2">
        <v>720.94256222480908</v>
      </c>
      <c r="D880" s="2">
        <v>701.89626626670361</v>
      </c>
      <c r="E880" s="2">
        <v>221.89673372311518</v>
      </c>
      <c r="F880" s="2">
        <v>27.335136611945927</v>
      </c>
      <c r="G880" s="2">
        <v>0.79465339221758768</v>
      </c>
      <c r="H880" s="2">
        <v>13005</v>
      </c>
      <c r="I880" s="2">
        <v>1200</v>
      </c>
      <c r="J880" s="2">
        <f>(IF(A880='Hybrid Calculator'!$B$6,0,1))^2+((B880-'Hybrid Calculator'!$B$7)/1500)^2+((C880-'Hybrid Calculator'!$B$8)/1300)^2+((D880-'Hybrid Calculator'!$B$9)/800)^2+((E880-'Hybrid Calculator'!$B$10)/350)^2+((F880-'Hybrid Calculator'!$B$11)/30)^2+(G880-'Hybrid Calculator'!$B$12)^2+((H880-'Hybrid Calculator'!$E$14)/IF(A880="Lightning",100,30000))^2+((I880-'Hybrid Calculator'!$E$17)/IF(A880="Lightning",100,30000))^2</f>
        <v>1.4828795629112976</v>
      </c>
      <c r="K880" s="2">
        <f t="shared" si="52"/>
        <v>1182</v>
      </c>
      <c r="L880" s="2">
        <f t="shared" si="53"/>
        <v>0</v>
      </c>
      <c r="M880" s="2">
        <f t="shared" si="54"/>
        <v>0</v>
      </c>
      <c r="N880" s="2">
        <v>1.2642085208031801</v>
      </c>
      <c r="O880" s="2">
        <f t="shared" si="55"/>
        <v>0</v>
      </c>
      <c r="P880" s="2">
        <v>17.04625697540132</v>
      </c>
      <c r="Q880" s="2">
        <v>-9.0502979396295586</v>
      </c>
    </row>
    <row r="881" spans="1:17" ht="15">
      <c r="A881" s="2" t="s">
        <v>81</v>
      </c>
      <c r="B881" s="2">
        <v>1018.5637402697466</v>
      </c>
      <c r="C881" s="2">
        <v>1012.4583490658551</v>
      </c>
      <c r="D881" s="2">
        <v>649.64493839070201</v>
      </c>
      <c r="E881" s="2">
        <v>195.9387327497825</v>
      </c>
      <c r="F881" s="2">
        <v>28.07696459395811</v>
      </c>
      <c r="G881" s="2">
        <v>0.85581353394314652</v>
      </c>
      <c r="H881" s="2">
        <v>13430</v>
      </c>
      <c r="I881" s="2">
        <v>1200</v>
      </c>
      <c r="J881" s="2">
        <f>(IF(A881='Hybrid Calculator'!$B$6,0,1))^2+((B881-'Hybrid Calculator'!$B$7)/1500)^2+((C881-'Hybrid Calculator'!$B$8)/1300)^2+((D881-'Hybrid Calculator'!$B$9)/800)^2+((E881-'Hybrid Calculator'!$B$10)/350)^2+((F881-'Hybrid Calculator'!$B$11)/30)^2+(G881-'Hybrid Calculator'!$B$12)^2+((H881-'Hybrid Calculator'!$E$14)/IF(A881="Lightning",100,30000))^2+((I881-'Hybrid Calculator'!$E$17)/IF(A881="Lightning",100,30000))^2</f>
        <v>1.4448942650653722</v>
      </c>
      <c r="K881" s="2">
        <f t="shared" si="52"/>
        <v>1097</v>
      </c>
      <c r="L881" s="2">
        <f t="shared" si="53"/>
        <v>0</v>
      </c>
      <c r="M881" s="2">
        <f t="shared" si="54"/>
        <v>0</v>
      </c>
      <c r="N881" s="2">
        <v>0.1938410508449806</v>
      </c>
      <c r="O881" s="2">
        <f t="shared" si="55"/>
        <v>0</v>
      </c>
      <c r="P881" s="2">
        <v>-16.455662126885272</v>
      </c>
      <c r="Q881" s="2">
        <v>-10.071375661886123</v>
      </c>
    </row>
    <row r="882" spans="1:17" ht="15">
      <c r="A882" s="2" t="s">
        <v>81</v>
      </c>
      <c r="B882" s="2">
        <v>967.28027896024287</v>
      </c>
      <c r="C882" s="2">
        <v>997.56814147112891</v>
      </c>
      <c r="D882" s="2">
        <v>666.38548504561186</v>
      </c>
      <c r="E882" s="2">
        <v>107.45171013521031</v>
      </c>
      <c r="F882" s="2">
        <v>18.281022764742374</v>
      </c>
      <c r="G882" s="2">
        <v>0.84285311246523642</v>
      </c>
      <c r="H882" s="2">
        <v>14085</v>
      </c>
      <c r="I882" s="2">
        <v>1200</v>
      </c>
      <c r="J882" s="2">
        <f>(IF(A882='Hybrid Calculator'!$B$6,0,1))^2+((B882-'Hybrid Calculator'!$B$7)/1500)^2+((C882-'Hybrid Calculator'!$B$8)/1300)^2+((D882-'Hybrid Calculator'!$B$9)/800)^2+((E882-'Hybrid Calculator'!$B$10)/350)^2+((F882-'Hybrid Calculator'!$B$11)/30)^2+(G882-'Hybrid Calculator'!$B$12)^2+((H882-'Hybrid Calculator'!$E$14)/IF(A882="Lightning",100,30000))^2+((I882-'Hybrid Calculator'!$E$17)/IF(A882="Lightning",100,30000))^2</f>
        <v>1.3850122686819901</v>
      </c>
      <c r="K882" s="2">
        <f t="shared" si="52"/>
        <v>935</v>
      </c>
      <c r="L882" s="2">
        <f t="shared" si="53"/>
        <v>0</v>
      </c>
      <c r="M882" s="2">
        <f t="shared" si="54"/>
        <v>0</v>
      </c>
      <c r="N882" s="2">
        <v>1.7871843795757911</v>
      </c>
      <c r="O882" s="2">
        <f t="shared" si="55"/>
        <v>0</v>
      </c>
      <c r="P882" s="2">
        <v>-7.5127382364553341</v>
      </c>
      <c r="Q882" s="2">
        <v>2.2769343383104115</v>
      </c>
    </row>
    <row r="883" spans="1:17" ht="15">
      <c r="A883" s="2" t="s">
        <v>81</v>
      </c>
      <c r="B883" s="2">
        <v>1078.6269846488722</v>
      </c>
      <c r="C883" s="2">
        <v>890.47572610434145</v>
      </c>
      <c r="D883" s="2">
        <v>633.96185310557485</v>
      </c>
      <c r="E883" s="2">
        <v>141.22984131798148</v>
      </c>
      <c r="F883" s="2">
        <v>22.136038957629353</v>
      </c>
      <c r="G883" s="2">
        <v>0.8009436835488305</v>
      </c>
      <c r="H883" s="2">
        <v>12840</v>
      </c>
      <c r="I883" s="2">
        <v>1200</v>
      </c>
      <c r="J883" s="2">
        <f>(IF(A883='Hybrid Calculator'!$B$6,0,1))^2+((B883-'Hybrid Calculator'!$B$7)/1500)^2+((C883-'Hybrid Calculator'!$B$8)/1300)^2+((D883-'Hybrid Calculator'!$B$9)/800)^2+((E883-'Hybrid Calculator'!$B$10)/350)^2+((F883-'Hybrid Calculator'!$B$11)/30)^2+(G883-'Hybrid Calculator'!$B$12)^2+((H883-'Hybrid Calculator'!$E$14)/IF(A883="Lightning",100,30000))^2+((I883-'Hybrid Calculator'!$E$17)/IF(A883="Lightning",100,30000))^2</f>
        <v>1.2813064932059246</v>
      </c>
      <c r="K883" s="2">
        <f t="shared" si="52"/>
        <v>710</v>
      </c>
      <c r="L883" s="2">
        <f t="shared" si="53"/>
        <v>0</v>
      </c>
      <c r="M883" s="2">
        <f t="shared" si="54"/>
        <v>0</v>
      </c>
      <c r="N883" s="2">
        <v>-1.59280616570598</v>
      </c>
      <c r="O883" s="2">
        <f t="shared" si="55"/>
        <v>0</v>
      </c>
      <c r="P883" s="2">
        <v>32.677918630088243</v>
      </c>
      <c r="Q883" s="2">
        <v>-0.40556038171780529</v>
      </c>
    </row>
    <row r="884" spans="1:17" ht="15">
      <c r="A884" s="2" t="s">
        <v>81</v>
      </c>
      <c r="B884" s="2">
        <v>1062.8873368259519</v>
      </c>
      <c r="C884" s="2">
        <v>728.87512546731159</v>
      </c>
      <c r="D884" s="2">
        <v>609.48471333831549</v>
      </c>
      <c r="E884" s="2">
        <v>134.31040545227006</v>
      </c>
      <c r="F884" s="2">
        <v>15.625414106994867</v>
      </c>
      <c r="G884" s="2">
        <v>0.84603163056308406</v>
      </c>
      <c r="H884" s="2">
        <v>14520</v>
      </c>
      <c r="I884" s="2">
        <v>1200</v>
      </c>
      <c r="J884" s="2">
        <f>(IF(A884='Hybrid Calculator'!$B$6,0,1))^2+((B884-'Hybrid Calculator'!$B$7)/1500)^2+((C884-'Hybrid Calculator'!$B$8)/1300)^2+((D884-'Hybrid Calculator'!$B$9)/800)^2+((E884-'Hybrid Calculator'!$B$10)/350)^2+((F884-'Hybrid Calculator'!$B$11)/30)^2+(G884-'Hybrid Calculator'!$B$12)^2+((H884-'Hybrid Calculator'!$E$14)/IF(A884="Lightning",100,30000))^2+((I884-'Hybrid Calculator'!$E$17)/IF(A884="Lightning",100,30000))^2</f>
        <v>1.3317367725413343</v>
      </c>
      <c r="K884" s="2">
        <f t="shared" si="52"/>
        <v>780</v>
      </c>
      <c r="L884" s="2">
        <f t="shared" si="53"/>
        <v>0</v>
      </c>
      <c r="M884" s="2">
        <f t="shared" si="54"/>
        <v>0</v>
      </c>
      <c r="N884" s="2">
        <v>-0.65408447119730795</v>
      </c>
      <c r="O884" s="2">
        <f t="shared" si="55"/>
        <v>0</v>
      </c>
      <c r="P884" s="2">
        <v>-39.16966476213247</v>
      </c>
      <c r="Q884" s="2">
        <v>6.0520232576973285</v>
      </c>
    </row>
    <row r="885" spans="1:17" ht="15">
      <c r="A885" s="2" t="s">
        <v>81</v>
      </c>
      <c r="B885" s="2">
        <v>1075.9016661089845</v>
      </c>
      <c r="C885" s="2">
        <v>626.82443119119853</v>
      </c>
      <c r="D885" s="2">
        <v>528.32166897132993</v>
      </c>
      <c r="E885" s="2">
        <v>186.54480755329132</v>
      </c>
      <c r="F885" s="2">
        <v>12.823247919324785</v>
      </c>
      <c r="G885" s="2">
        <v>0.80888857565354555</v>
      </c>
      <c r="H885" s="2">
        <v>15940</v>
      </c>
      <c r="I885" s="2">
        <v>1200</v>
      </c>
      <c r="J885" s="2">
        <f>(IF(A885='Hybrid Calculator'!$B$6,0,1))^2+((B885-'Hybrid Calculator'!$B$7)/1500)^2+((C885-'Hybrid Calculator'!$B$8)/1300)^2+((D885-'Hybrid Calculator'!$B$9)/800)^2+((E885-'Hybrid Calculator'!$B$10)/350)^2+((F885-'Hybrid Calculator'!$B$11)/30)^2+(G885-'Hybrid Calculator'!$B$12)^2+((H885-'Hybrid Calculator'!$E$14)/IF(A885="Lightning",100,30000))^2+((I885-'Hybrid Calculator'!$E$17)/IF(A885="Lightning",100,30000))^2</f>
        <v>1.4138020151286577</v>
      </c>
      <c r="K885" s="2">
        <f t="shared" si="52"/>
        <v>1018</v>
      </c>
      <c r="L885" s="2">
        <f t="shared" si="53"/>
        <v>0</v>
      </c>
      <c r="M885" s="2">
        <f t="shared" si="54"/>
        <v>0</v>
      </c>
      <c r="N885" s="2">
        <v>-1.1120408675747342</v>
      </c>
      <c r="O885" s="2">
        <f t="shared" si="55"/>
        <v>0</v>
      </c>
      <c r="P885" s="2">
        <v>10.835571334371707</v>
      </c>
      <c r="Q885" s="2">
        <v>15.374431976319329</v>
      </c>
    </row>
    <row r="886" spans="1:17" ht="15">
      <c r="A886" s="2" t="s">
        <v>81</v>
      </c>
      <c r="B886" s="2">
        <v>1032.3469953844324</v>
      </c>
      <c r="C886" s="2">
        <v>677.57736231433228</v>
      </c>
      <c r="D886" s="2">
        <v>726.89258232712746</v>
      </c>
      <c r="E886" s="2">
        <v>92.515781854745001</v>
      </c>
      <c r="F886" s="2">
        <v>20.391171111725271</v>
      </c>
      <c r="G886" s="2">
        <v>0.79409894516458734</v>
      </c>
      <c r="H886" s="2">
        <v>14285</v>
      </c>
      <c r="I886" s="2">
        <v>1200</v>
      </c>
      <c r="J886" s="2">
        <f>(IF(A886='Hybrid Calculator'!$B$6,0,1))^2+((B886-'Hybrid Calculator'!$B$7)/1500)^2+((C886-'Hybrid Calculator'!$B$8)/1300)^2+((D886-'Hybrid Calculator'!$B$9)/800)^2+((E886-'Hybrid Calculator'!$B$10)/350)^2+((F886-'Hybrid Calculator'!$B$11)/30)^2+(G886-'Hybrid Calculator'!$B$12)^2+((H886-'Hybrid Calculator'!$E$14)/IF(A886="Lightning",100,30000))^2+((I886-'Hybrid Calculator'!$E$17)/IF(A886="Lightning",100,30000))^2</f>
        <v>1.4248562216856218</v>
      </c>
      <c r="K886" s="2">
        <f t="shared" si="52"/>
        <v>1048</v>
      </c>
      <c r="L886" s="2">
        <f t="shared" si="53"/>
        <v>0</v>
      </c>
      <c r="M886" s="2">
        <f t="shared" si="54"/>
        <v>0</v>
      </c>
      <c r="N886" s="2">
        <v>0.62573409289487358</v>
      </c>
      <c r="O886" s="2">
        <f t="shared" si="55"/>
        <v>0</v>
      </c>
      <c r="P886" s="2">
        <v>19.55944619957063</v>
      </c>
      <c r="Q886" s="2">
        <v>2.7321649372208867</v>
      </c>
    </row>
    <row r="887" spans="1:17" ht="15">
      <c r="A887" s="2" t="s">
        <v>81</v>
      </c>
      <c r="B887" s="2">
        <v>1050.3114204737358</v>
      </c>
      <c r="C887" s="2">
        <v>827.82171089202166</v>
      </c>
      <c r="D887" s="2">
        <v>680.31798442825675</v>
      </c>
      <c r="E887" s="2">
        <v>228.41102075297385</v>
      </c>
      <c r="F887" s="2">
        <v>22.373553657438606</v>
      </c>
      <c r="G887" s="2">
        <v>0.83007545626722279</v>
      </c>
      <c r="H887" s="2">
        <v>12315</v>
      </c>
      <c r="I887" s="2">
        <v>1200</v>
      </c>
      <c r="J887" s="2">
        <f>(IF(A887='Hybrid Calculator'!$B$6,0,1))^2+((B887-'Hybrid Calculator'!$B$7)/1500)^2+((C887-'Hybrid Calculator'!$B$8)/1300)^2+((D887-'Hybrid Calculator'!$B$9)/800)^2+((E887-'Hybrid Calculator'!$B$10)/350)^2+((F887-'Hybrid Calculator'!$B$11)/30)^2+(G887-'Hybrid Calculator'!$B$12)^2+((H887-'Hybrid Calculator'!$E$14)/IF(A887="Lightning",100,30000))^2+((I887-'Hybrid Calculator'!$E$17)/IF(A887="Lightning",100,30000))^2</f>
        <v>1.3491332317806655</v>
      </c>
      <c r="K887" s="2">
        <f t="shared" si="52"/>
        <v>830</v>
      </c>
      <c r="L887" s="2">
        <f t="shared" si="53"/>
        <v>0</v>
      </c>
      <c r="M887" s="2">
        <f t="shared" si="54"/>
        <v>0</v>
      </c>
      <c r="N887" s="2">
        <v>0.78948131484611395</v>
      </c>
      <c r="O887" s="2">
        <f t="shared" si="55"/>
        <v>0</v>
      </c>
      <c r="P887" s="2">
        <v>5.3091553114963972</v>
      </c>
      <c r="Q887" s="2">
        <v>-6.6792007822461983</v>
      </c>
    </row>
    <row r="888" spans="1:17" ht="15">
      <c r="A888" s="2" t="s">
        <v>81</v>
      </c>
      <c r="B888" s="2">
        <v>997.25168021395802</v>
      </c>
      <c r="C888" s="2">
        <v>766.47944910218939</v>
      </c>
      <c r="D888" s="2">
        <v>385.97600255161524</v>
      </c>
      <c r="E888" s="2">
        <v>236.29651030758396</v>
      </c>
      <c r="F888" s="2">
        <v>8.6896317470818758</v>
      </c>
      <c r="G888" s="2">
        <v>0.85515506728785118</v>
      </c>
      <c r="H888" s="2">
        <v>17965</v>
      </c>
      <c r="I888" s="2">
        <v>1200</v>
      </c>
      <c r="J888" s="2">
        <f>(IF(A888='Hybrid Calculator'!$B$6,0,1))^2+((B888-'Hybrid Calculator'!$B$7)/1500)^2+((C888-'Hybrid Calculator'!$B$8)/1300)^2+((D888-'Hybrid Calculator'!$B$9)/800)^2+((E888-'Hybrid Calculator'!$B$10)/350)^2+((F888-'Hybrid Calculator'!$B$11)/30)^2+(G888-'Hybrid Calculator'!$B$12)^2+((H888-'Hybrid Calculator'!$E$14)/IF(A888="Lightning",100,30000))^2+((I888-'Hybrid Calculator'!$E$17)/IF(A888="Lightning",100,30000))^2</f>
        <v>1.6328693266078496</v>
      </c>
      <c r="K888" s="2">
        <f t="shared" si="52"/>
        <v>1369</v>
      </c>
      <c r="L888" s="2">
        <f t="shared" si="53"/>
        <v>0</v>
      </c>
      <c r="M888" s="2">
        <f t="shared" si="54"/>
        <v>0</v>
      </c>
      <c r="N888" s="2">
        <v>2.9386045415542412</v>
      </c>
      <c r="O888" s="2">
        <f t="shared" si="55"/>
        <v>0</v>
      </c>
      <c r="P888" s="2">
        <v>20.473176584565863</v>
      </c>
      <c r="Q888" s="2">
        <v>8.5232255498967788</v>
      </c>
    </row>
    <row r="889" spans="1:17" ht="15">
      <c r="A889" s="2" t="s">
        <v>81</v>
      </c>
      <c r="B889" s="2">
        <v>1082.8632637509145</v>
      </c>
      <c r="C889" s="2">
        <v>1074.5224763872102</v>
      </c>
      <c r="D889" s="2">
        <v>367.5092943944037</v>
      </c>
      <c r="E889" s="2">
        <v>300.424396218732</v>
      </c>
      <c r="F889" s="2">
        <v>27.987702072132379</v>
      </c>
      <c r="G889" s="2">
        <v>0.81222535493317993</v>
      </c>
      <c r="H889" s="2">
        <v>12275</v>
      </c>
      <c r="I889" s="2">
        <v>1200</v>
      </c>
      <c r="J889" s="2">
        <f>(IF(A889='Hybrid Calculator'!$B$6,0,1))^2+((B889-'Hybrid Calculator'!$B$7)/1500)^2+((C889-'Hybrid Calculator'!$B$8)/1300)^2+((D889-'Hybrid Calculator'!$B$9)/800)^2+((E889-'Hybrid Calculator'!$B$10)/350)^2+((F889-'Hybrid Calculator'!$B$11)/30)^2+(G889-'Hybrid Calculator'!$B$12)^2+((H889-'Hybrid Calculator'!$E$14)/IF(A889="Lightning",100,30000))^2+((I889-'Hybrid Calculator'!$E$17)/IF(A889="Lightning",100,30000))^2</f>
        <v>1.5616652965541618</v>
      </c>
      <c r="K889" s="2">
        <f t="shared" si="52"/>
        <v>1320</v>
      </c>
      <c r="L889" s="2">
        <f t="shared" si="53"/>
        <v>0</v>
      </c>
      <c r="M889" s="2">
        <f t="shared" si="54"/>
        <v>0</v>
      </c>
      <c r="N889" s="2">
        <v>-1.5544651291831997</v>
      </c>
      <c r="O889" s="2">
        <f t="shared" si="55"/>
        <v>0</v>
      </c>
      <c r="P889" s="2">
        <v>56.175470090933231</v>
      </c>
      <c r="Q889" s="2">
        <v>-8.1841005013766335</v>
      </c>
    </row>
    <row r="890" spans="1:17" ht="15">
      <c r="A890" s="2" t="s">
        <v>81</v>
      </c>
      <c r="B890" s="2">
        <v>1026.5023743500933</v>
      </c>
      <c r="C890" s="2">
        <v>816.99290160322562</v>
      </c>
      <c r="D890" s="2">
        <v>481.06787167489529</v>
      </c>
      <c r="E890" s="2">
        <v>232.20427763415501</v>
      </c>
      <c r="F890" s="2">
        <v>19.813646686263382</v>
      </c>
      <c r="G890" s="2">
        <v>0.82004892532480889</v>
      </c>
      <c r="H890" s="2">
        <v>13975</v>
      </c>
      <c r="I890" s="2">
        <v>1200</v>
      </c>
      <c r="J890" s="2">
        <f>(IF(A890='Hybrid Calculator'!$B$6,0,1))^2+((B890-'Hybrid Calculator'!$B$7)/1500)^2+((C890-'Hybrid Calculator'!$B$8)/1300)^2+((D890-'Hybrid Calculator'!$B$9)/800)^2+((E890-'Hybrid Calculator'!$B$10)/350)^2+((F890-'Hybrid Calculator'!$B$11)/30)^2+(G890-'Hybrid Calculator'!$B$12)^2+((H890-'Hybrid Calculator'!$E$14)/IF(A890="Lightning",100,30000))^2+((I890-'Hybrid Calculator'!$E$17)/IF(A890="Lightning",100,30000))^2</f>
        <v>1.3458483840318378</v>
      </c>
      <c r="K890" s="2">
        <f t="shared" si="52"/>
        <v>819</v>
      </c>
      <c r="L890" s="2">
        <f t="shared" si="53"/>
        <v>0</v>
      </c>
      <c r="M890" s="2">
        <f t="shared" si="54"/>
        <v>0</v>
      </c>
      <c r="N890" s="2">
        <v>-0.70721189891199288</v>
      </c>
      <c r="O890" s="2">
        <f t="shared" si="55"/>
        <v>0</v>
      </c>
      <c r="P890" s="2">
        <v>-10.523195389800094</v>
      </c>
      <c r="Q890" s="2">
        <v>7.0597267441000895</v>
      </c>
    </row>
    <row r="891" spans="1:17" ht="15">
      <c r="A891" s="2" t="s">
        <v>81</v>
      </c>
      <c r="B891" s="2">
        <v>1045.470794418361</v>
      </c>
      <c r="C891" s="2">
        <v>1074.454146111384</v>
      </c>
      <c r="D891" s="2">
        <v>375.23091314360499</v>
      </c>
      <c r="E891" s="2">
        <v>317.57971765007824</v>
      </c>
      <c r="F891" s="2">
        <v>24.591387092601508</v>
      </c>
      <c r="G891" s="2">
        <v>0.81479847976937891</v>
      </c>
      <c r="H891" s="2">
        <v>12100</v>
      </c>
      <c r="I891" s="2">
        <v>1200</v>
      </c>
      <c r="J891" s="2">
        <f>(IF(A891='Hybrid Calculator'!$B$6,0,1))^2+((B891-'Hybrid Calculator'!$B$7)/1500)^2+((C891-'Hybrid Calculator'!$B$8)/1300)^2+((D891-'Hybrid Calculator'!$B$9)/800)^2+((E891-'Hybrid Calculator'!$B$10)/350)^2+((F891-'Hybrid Calculator'!$B$11)/30)^2+(G891-'Hybrid Calculator'!$B$12)^2+((H891-'Hybrid Calculator'!$E$14)/IF(A891="Lightning",100,30000))^2+((I891-'Hybrid Calculator'!$E$17)/IF(A891="Lightning",100,30000))^2</f>
        <v>1.5515268859770577</v>
      </c>
      <c r="K891" s="2">
        <f t="shared" si="52"/>
        <v>1305</v>
      </c>
      <c r="L891" s="2">
        <f t="shared" si="53"/>
        <v>0</v>
      </c>
      <c r="M891" s="2">
        <f t="shared" si="54"/>
        <v>0</v>
      </c>
      <c r="N891" s="2">
        <v>-0.24395932346132554</v>
      </c>
      <c r="O891" s="2">
        <f t="shared" si="55"/>
        <v>0</v>
      </c>
      <c r="P891" s="2">
        <v>60.49678666481941</v>
      </c>
      <c r="Q891" s="2">
        <v>-6.1759609767252641</v>
      </c>
    </row>
    <row r="892" spans="1:17" ht="15">
      <c r="A892" s="2" t="s">
        <v>81</v>
      </c>
      <c r="B892" s="2">
        <v>1042.3195984680206</v>
      </c>
      <c r="C892" s="2">
        <v>881.88410400180146</v>
      </c>
      <c r="D892" s="2">
        <v>437.17401903122663</v>
      </c>
      <c r="E892" s="2">
        <v>222.78446353273466</v>
      </c>
      <c r="F892" s="2">
        <v>18.399736016988754</v>
      </c>
      <c r="G892" s="2">
        <v>0.83386827966431154</v>
      </c>
      <c r="H892" s="2">
        <v>13870</v>
      </c>
      <c r="I892" s="2">
        <v>1200</v>
      </c>
      <c r="J892" s="2">
        <f>(IF(A892='Hybrid Calculator'!$B$6,0,1))^2+((B892-'Hybrid Calculator'!$B$7)/1500)^2+((C892-'Hybrid Calculator'!$B$8)/1300)^2+((D892-'Hybrid Calculator'!$B$9)/800)^2+((E892-'Hybrid Calculator'!$B$10)/350)^2+((F892-'Hybrid Calculator'!$B$11)/30)^2+(G892-'Hybrid Calculator'!$B$12)^2+((H892-'Hybrid Calculator'!$E$14)/IF(A892="Lightning",100,30000))^2+((I892-'Hybrid Calculator'!$E$17)/IF(A892="Lightning",100,30000))^2</f>
        <v>1.3290520773089669</v>
      </c>
      <c r="K892" s="2">
        <f t="shared" si="52"/>
        <v>775</v>
      </c>
      <c r="L892" s="2">
        <f t="shared" si="53"/>
        <v>0</v>
      </c>
      <c r="M892" s="2">
        <f t="shared" si="54"/>
        <v>0</v>
      </c>
      <c r="N892" s="2">
        <v>2.3459049429241645</v>
      </c>
      <c r="O892" s="2">
        <f t="shared" si="55"/>
        <v>0</v>
      </c>
      <c r="P892" s="2">
        <v>0.81488390315826109</v>
      </c>
      <c r="Q892" s="2">
        <v>9.3645305131103669</v>
      </c>
    </row>
    <row r="893" spans="1:17" ht="15">
      <c r="A893" s="2" t="s">
        <v>81</v>
      </c>
      <c r="B893" s="2">
        <v>980.49766655312851</v>
      </c>
      <c r="C893" s="2">
        <v>1093.2613493641838</v>
      </c>
      <c r="D893" s="2">
        <v>627.53513874486089</v>
      </c>
      <c r="E893" s="2">
        <v>249.52904919162393</v>
      </c>
      <c r="F893" s="2">
        <v>21.166795930359513</v>
      </c>
      <c r="G893" s="2">
        <v>0.79060288158711045</v>
      </c>
      <c r="H893" s="2">
        <v>10855</v>
      </c>
      <c r="I893" s="2">
        <v>1195</v>
      </c>
      <c r="J893" s="2">
        <f>(IF(A893='Hybrid Calculator'!$B$6,0,1))^2+((B893-'Hybrid Calculator'!$B$7)/1500)^2+((C893-'Hybrid Calculator'!$B$8)/1300)^2+((D893-'Hybrid Calculator'!$B$9)/800)^2+((E893-'Hybrid Calculator'!$B$10)/350)^2+((F893-'Hybrid Calculator'!$B$11)/30)^2+(G893-'Hybrid Calculator'!$B$12)^2+((H893-'Hybrid Calculator'!$E$14)/IF(A893="Lightning",100,30000))^2+((I893-'Hybrid Calculator'!$E$17)/IF(A893="Lightning",100,30000))^2</f>
        <v>1.3691169772342311</v>
      </c>
      <c r="K893" s="2">
        <f t="shared" si="52"/>
        <v>882</v>
      </c>
      <c r="L893" s="2">
        <f t="shared" si="53"/>
        <v>0</v>
      </c>
      <c r="M893" s="2">
        <f t="shared" si="54"/>
        <v>0</v>
      </c>
      <c r="N893" s="2">
        <v>-1.0377783238356244</v>
      </c>
      <c r="O893" s="2">
        <f t="shared" si="55"/>
        <v>0</v>
      </c>
      <c r="P893" s="2">
        <v>-22.759971347457395</v>
      </c>
      <c r="Q893" s="2">
        <v>-9.2618408070429723</v>
      </c>
    </row>
    <row r="894" spans="1:17" ht="15">
      <c r="A894" s="2" t="s">
        <v>81</v>
      </c>
      <c r="B894" s="2">
        <v>953.91984444577247</v>
      </c>
      <c r="C894" s="2">
        <v>662.77394649805501</v>
      </c>
      <c r="D894" s="2">
        <v>446.45468145608902</v>
      </c>
      <c r="E894" s="2">
        <v>156.92367857089266</v>
      </c>
      <c r="F894" s="2">
        <v>25.16793833207339</v>
      </c>
      <c r="G894" s="2">
        <v>0.81464537683641547</v>
      </c>
      <c r="H894" s="2">
        <v>19705</v>
      </c>
      <c r="I894" s="2">
        <v>1200</v>
      </c>
      <c r="J894" s="2">
        <f>(IF(A894='Hybrid Calculator'!$B$6,0,1))^2+((B894-'Hybrid Calculator'!$B$7)/1500)^2+((C894-'Hybrid Calculator'!$B$8)/1300)^2+((D894-'Hybrid Calculator'!$B$9)/800)^2+((E894-'Hybrid Calculator'!$B$10)/350)^2+((F894-'Hybrid Calculator'!$B$11)/30)^2+(G894-'Hybrid Calculator'!$B$12)^2+((H894-'Hybrid Calculator'!$E$14)/IF(A894="Lightning",100,30000))^2+((I894-'Hybrid Calculator'!$E$17)/IF(A894="Lightning",100,30000))^2</f>
        <v>1.6044501224101573</v>
      </c>
      <c r="K894" s="2">
        <f t="shared" si="52"/>
        <v>1355</v>
      </c>
      <c r="L894" s="2">
        <f t="shared" si="53"/>
        <v>0</v>
      </c>
      <c r="M894" s="2">
        <f t="shared" si="54"/>
        <v>0</v>
      </c>
      <c r="N894" s="2">
        <v>-0.64090876696147348</v>
      </c>
      <c r="O894" s="2">
        <f t="shared" si="55"/>
        <v>0</v>
      </c>
      <c r="P894" s="2">
        <v>-65.086607307716804</v>
      </c>
      <c r="Q894" s="2">
        <v>2.6187677615108669</v>
      </c>
    </row>
    <row r="895" spans="1:17" ht="15">
      <c r="A895" s="2" t="s">
        <v>81</v>
      </c>
      <c r="B895" s="2">
        <v>958.5432915831916</v>
      </c>
      <c r="C895" s="2">
        <v>1067.2750676982105</v>
      </c>
      <c r="D895" s="2">
        <v>679.54125916585326</v>
      </c>
      <c r="E895" s="2">
        <v>179.27514439914376</v>
      </c>
      <c r="F895" s="2">
        <v>9.6498220614157617</v>
      </c>
      <c r="G895" s="2">
        <v>0.80037359741516412</v>
      </c>
      <c r="H895" s="2">
        <v>12955</v>
      </c>
      <c r="I895" s="2">
        <v>1200</v>
      </c>
      <c r="J895" s="2">
        <f>(IF(A895='Hybrid Calculator'!$B$6,0,1))^2+((B895-'Hybrid Calculator'!$B$7)/1500)^2+((C895-'Hybrid Calculator'!$B$8)/1300)^2+((D895-'Hybrid Calculator'!$B$9)/800)^2+((E895-'Hybrid Calculator'!$B$10)/350)^2+((F895-'Hybrid Calculator'!$B$11)/30)^2+(G895-'Hybrid Calculator'!$B$12)^2+((H895-'Hybrid Calculator'!$E$14)/IF(A895="Lightning",100,30000))^2+((I895-'Hybrid Calculator'!$E$17)/IF(A895="Lightning",100,30000))^2</f>
        <v>1.4559916140511036</v>
      </c>
      <c r="K895" s="2">
        <f t="shared" si="52"/>
        <v>1118</v>
      </c>
      <c r="L895" s="2">
        <f t="shared" si="53"/>
        <v>0</v>
      </c>
      <c r="M895" s="2">
        <f t="shared" si="54"/>
        <v>0</v>
      </c>
      <c r="N895" s="2">
        <v>1.7595133769696361</v>
      </c>
      <c r="O895" s="2">
        <f t="shared" si="55"/>
        <v>0</v>
      </c>
      <c r="P895" s="2">
        <v>-21.71033582183918</v>
      </c>
      <c r="Q895" s="2">
        <v>3.2697487229454509</v>
      </c>
    </row>
    <row r="896" spans="1:17" ht="15">
      <c r="A896" s="2" t="s">
        <v>81</v>
      </c>
      <c r="B896" s="2">
        <v>968.13826747238636</v>
      </c>
      <c r="C896" s="2">
        <v>968.65690260892734</v>
      </c>
      <c r="D896" s="2">
        <v>617.23649669438601</v>
      </c>
      <c r="E896" s="2">
        <v>282.55463250214234</v>
      </c>
      <c r="F896" s="2">
        <v>13.164070708677173</v>
      </c>
      <c r="G896" s="2">
        <v>0.85996772450627768</v>
      </c>
      <c r="H896" s="2">
        <v>13355</v>
      </c>
      <c r="I896" s="2">
        <v>1200</v>
      </c>
      <c r="J896" s="2">
        <f>(IF(A896='Hybrid Calculator'!$B$6,0,1))^2+((B896-'Hybrid Calculator'!$B$7)/1500)^2+((C896-'Hybrid Calculator'!$B$8)/1300)^2+((D896-'Hybrid Calculator'!$B$9)/800)^2+((E896-'Hybrid Calculator'!$B$10)/350)^2+((F896-'Hybrid Calculator'!$B$11)/30)^2+(G896-'Hybrid Calculator'!$B$12)^2+((H896-'Hybrid Calculator'!$E$14)/IF(A896="Lightning",100,30000))^2+((I896-'Hybrid Calculator'!$E$17)/IF(A896="Lightning",100,30000))^2</f>
        <v>1.4974662246289654</v>
      </c>
      <c r="K896" s="2">
        <f t="shared" si="52"/>
        <v>1205</v>
      </c>
      <c r="L896" s="2">
        <f t="shared" si="53"/>
        <v>0</v>
      </c>
      <c r="M896" s="2">
        <f t="shared" si="54"/>
        <v>0</v>
      </c>
      <c r="N896" s="2">
        <v>4.164272504087478</v>
      </c>
      <c r="O896" s="2">
        <f t="shared" si="55"/>
        <v>0</v>
      </c>
      <c r="P896" s="2">
        <v>-31.154331826674024</v>
      </c>
      <c r="Q896" s="2">
        <v>-1.4301273049078418</v>
      </c>
    </row>
    <row r="897" spans="1:17" ht="15">
      <c r="A897" s="2" t="s">
        <v>81</v>
      </c>
      <c r="B897" s="2">
        <v>1029.37658081064</v>
      </c>
      <c r="C897" s="2">
        <v>1200.5307814339176</v>
      </c>
      <c r="D897" s="2">
        <v>382.25259939208627</v>
      </c>
      <c r="E897" s="2">
        <v>175.26893845759332</v>
      </c>
      <c r="F897" s="2">
        <v>15.814674448687583</v>
      </c>
      <c r="G897" s="2">
        <v>0.80966426350641996</v>
      </c>
      <c r="H897" s="2">
        <v>12165</v>
      </c>
      <c r="I897" s="2">
        <v>1200</v>
      </c>
      <c r="J897" s="2">
        <f>(IF(A897='Hybrid Calculator'!$B$6,0,1))^2+((B897-'Hybrid Calculator'!$B$7)/1500)^2+((C897-'Hybrid Calculator'!$B$8)/1300)^2+((D897-'Hybrid Calculator'!$B$9)/800)^2+((E897-'Hybrid Calculator'!$B$10)/350)^2+((F897-'Hybrid Calculator'!$B$11)/30)^2+(G897-'Hybrid Calculator'!$B$12)^2+((H897-'Hybrid Calculator'!$E$14)/IF(A897="Lightning",100,30000))^2+((I897-'Hybrid Calculator'!$E$17)/IF(A897="Lightning",100,30000))^2</f>
        <v>1.3418787453154353</v>
      </c>
      <c r="K897" s="2">
        <f t="shared" si="52"/>
        <v>807</v>
      </c>
      <c r="L897" s="2">
        <f t="shared" si="53"/>
        <v>0</v>
      </c>
      <c r="M897" s="2">
        <f t="shared" si="54"/>
        <v>0</v>
      </c>
      <c r="N897" s="2">
        <v>0.69086942537910545</v>
      </c>
      <c r="O897" s="2">
        <f t="shared" si="55"/>
        <v>0</v>
      </c>
      <c r="P897" s="2">
        <v>0.95664087098248274</v>
      </c>
      <c r="Q897" s="2">
        <v>1.2733001962239996</v>
      </c>
    </row>
    <row r="898" spans="1:17" ht="15">
      <c r="A898" s="2" t="s">
        <v>81</v>
      </c>
      <c r="B898" s="2">
        <v>1096.1096505634487</v>
      </c>
      <c r="C898" s="2">
        <v>1039.8953880532645</v>
      </c>
      <c r="D898" s="2">
        <v>641.84217993170023</v>
      </c>
      <c r="E898" s="2">
        <v>266.86125153908506</v>
      </c>
      <c r="F898" s="2">
        <v>10.968687811866403</v>
      </c>
      <c r="G898" s="2">
        <v>0.8481430892203935</v>
      </c>
      <c r="H898" s="2">
        <v>10975</v>
      </c>
      <c r="I898" s="2">
        <v>1195</v>
      </c>
      <c r="J898" s="2">
        <f>(IF(A898='Hybrid Calculator'!$B$6,0,1))^2+((B898-'Hybrid Calculator'!$B$7)/1500)^2+((C898-'Hybrid Calculator'!$B$8)/1300)^2+((D898-'Hybrid Calculator'!$B$9)/800)^2+((E898-'Hybrid Calculator'!$B$10)/350)^2+((F898-'Hybrid Calculator'!$B$11)/30)^2+(G898-'Hybrid Calculator'!$B$12)^2+((H898-'Hybrid Calculator'!$E$14)/IF(A898="Lightning",100,30000))^2+((I898-'Hybrid Calculator'!$E$17)/IF(A898="Lightning",100,30000))^2</f>
        <v>1.4102841488548845</v>
      </c>
      <c r="K898" s="2">
        <f t="shared" ref="K898:K961" si="56">RANK(J898,$J$2:$J$1401,1)</f>
        <v>1008</v>
      </c>
      <c r="L898" s="2">
        <f t="shared" ref="L898:L961" si="57">IF(K898&lt;=7,1,0)</f>
        <v>0</v>
      </c>
      <c r="M898" s="2">
        <f t="shared" ref="M898:M961" si="58">IF(L898=1,1/(J898+0.000001),0)</f>
        <v>0</v>
      </c>
      <c r="N898" s="2">
        <v>3.8100429374478608</v>
      </c>
      <c r="O898" s="2">
        <f t="shared" ref="O898:O961" si="59">M898</f>
        <v>0</v>
      </c>
      <c r="P898" s="2">
        <v>-23.730392054917502</v>
      </c>
      <c r="Q898" s="2">
        <v>-7.6985547428221253</v>
      </c>
    </row>
    <row r="899" spans="1:17" ht="15">
      <c r="A899" s="2" t="s">
        <v>81</v>
      </c>
      <c r="B899" s="2">
        <v>977.76273243362084</v>
      </c>
      <c r="C899" s="2">
        <v>1022.9951641755179</v>
      </c>
      <c r="D899" s="2">
        <v>552.51903766766191</v>
      </c>
      <c r="E899" s="2">
        <v>139.75059629417956</v>
      </c>
      <c r="F899" s="2">
        <v>22.98759349482134</v>
      </c>
      <c r="G899" s="2">
        <v>0.85763101829681554</v>
      </c>
      <c r="H899" s="2">
        <v>14545</v>
      </c>
      <c r="I899" s="2">
        <v>1200</v>
      </c>
      <c r="J899" s="2">
        <f>(IF(A899='Hybrid Calculator'!$B$6,0,1))^2+((B899-'Hybrid Calculator'!$B$7)/1500)^2+((C899-'Hybrid Calculator'!$B$8)/1300)^2+((D899-'Hybrid Calculator'!$B$9)/800)^2+((E899-'Hybrid Calculator'!$B$10)/350)^2+((F899-'Hybrid Calculator'!$B$11)/30)^2+(G899-'Hybrid Calculator'!$B$12)^2+((H899-'Hybrid Calculator'!$E$14)/IF(A899="Lightning",100,30000))^2+((I899-'Hybrid Calculator'!$E$17)/IF(A899="Lightning",100,30000))^2</f>
        <v>1.3705503496468687</v>
      </c>
      <c r="K899" s="2">
        <f t="shared" si="56"/>
        <v>890</v>
      </c>
      <c r="L899" s="2">
        <f t="shared" si="57"/>
        <v>0</v>
      </c>
      <c r="M899" s="2">
        <f t="shared" si="58"/>
        <v>0</v>
      </c>
      <c r="N899" s="2">
        <v>-0.99813326025045512</v>
      </c>
      <c r="O899" s="2">
        <f t="shared" si="59"/>
        <v>0</v>
      </c>
      <c r="P899" s="2">
        <v>-10.857387328167533</v>
      </c>
      <c r="Q899" s="2">
        <v>-5.8043470502586842</v>
      </c>
    </row>
    <row r="900" spans="1:17" ht="15">
      <c r="A900" s="2" t="s">
        <v>81</v>
      </c>
      <c r="B900" s="2">
        <v>1052.3515853798017</v>
      </c>
      <c r="C900" s="2">
        <v>1068.2795447879471</v>
      </c>
      <c r="D900" s="2">
        <v>388.60451690852642</v>
      </c>
      <c r="E900" s="2">
        <v>253.70897129876539</v>
      </c>
      <c r="F900" s="2">
        <v>28.633190219290555</v>
      </c>
      <c r="G900" s="2">
        <v>0.79681946367723866</v>
      </c>
      <c r="H900" s="2">
        <v>12500</v>
      </c>
      <c r="I900" s="2">
        <v>1200</v>
      </c>
      <c r="J900" s="2">
        <f>(IF(A900='Hybrid Calculator'!$B$6,0,1))^2+((B900-'Hybrid Calculator'!$B$7)/1500)^2+((C900-'Hybrid Calculator'!$B$8)/1300)^2+((D900-'Hybrid Calculator'!$B$9)/800)^2+((E900-'Hybrid Calculator'!$B$10)/350)^2+((F900-'Hybrid Calculator'!$B$11)/30)^2+(G900-'Hybrid Calculator'!$B$12)^2+((H900-'Hybrid Calculator'!$E$14)/IF(A900="Lightning",100,30000))^2+((I900-'Hybrid Calculator'!$E$17)/IF(A900="Lightning",100,30000))^2</f>
        <v>1.4854878452070299</v>
      </c>
      <c r="K900" s="2">
        <f t="shared" si="56"/>
        <v>1186</v>
      </c>
      <c r="L900" s="2">
        <f t="shared" si="57"/>
        <v>0</v>
      </c>
      <c r="M900" s="2">
        <f t="shared" si="58"/>
        <v>0</v>
      </c>
      <c r="N900" s="2">
        <v>0.75256533936931191</v>
      </c>
      <c r="O900" s="2">
        <f t="shared" si="59"/>
        <v>0</v>
      </c>
      <c r="P900" s="2">
        <v>1.7703861341324227</v>
      </c>
      <c r="Q900" s="2">
        <v>-10.106555141936269</v>
      </c>
    </row>
    <row r="901" spans="1:17" ht="15">
      <c r="A901" s="2" t="s">
        <v>81</v>
      </c>
      <c r="B901" s="2">
        <v>1019.4057583226822</v>
      </c>
      <c r="C901" s="2">
        <v>839.5564537961036</v>
      </c>
      <c r="D901" s="2">
        <v>448.27639488503337</v>
      </c>
      <c r="E901" s="2">
        <v>86.63949956651777</v>
      </c>
      <c r="F901" s="2">
        <v>23.138899705838412</v>
      </c>
      <c r="G901" s="2">
        <v>0.84799295118078599</v>
      </c>
      <c r="H901" s="2">
        <v>15560</v>
      </c>
      <c r="I901" s="2">
        <v>1200</v>
      </c>
      <c r="J901" s="2">
        <f>(IF(A901='Hybrid Calculator'!$B$6,0,1))^2+((B901-'Hybrid Calculator'!$B$7)/1500)^2+((C901-'Hybrid Calculator'!$B$8)/1300)^2+((D901-'Hybrid Calculator'!$B$9)/800)^2+((E901-'Hybrid Calculator'!$B$10)/350)^2+((F901-'Hybrid Calculator'!$B$11)/30)^2+(G901-'Hybrid Calculator'!$B$12)^2+((H901-'Hybrid Calculator'!$E$14)/IF(A901="Lightning",100,30000))^2+((I901-'Hybrid Calculator'!$E$17)/IF(A901="Lightning",100,30000))^2</f>
        <v>1.4036477545294059</v>
      </c>
      <c r="K901" s="2">
        <f t="shared" si="56"/>
        <v>987</v>
      </c>
      <c r="L901" s="2">
        <f t="shared" si="57"/>
        <v>0</v>
      </c>
      <c r="M901" s="2">
        <f t="shared" si="58"/>
        <v>0</v>
      </c>
      <c r="N901" s="2">
        <v>-2.2878686669953936</v>
      </c>
      <c r="O901" s="2">
        <f t="shared" si="59"/>
        <v>0</v>
      </c>
      <c r="P901" s="2">
        <v>3.7692116805292244</v>
      </c>
      <c r="Q901" s="2">
        <v>-1.3796198303614347</v>
      </c>
    </row>
    <row r="902" spans="1:17" ht="15">
      <c r="A902" s="2" t="s">
        <v>81</v>
      </c>
      <c r="B902" s="2">
        <v>1024.3695566896349</v>
      </c>
      <c r="C902" s="2">
        <v>1127.6223787921481</v>
      </c>
      <c r="D902" s="2">
        <v>622.92503546923399</v>
      </c>
      <c r="E902" s="2">
        <v>229.43225990282372</v>
      </c>
      <c r="F902" s="2">
        <v>11.645993195474148</v>
      </c>
      <c r="G902" s="2">
        <v>0.85369106548139828</v>
      </c>
      <c r="H902" s="2">
        <v>12600</v>
      </c>
      <c r="I902" s="2">
        <v>1200</v>
      </c>
      <c r="J902" s="2">
        <f>(IF(A902='Hybrid Calculator'!$B$6,0,1))^2+((B902-'Hybrid Calculator'!$B$7)/1500)^2+((C902-'Hybrid Calculator'!$B$8)/1300)^2+((D902-'Hybrid Calculator'!$B$9)/800)^2+((E902-'Hybrid Calculator'!$B$10)/350)^2+((F902-'Hybrid Calculator'!$B$11)/30)^2+(G902-'Hybrid Calculator'!$B$12)^2+((H902-'Hybrid Calculator'!$E$14)/IF(A902="Lightning",100,30000))^2+((I902-'Hybrid Calculator'!$E$17)/IF(A902="Lightning",100,30000))^2</f>
        <v>1.4219267349152696</v>
      </c>
      <c r="K902" s="2">
        <f t="shared" si="56"/>
        <v>1043</v>
      </c>
      <c r="L902" s="2">
        <f t="shared" si="57"/>
        <v>0</v>
      </c>
      <c r="M902" s="2">
        <f t="shared" si="58"/>
        <v>0</v>
      </c>
      <c r="N902" s="2">
        <v>3.4765889149844327</v>
      </c>
      <c r="O902" s="2">
        <f t="shared" si="59"/>
        <v>0</v>
      </c>
      <c r="P902" s="2">
        <v>43.014344275485655</v>
      </c>
      <c r="Q902" s="2">
        <v>4.9808271960046113E-2</v>
      </c>
    </row>
    <row r="903" spans="1:17" ht="15">
      <c r="A903" s="2" t="s">
        <v>81</v>
      </c>
      <c r="B903" s="2">
        <v>993.33201489644125</v>
      </c>
      <c r="C903" s="2">
        <v>849.19134413357824</v>
      </c>
      <c r="D903" s="2">
        <v>488.79269333556294</v>
      </c>
      <c r="E903" s="2">
        <v>81.438479404896498</v>
      </c>
      <c r="F903" s="2">
        <v>25.067461712751538</v>
      </c>
      <c r="G903" s="2">
        <v>0.80877563276793807</v>
      </c>
      <c r="H903" s="2">
        <v>15065</v>
      </c>
      <c r="I903" s="2">
        <v>1200</v>
      </c>
      <c r="J903" s="2">
        <f>(IF(A903='Hybrid Calculator'!$B$6,0,1))^2+((B903-'Hybrid Calculator'!$B$7)/1500)^2+((C903-'Hybrid Calculator'!$B$8)/1300)^2+((D903-'Hybrid Calculator'!$B$9)/800)^2+((E903-'Hybrid Calculator'!$B$10)/350)^2+((F903-'Hybrid Calculator'!$B$11)/30)^2+(G903-'Hybrid Calculator'!$B$12)^2+((H903-'Hybrid Calculator'!$E$14)/IF(A903="Lightning",100,30000))^2+((I903-'Hybrid Calculator'!$E$17)/IF(A903="Lightning",100,30000))^2</f>
        <v>1.4214703255428065</v>
      </c>
      <c r="K903" s="2">
        <f t="shared" si="56"/>
        <v>1041</v>
      </c>
      <c r="L903" s="2">
        <f t="shared" si="57"/>
        <v>0</v>
      </c>
      <c r="M903" s="2">
        <f t="shared" si="58"/>
        <v>0</v>
      </c>
      <c r="N903" s="2">
        <v>-1.2506569986675231</v>
      </c>
      <c r="O903" s="2">
        <f t="shared" si="59"/>
        <v>0</v>
      </c>
      <c r="P903" s="2">
        <v>36.979189617722113</v>
      </c>
      <c r="Q903" s="2">
        <v>-3.1587603798658392</v>
      </c>
    </row>
    <row r="904" spans="1:17" ht="15">
      <c r="A904" s="2" t="s">
        <v>81</v>
      </c>
      <c r="B904" s="2">
        <v>1030.474580754526</v>
      </c>
      <c r="C904" s="2">
        <v>760.07603408070281</v>
      </c>
      <c r="D904" s="2">
        <v>420.1983779668808</v>
      </c>
      <c r="E904" s="2">
        <v>235.94531962415203</v>
      </c>
      <c r="F904" s="2">
        <v>24.910465869121253</v>
      </c>
      <c r="G904" s="2">
        <v>0.85489093690877782</v>
      </c>
      <c r="H904" s="2">
        <v>15100</v>
      </c>
      <c r="I904" s="2">
        <v>1200</v>
      </c>
      <c r="J904" s="2">
        <f>(IF(A904='Hybrid Calculator'!$B$6,0,1))^2+((B904-'Hybrid Calculator'!$B$7)/1500)^2+((C904-'Hybrid Calculator'!$B$8)/1300)^2+((D904-'Hybrid Calculator'!$B$9)/800)^2+((E904-'Hybrid Calculator'!$B$10)/350)^2+((F904-'Hybrid Calculator'!$B$11)/30)^2+(G904-'Hybrid Calculator'!$B$12)^2+((H904-'Hybrid Calculator'!$E$14)/IF(A904="Lightning",100,30000))^2+((I904-'Hybrid Calculator'!$E$17)/IF(A904="Lightning",100,30000))^2</f>
        <v>1.4442928748259132</v>
      </c>
      <c r="K904" s="2">
        <f t="shared" si="56"/>
        <v>1095</v>
      </c>
      <c r="L904" s="2">
        <f t="shared" si="57"/>
        <v>0</v>
      </c>
      <c r="M904" s="2">
        <f t="shared" si="58"/>
        <v>0</v>
      </c>
      <c r="N904" s="2">
        <v>-4.1071959960270021</v>
      </c>
      <c r="O904" s="2">
        <f t="shared" si="59"/>
        <v>0</v>
      </c>
      <c r="P904" s="2">
        <v>27.716930110426347</v>
      </c>
      <c r="Q904" s="2">
        <v>-5.2387571122296777</v>
      </c>
    </row>
    <row r="905" spans="1:17" ht="15">
      <c r="A905" s="2" t="s">
        <v>81</v>
      </c>
      <c r="B905" s="2">
        <v>1049.4750772486441</v>
      </c>
      <c r="C905" s="2">
        <v>982.9258126206696</v>
      </c>
      <c r="D905" s="2">
        <v>591.04406302794814</v>
      </c>
      <c r="E905" s="2">
        <v>307.14924032334238</v>
      </c>
      <c r="F905" s="2">
        <v>21.04742601281032</v>
      </c>
      <c r="G905" s="2">
        <v>0.82174649068154393</v>
      </c>
      <c r="H905" s="2">
        <v>11370</v>
      </c>
      <c r="I905" s="2">
        <v>1195</v>
      </c>
      <c r="J905" s="2">
        <f>(IF(A905='Hybrid Calculator'!$B$6,0,1))^2+((B905-'Hybrid Calculator'!$B$7)/1500)^2+((C905-'Hybrid Calculator'!$B$8)/1300)^2+((D905-'Hybrid Calculator'!$B$9)/800)^2+((E905-'Hybrid Calculator'!$B$10)/350)^2+((F905-'Hybrid Calculator'!$B$11)/30)^2+(G905-'Hybrid Calculator'!$B$12)^2+((H905-'Hybrid Calculator'!$E$14)/IF(A905="Lightning",100,30000))^2+((I905-'Hybrid Calculator'!$E$17)/IF(A905="Lightning",100,30000))^2</f>
        <v>1.4387958500032858</v>
      </c>
      <c r="K905" s="2">
        <f t="shared" si="56"/>
        <v>1082</v>
      </c>
      <c r="L905" s="2">
        <f t="shared" si="57"/>
        <v>0</v>
      </c>
      <c r="M905" s="2">
        <f t="shared" si="58"/>
        <v>0</v>
      </c>
      <c r="N905" s="2">
        <v>2.5340072582261826</v>
      </c>
      <c r="O905" s="2">
        <f t="shared" si="59"/>
        <v>0</v>
      </c>
      <c r="P905" s="2">
        <v>14.302836246374682</v>
      </c>
      <c r="Q905" s="2">
        <v>-2.8073423260641448</v>
      </c>
    </row>
    <row r="906" spans="1:17" ht="15">
      <c r="A906" s="2" t="s">
        <v>81</v>
      </c>
      <c r="B906" s="2">
        <v>955.85216600447893</v>
      </c>
      <c r="C906" s="2">
        <v>1085.4581386200152</v>
      </c>
      <c r="D906" s="2">
        <v>418.69579274207354</v>
      </c>
      <c r="E906" s="2">
        <v>304.27574318135157</v>
      </c>
      <c r="F906" s="2">
        <v>20.3583620544523</v>
      </c>
      <c r="G906" s="2">
        <v>0.84024785378249367</v>
      </c>
      <c r="H906" s="2">
        <v>13795</v>
      </c>
      <c r="I906" s="2">
        <v>1200</v>
      </c>
      <c r="J906" s="2">
        <f>(IF(A906='Hybrid Calculator'!$B$6,0,1))^2+((B906-'Hybrid Calculator'!$B$7)/1500)^2+((C906-'Hybrid Calculator'!$B$8)/1300)^2+((D906-'Hybrid Calculator'!$B$9)/800)^2+((E906-'Hybrid Calculator'!$B$10)/350)^2+((F906-'Hybrid Calculator'!$B$11)/30)^2+(G906-'Hybrid Calculator'!$B$12)^2+((H906-'Hybrid Calculator'!$E$14)/IF(A906="Lightning",100,30000))^2+((I906-'Hybrid Calculator'!$E$17)/IF(A906="Lightning",100,30000))^2</f>
        <v>1.5509476928288495</v>
      </c>
      <c r="K906" s="2">
        <f t="shared" si="56"/>
        <v>1302</v>
      </c>
      <c r="L906" s="2">
        <f t="shared" si="57"/>
        <v>0</v>
      </c>
      <c r="M906" s="2">
        <f t="shared" si="58"/>
        <v>0</v>
      </c>
      <c r="N906" s="2">
        <v>-0.10188013703552201</v>
      </c>
      <c r="O906" s="2">
        <f t="shared" si="59"/>
        <v>0</v>
      </c>
      <c r="P906" s="2">
        <v>5.9221414733201527</v>
      </c>
      <c r="Q906" s="2">
        <v>-6.8571780184913678</v>
      </c>
    </row>
    <row r="907" spans="1:17" ht="15">
      <c r="A907" s="2" t="s">
        <v>81</v>
      </c>
      <c r="B907" s="2">
        <v>998.39172518113628</v>
      </c>
      <c r="C907" s="2">
        <v>694.32508277241141</v>
      </c>
      <c r="D907" s="2">
        <v>603.44364950433373</v>
      </c>
      <c r="E907" s="2">
        <v>195.6989939045161</v>
      </c>
      <c r="F907" s="2">
        <v>23.562439892906696</v>
      </c>
      <c r="G907" s="2">
        <v>0.85826984156388797</v>
      </c>
      <c r="H907" s="2">
        <v>16705</v>
      </c>
      <c r="I907" s="2">
        <v>1200</v>
      </c>
      <c r="J907" s="2">
        <f>(IF(A907='Hybrid Calculator'!$B$6,0,1))^2+((B907-'Hybrid Calculator'!$B$7)/1500)^2+((C907-'Hybrid Calculator'!$B$8)/1300)^2+((D907-'Hybrid Calculator'!$B$9)/800)^2+((E907-'Hybrid Calculator'!$B$10)/350)^2+((F907-'Hybrid Calculator'!$B$11)/30)^2+(G907-'Hybrid Calculator'!$B$12)^2+((H907-'Hybrid Calculator'!$E$14)/IF(A907="Lightning",100,30000))^2+((I907-'Hybrid Calculator'!$E$17)/IF(A907="Lightning",100,30000))^2</f>
        <v>1.4686788847407268</v>
      </c>
      <c r="K907" s="2">
        <f t="shared" si="56"/>
        <v>1154</v>
      </c>
      <c r="L907" s="2">
        <f t="shared" si="57"/>
        <v>0</v>
      </c>
      <c r="M907" s="2">
        <f t="shared" si="58"/>
        <v>0</v>
      </c>
      <c r="N907" s="2">
        <v>0.89854864166449033</v>
      </c>
      <c r="O907" s="2">
        <f t="shared" si="59"/>
        <v>0</v>
      </c>
      <c r="P907" s="2">
        <v>-17.648706804787253</v>
      </c>
      <c r="Q907" s="2">
        <v>-4.7980636921697624</v>
      </c>
    </row>
    <row r="908" spans="1:17" ht="15">
      <c r="A908" s="2" t="s">
        <v>81</v>
      </c>
      <c r="B908" s="2">
        <v>1073.8592910347506</v>
      </c>
      <c r="C908" s="2">
        <v>694.55252835759893</v>
      </c>
      <c r="D908" s="2">
        <v>381.20530135929585</v>
      </c>
      <c r="E908" s="2">
        <v>141.6701694088988</v>
      </c>
      <c r="F908" s="2">
        <v>16.602205962873995</v>
      </c>
      <c r="G908" s="2">
        <v>0.79659860803512861</v>
      </c>
      <c r="H908" s="2">
        <v>17565</v>
      </c>
      <c r="I908" s="2">
        <v>1200</v>
      </c>
      <c r="J908" s="2">
        <f>(IF(A908='Hybrid Calculator'!$B$6,0,1))^2+((B908-'Hybrid Calculator'!$B$7)/1500)^2+((C908-'Hybrid Calculator'!$B$8)/1300)^2+((D908-'Hybrid Calculator'!$B$9)/800)^2+((E908-'Hybrid Calculator'!$B$10)/350)^2+((F908-'Hybrid Calculator'!$B$11)/30)^2+(G908-'Hybrid Calculator'!$B$12)^2+((H908-'Hybrid Calculator'!$E$14)/IF(A908="Lightning",100,30000))^2+((I908-'Hybrid Calculator'!$E$17)/IF(A908="Lightning",100,30000))^2</f>
        <v>1.4386596007673054</v>
      </c>
      <c r="K908" s="2">
        <f t="shared" si="56"/>
        <v>1081</v>
      </c>
      <c r="L908" s="2">
        <f t="shared" si="57"/>
        <v>0</v>
      </c>
      <c r="M908" s="2">
        <f t="shared" si="58"/>
        <v>0</v>
      </c>
      <c r="N908" s="2">
        <v>-3.9520519309079418</v>
      </c>
      <c r="O908" s="2">
        <f t="shared" si="59"/>
        <v>0</v>
      </c>
      <c r="P908" s="2">
        <v>-21.208043779374748</v>
      </c>
      <c r="Q908" s="2">
        <v>15.625290215574978</v>
      </c>
    </row>
    <row r="909" spans="1:17" ht="15">
      <c r="A909" s="2" t="s">
        <v>81</v>
      </c>
      <c r="B909" s="2">
        <v>1080.9174569672905</v>
      </c>
      <c r="C909" s="2">
        <v>883.69759223423898</v>
      </c>
      <c r="D909" s="2">
        <v>435.02023322507739</v>
      </c>
      <c r="E909" s="2">
        <v>328.83510067593306</v>
      </c>
      <c r="F909" s="2">
        <v>12.837324860971421</v>
      </c>
      <c r="G909" s="2">
        <v>0.8134108759090305</v>
      </c>
      <c r="H909" s="2">
        <v>12980</v>
      </c>
      <c r="I909" s="2">
        <v>1200</v>
      </c>
      <c r="J909" s="2">
        <f>(IF(A909='Hybrid Calculator'!$B$6,0,1))^2+((B909-'Hybrid Calculator'!$B$7)/1500)^2+((C909-'Hybrid Calculator'!$B$8)/1300)^2+((D909-'Hybrid Calculator'!$B$9)/800)^2+((E909-'Hybrid Calculator'!$B$10)/350)^2+((F909-'Hybrid Calculator'!$B$11)/30)^2+(G909-'Hybrid Calculator'!$B$12)^2+((H909-'Hybrid Calculator'!$E$14)/IF(A909="Lightning",100,30000))^2+((I909-'Hybrid Calculator'!$E$17)/IF(A909="Lightning",100,30000))^2</f>
        <v>1.5439330902785762</v>
      </c>
      <c r="K909" s="2">
        <f t="shared" si="56"/>
        <v>1290</v>
      </c>
      <c r="L909" s="2">
        <f t="shared" si="57"/>
        <v>0</v>
      </c>
      <c r="M909" s="2">
        <f t="shared" si="58"/>
        <v>0</v>
      </c>
      <c r="N909" s="2">
        <v>3.2142243720754493</v>
      </c>
      <c r="O909" s="2">
        <f t="shared" si="59"/>
        <v>0</v>
      </c>
      <c r="P909" s="2">
        <v>31.857441996262423</v>
      </c>
      <c r="Q909" s="2">
        <v>4.3373495196319709</v>
      </c>
    </row>
    <row r="910" spans="1:17" ht="15">
      <c r="A910" s="2" t="s">
        <v>81</v>
      </c>
      <c r="B910" s="2">
        <v>968.32769974134862</v>
      </c>
      <c r="C910" s="2">
        <v>1032.5627117301337</v>
      </c>
      <c r="D910" s="2">
        <v>412.26878967136145</v>
      </c>
      <c r="E910" s="2">
        <v>112.22182003082708</v>
      </c>
      <c r="F910" s="2">
        <v>15.392334897071123</v>
      </c>
      <c r="G910" s="2">
        <v>0.85821195408934736</v>
      </c>
      <c r="H910" s="2">
        <v>16025</v>
      </c>
      <c r="I910" s="2">
        <v>1200</v>
      </c>
      <c r="J910" s="2">
        <f>(IF(A910='Hybrid Calculator'!$B$6,0,1))^2+((B910-'Hybrid Calculator'!$B$7)/1500)^2+((C910-'Hybrid Calculator'!$B$8)/1300)^2+((D910-'Hybrid Calculator'!$B$9)/800)^2+((E910-'Hybrid Calculator'!$B$10)/350)^2+((F910-'Hybrid Calculator'!$B$11)/30)^2+(G910-'Hybrid Calculator'!$B$12)^2+((H910-'Hybrid Calculator'!$E$14)/IF(A910="Lightning",100,30000))^2+((I910-'Hybrid Calculator'!$E$17)/IF(A910="Lightning",100,30000))^2</f>
        <v>1.4333679052548651</v>
      </c>
      <c r="K910" s="2">
        <f t="shared" si="56"/>
        <v>1064</v>
      </c>
      <c r="L910" s="2">
        <f t="shared" si="57"/>
        <v>0</v>
      </c>
      <c r="M910" s="2">
        <f t="shared" si="58"/>
        <v>0</v>
      </c>
      <c r="N910" s="2">
        <v>0.10487628106761804</v>
      </c>
      <c r="O910" s="2">
        <f t="shared" si="59"/>
        <v>0</v>
      </c>
      <c r="P910" s="2">
        <v>9.8270348952478344</v>
      </c>
      <c r="Q910" s="2">
        <v>-0.38764212009709809</v>
      </c>
    </row>
    <row r="911" spans="1:17" ht="15">
      <c r="A911" s="2" t="s">
        <v>81</v>
      </c>
      <c r="B911" s="2">
        <v>1058.9851806056686</v>
      </c>
      <c r="C911" s="2">
        <v>1003.6840011132881</v>
      </c>
      <c r="D911" s="2">
        <v>482.55217121914029</v>
      </c>
      <c r="E911" s="2">
        <v>140.76608039438725</v>
      </c>
      <c r="F911" s="2">
        <v>27.270720536354929</v>
      </c>
      <c r="G911" s="2">
        <v>0.81320904597174382</v>
      </c>
      <c r="H911" s="2">
        <v>13145</v>
      </c>
      <c r="I911" s="2">
        <v>1200</v>
      </c>
      <c r="J911" s="2">
        <f>(IF(A911='Hybrid Calculator'!$B$6,0,1))^2+((B911-'Hybrid Calculator'!$B$7)/1500)^2+((C911-'Hybrid Calculator'!$B$8)/1300)^2+((D911-'Hybrid Calculator'!$B$9)/800)^2+((E911-'Hybrid Calculator'!$B$10)/350)^2+((F911-'Hybrid Calculator'!$B$11)/30)^2+(G911-'Hybrid Calculator'!$B$12)^2+((H911-'Hybrid Calculator'!$E$14)/IF(A911="Lightning",100,30000))^2+((I911-'Hybrid Calculator'!$E$17)/IF(A911="Lightning",100,30000))^2</f>
        <v>1.3522733516287544</v>
      </c>
      <c r="K911" s="2">
        <f t="shared" si="56"/>
        <v>836</v>
      </c>
      <c r="L911" s="2">
        <f t="shared" si="57"/>
        <v>0</v>
      </c>
      <c r="M911" s="2">
        <f t="shared" si="58"/>
        <v>0</v>
      </c>
      <c r="N911" s="2">
        <v>-1.4379073050911302</v>
      </c>
      <c r="O911" s="2">
        <f t="shared" si="59"/>
        <v>0</v>
      </c>
      <c r="P911" s="2">
        <v>7.4431025602184491</v>
      </c>
      <c r="Q911" s="2">
        <v>-8.5862128039079835</v>
      </c>
    </row>
    <row r="912" spans="1:17" ht="15">
      <c r="A912" s="2" t="s">
        <v>81</v>
      </c>
      <c r="B912" s="2">
        <v>977.03412701375782</v>
      </c>
      <c r="C912" s="2">
        <v>884.6036750706844</v>
      </c>
      <c r="D912" s="2">
        <v>556.57920818775892</v>
      </c>
      <c r="E912" s="2">
        <v>299.33494909899309</v>
      </c>
      <c r="F912" s="2">
        <v>13.73460753262043</v>
      </c>
      <c r="G912" s="2">
        <v>0.85617141498485583</v>
      </c>
      <c r="H912" s="2">
        <v>14335</v>
      </c>
      <c r="I912" s="2">
        <v>1200</v>
      </c>
      <c r="J912" s="2">
        <f>(IF(A912='Hybrid Calculator'!$B$6,0,1))^2+((B912-'Hybrid Calculator'!$B$7)/1500)^2+((C912-'Hybrid Calculator'!$B$8)/1300)^2+((D912-'Hybrid Calculator'!$B$9)/800)^2+((E912-'Hybrid Calculator'!$B$10)/350)^2+((F912-'Hybrid Calculator'!$B$11)/30)^2+(G912-'Hybrid Calculator'!$B$12)^2+((H912-'Hybrid Calculator'!$E$14)/IF(A912="Lightning",100,30000))^2+((I912-'Hybrid Calculator'!$E$17)/IF(A912="Lightning",100,30000))^2</f>
        <v>1.531756264055167</v>
      </c>
      <c r="K912" s="2">
        <f t="shared" si="56"/>
        <v>1268</v>
      </c>
      <c r="L912" s="2">
        <f t="shared" si="57"/>
        <v>0</v>
      </c>
      <c r="M912" s="2">
        <f t="shared" si="58"/>
        <v>0</v>
      </c>
      <c r="N912" s="2">
        <v>2.4008902320819345</v>
      </c>
      <c r="O912" s="2">
        <f t="shared" si="59"/>
        <v>0</v>
      </c>
      <c r="P912" s="2">
        <v>36.34163029293677</v>
      </c>
      <c r="Q912" s="2">
        <v>5.3760008463976874</v>
      </c>
    </row>
    <row r="913" spans="1:17" ht="15">
      <c r="A913" s="2" t="s">
        <v>81</v>
      </c>
      <c r="B913" s="2">
        <v>1092.6877384190448</v>
      </c>
      <c r="C913" s="2">
        <v>787.20934444572777</v>
      </c>
      <c r="D913" s="2">
        <v>496.15858914330602</v>
      </c>
      <c r="E913" s="2">
        <v>280.01309411600232</v>
      </c>
      <c r="F913" s="2">
        <v>17.196038013789803</v>
      </c>
      <c r="G913" s="2">
        <v>0.8293539964174852</v>
      </c>
      <c r="H913" s="2">
        <v>13680</v>
      </c>
      <c r="I913" s="2">
        <v>1200</v>
      </c>
      <c r="J913" s="2">
        <f>(IF(A913='Hybrid Calculator'!$B$6,0,1))^2+((B913-'Hybrid Calculator'!$B$7)/1500)^2+((C913-'Hybrid Calculator'!$B$8)/1300)^2+((D913-'Hybrid Calculator'!$B$9)/800)^2+((E913-'Hybrid Calculator'!$B$10)/350)^2+((F913-'Hybrid Calculator'!$B$11)/30)^2+(G913-'Hybrid Calculator'!$B$12)^2+((H913-'Hybrid Calculator'!$E$14)/IF(A913="Lightning",100,30000))^2+((I913-'Hybrid Calculator'!$E$17)/IF(A913="Lightning",100,30000))^2</f>
        <v>1.399353155717495</v>
      </c>
      <c r="K913" s="2">
        <f t="shared" si="56"/>
        <v>975</v>
      </c>
      <c r="L913" s="2">
        <f t="shared" si="57"/>
        <v>0</v>
      </c>
      <c r="M913" s="2">
        <f t="shared" si="58"/>
        <v>0</v>
      </c>
      <c r="N913" s="2">
        <v>-2.1551631491348076</v>
      </c>
      <c r="O913" s="2">
        <f t="shared" si="59"/>
        <v>0</v>
      </c>
      <c r="P913" s="2">
        <v>-12.933008527183574</v>
      </c>
      <c r="Q913" s="2">
        <v>0.49283088557967858</v>
      </c>
    </row>
    <row r="914" spans="1:17" ht="15">
      <c r="A914" s="2" t="s">
        <v>81</v>
      </c>
      <c r="B914" s="2">
        <v>1080.4182631196454</v>
      </c>
      <c r="C914" s="2">
        <v>1227.5941694271751</v>
      </c>
      <c r="D914" s="2">
        <v>435.11381596326828</v>
      </c>
      <c r="E914" s="2">
        <v>185.5896551697515</v>
      </c>
      <c r="F914" s="2">
        <v>23.821381296031177</v>
      </c>
      <c r="G914" s="2">
        <v>0.8278485917649232</v>
      </c>
      <c r="H914" s="2">
        <v>11570</v>
      </c>
      <c r="I914" s="2">
        <v>1195</v>
      </c>
      <c r="J914" s="2">
        <f>(IF(A914='Hybrid Calculator'!$B$6,0,1))^2+((B914-'Hybrid Calculator'!$B$7)/1500)^2+((C914-'Hybrid Calculator'!$B$8)/1300)^2+((D914-'Hybrid Calculator'!$B$9)/800)^2+((E914-'Hybrid Calculator'!$B$10)/350)^2+((F914-'Hybrid Calculator'!$B$11)/30)^2+(G914-'Hybrid Calculator'!$B$12)^2+((H914-'Hybrid Calculator'!$E$14)/IF(A914="Lightning",100,30000))^2+((I914-'Hybrid Calculator'!$E$17)/IF(A914="Lightning",100,30000))^2</f>
        <v>1.3345574018781272</v>
      </c>
      <c r="K914" s="2">
        <f t="shared" si="56"/>
        <v>786</v>
      </c>
      <c r="L914" s="2">
        <f t="shared" si="57"/>
        <v>0</v>
      </c>
      <c r="M914" s="2">
        <f t="shared" si="58"/>
        <v>0</v>
      </c>
      <c r="N914" s="2">
        <v>-1.6343875846487776</v>
      </c>
      <c r="O914" s="2">
        <f t="shared" si="59"/>
        <v>0</v>
      </c>
      <c r="P914" s="2">
        <v>61.238543256225512</v>
      </c>
      <c r="Q914" s="2">
        <v>-16.572527580071437</v>
      </c>
    </row>
    <row r="915" spans="1:17" ht="15">
      <c r="A915" s="2" t="s">
        <v>81</v>
      </c>
      <c r="B915" s="2">
        <v>962.08820742322132</v>
      </c>
      <c r="C915" s="2">
        <v>638.44244470819831</v>
      </c>
      <c r="D915" s="2">
        <v>727.67513608559966</v>
      </c>
      <c r="E915" s="2">
        <v>205.20004494581372</v>
      </c>
      <c r="F915" s="2">
        <v>22.417077293153852</v>
      </c>
      <c r="G915" s="2">
        <v>0.8306473528314382</v>
      </c>
      <c r="H915" s="2">
        <v>15880</v>
      </c>
      <c r="I915" s="2">
        <v>1200</v>
      </c>
      <c r="J915" s="2">
        <f>(IF(A915='Hybrid Calculator'!$B$6,0,1))^2+((B915-'Hybrid Calculator'!$B$7)/1500)^2+((C915-'Hybrid Calculator'!$B$8)/1300)^2+((D915-'Hybrid Calculator'!$B$9)/800)^2+((E915-'Hybrid Calculator'!$B$10)/350)^2+((F915-'Hybrid Calculator'!$B$11)/30)^2+(G915-'Hybrid Calculator'!$B$12)^2+((H915-'Hybrid Calculator'!$E$14)/IF(A915="Lightning",100,30000))^2+((I915-'Hybrid Calculator'!$E$17)/IF(A915="Lightning",100,30000))^2</f>
        <v>1.5247173751503551</v>
      </c>
      <c r="K915" s="2">
        <f t="shared" si="56"/>
        <v>1255</v>
      </c>
      <c r="L915" s="2">
        <f t="shared" si="57"/>
        <v>0</v>
      </c>
      <c r="M915" s="2">
        <f t="shared" si="58"/>
        <v>0</v>
      </c>
      <c r="N915" s="2">
        <v>0.41811924925087851</v>
      </c>
      <c r="O915" s="2">
        <f t="shared" si="59"/>
        <v>0</v>
      </c>
      <c r="P915" s="2">
        <v>-70.024716946134959</v>
      </c>
      <c r="Q915" s="2">
        <v>-6.2841068247020075</v>
      </c>
    </row>
    <row r="916" spans="1:17" ht="15">
      <c r="A916" s="2" t="s">
        <v>81</v>
      </c>
      <c r="B916" s="2">
        <v>1018.0134937167168</v>
      </c>
      <c r="C916" s="2">
        <v>1016.169060242828</v>
      </c>
      <c r="D916" s="2">
        <v>416.73530805855989</v>
      </c>
      <c r="E916" s="2">
        <v>256.92085221642628</v>
      </c>
      <c r="F916" s="2">
        <v>29.168623534962535</v>
      </c>
      <c r="G916" s="2">
        <v>0.79726418291451417</v>
      </c>
      <c r="H916" s="2">
        <v>12655</v>
      </c>
      <c r="I916" s="2">
        <v>1200</v>
      </c>
      <c r="J916" s="2">
        <f>(IF(A916='Hybrid Calculator'!$B$6,0,1))^2+((B916-'Hybrid Calculator'!$B$7)/1500)^2+((C916-'Hybrid Calculator'!$B$8)/1300)^2+((D916-'Hybrid Calculator'!$B$9)/800)^2+((E916-'Hybrid Calculator'!$B$10)/350)^2+((F916-'Hybrid Calculator'!$B$11)/30)^2+(G916-'Hybrid Calculator'!$B$12)^2+((H916-'Hybrid Calculator'!$E$14)/IF(A916="Lightning",100,30000))^2+((I916-'Hybrid Calculator'!$E$17)/IF(A916="Lightning",100,30000))^2</f>
        <v>1.4991684013632993</v>
      </c>
      <c r="K916" s="2">
        <f t="shared" si="56"/>
        <v>1209</v>
      </c>
      <c r="L916" s="2">
        <f t="shared" si="57"/>
        <v>0</v>
      </c>
      <c r="M916" s="2">
        <f t="shared" si="58"/>
        <v>0</v>
      </c>
      <c r="N916" s="2">
        <v>0.33792635420377337</v>
      </c>
      <c r="O916" s="2">
        <f t="shared" si="59"/>
        <v>0</v>
      </c>
      <c r="P916" s="2">
        <v>-26.566933263644387</v>
      </c>
      <c r="Q916" s="2">
        <v>-7.657872462347882</v>
      </c>
    </row>
    <row r="917" spans="1:17" ht="15">
      <c r="A917" s="2" t="s">
        <v>81</v>
      </c>
      <c r="B917" s="2">
        <v>996.35130228707567</v>
      </c>
      <c r="C917" s="2">
        <v>1193.0148924002424</v>
      </c>
      <c r="D917" s="2">
        <v>483.67181280627847</v>
      </c>
      <c r="E917" s="2">
        <v>185.39909987710416</v>
      </c>
      <c r="F917" s="2">
        <v>29.625113841611892</v>
      </c>
      <c r="G917" s="2">
        <v>0.80848860502708708</v>
      </c>
      <c r="H917" s="2">
        <v>11485</v>
      </c>
      <c r="I917" s="2">
        <v>1195</v>
      </c>
      <c r="J917" s="2">
        <f>(IF(A917='Hybrid Calculator'!$B$6,0,1))^2+((B917-'Hybrid Calculator'!$B$7)/1500)^2+((C917-'Hybrid Calculator'!$B$8)/1300)^2+((D917-'Hybrid Calculator'!$B$9)/800)^2+((E917-'Hybrid Calculator'!$B$10)/350)^2+((F917-'Hybrid Calculator'!$B$11)/30)^2+(G917-'Hybrid Calculator'!$B$12)^2+((H917-'Hybrid Calculator'!$E$14)/IF(A917="Lightning",100,30000))^2+((I917-'Hybrid Calculator'!$E$17)/IF(A917="Lightning",100,30000))^2</f>
        <v>1.4463905801997587</v>
      </c>
      <c r="K917" s="2">
        <f t="shared" si="56"/>
        <v>1101</v>
      </c>
      <c r="L917" s="2">
        <f t="shared" si="57"/>
        <v>0</v>
      </c>
      <c r="M917" s="2">
        <f t="shared" si="58"/>
        <v>0</v>
      </c>
      <c r="N917" s="2">
        <v>-0.37599509879242987</v>
      </c>
      <c r="O917" s="2">
        <f t="shared" si="59"/>
        <v>0</v>
      </c>
      <c r="P917" s="2">
        <v>55.682803386783689</v>
      </c>
      <c r="Q917" s="2">
        <v>-15.58595836057998</v>
      </c>
    </row>
    <row r="918" spans="1:17" ht="15">
      <c r="A918" s="2" t="s">
        <v>81</v>
      </c>
      <c r="B918" s="2">
        <v>1069.9016318423674</v>
      </c>
      <c r="C918" s="2">
        <v>1029.6613205806352</v>
      </c>
      <c r="D918" s="2">
        <v>450.35917796194553</v>
      </c>
      <c r="E918" s="2">
        <v>114.45268532959744</v>
      </c>
      <c r="F918" s="2">
        <v>22.525741242803633</v>
      </c>
      <c r="G918" s="2">
        <v>0.79838623265502973</v>
      </c>
      <c r="H918" s="2">
        <v>13410</v>
      </c>
      <c r="I918" s="2">
        <v>1200</v>
      </c>
      <c r="J918" s="2">
        <f>(IF(A918='Hybrid Calculator'!$B$6,0,1))^2+((B918-'Hybrid Calculator'!$B$7)/1500)^2+((C918-'Hybrid Calculator'!$B$8)/1300)^2+((D918-'Hybrid Calculator'!$B$9)/800)^2+((E918-'Hybrid Calculator'!$B$10)/350)^2+((F918-'Hybrid Calculator'!$B$11)/30)^2+(G918-'Hybrid Calculator'!$B$12)^2+((H918-'Hybrid Calculator'!$E$14)/IF(A918="Lightning",100,30000))^2+((I918-'Hybrid Calculator'!$E$17)/IF(A918="Lightning",100,30000))^2</f>
        <v>1.3076374889549138</v>
      </c>
      <c r="K918" s="2">
        <f t="shared" si="56"/>
        <v>743</v>
      </c>
      <c r="L918" s="2">
        <f t="shared" si="57"/>
        <v>0</v>
      </c>
      <c r="M918" s="2">
        <f t="shared" si="58"/>
        <v>0</v>
      </c>
      <c r="N918" s="2">
        <v>1.2875151224767478</v>
      </c>
      <c r="O918" s="2">
        <f t="shared" si="59"/>
        <v>0</v>
      </c>
      <c r="P918" s="2">
        <v>34.498386869300248</v>
      </c>
      <c r="Q918" s="2">
        <v>-2.9027456915969196</v>
      </c>
    </row>
    <row r="919" spans="1:17" ht="15">
      <c r="A919" s="2" t="s">
        <v>81</v>
      </c>
      <c r="B919" s="2">
        <v>1096.7059500864707</v>
      </c>
      <c r="C919" s="2">
        <v>1063.5708070825785</v>
      </c>
      <c r="D919" s="2">
        <v>719.90973008796573</v>
      </c>
      <c r="E919" s="2">
        <v>134.93866268079728</v>
      </c>
      <c r="F919" s="2">
        <v>15.613385762553662</v>
      </c>
      <c r="G919" s="2">
        <v>0.8413224410265685</v>
      </c>
      <c r="H919" s="2">
        <v>11150</v>
      </c>
      <c r="I919" s="2">
        <v>1195</v>
      </c>
      <c r="J919" s="2">
        <f>(IF(A919='Hybrid Calculator'!$B$6,0,1))^2+((B919-'Hybrid Calculator'!$B$7)/1500)^2+((C919-'Hybrid Calculator'!$B$8)/1300)^2+((D919-'Hybrid Calculator'!$B$9)/800)^2+((E919-'Hybrid Calculator'!$B$10)/350)^2+((F919-'Hybrid Calculator'!$B$11)/30)^2+(G919-'Hybrid Calculator'!$B$12)^2+((H919-'Hybrid Calculator'!$E$14)/IF(A919="Lightning",100,30000))^2+((I919-'Hybrid Calculator'!$E$17)/IF(A919="Lightning",100,30000))^2</f>
        <v>1.3004392854433888</v>
      </c>
      <c r="K919" s="2">
        <f t="shared" si="56"/>
        <v>729</v>
      </c>
      <c r="L919" s="2">
        <f t="shared" si="57"/>
        <v>0</v>
      </c>
      <c r="M919" s="2">
        <f t="shared" si="58"/>
        <v>0</v>
      </c>
      <c r="N919" s="2">
        <v>4.7609253894302981</v>
      </c>
      <c r="O919" s="2">
        <f t="shared" si="59"/>
        <v>0</v>
      </c>
      <c r="P919" s="2">
        <v>49.648472527700051</v>
      </c>
      <c r="Q919" s="2">
        <v>3.7085638480957641</v>
      </c>
    </row>
    <row r="920" spans="1:17" ht="15">
      <c r="A920" s="2" t="s">
        <v>81</v>
      </c>
      <c r="B920" s="2">
        <v>967.22076828591526</v>
      </c>
      <c r="C920" s="2">
        <v>750.54567240877077</v>
      </c>
      <c r="D920" s="2">
        <v>650.80639477819204</v>
      </c>
      <c r="E920" s="2">
        <v>241.68459953041747</v>
      </c>
      <c r="F920" s="2">
        <v>18.300431799143553</v>
      </c>
      <c r="G920" s="2">
        <v>0.80728988807881252</v>
      </c>
      <c r="H920" s="2">
        <v>15185</v>
      </c>
      <c r="I920" s="2">
        <v>1200</v>
      </c>
      <c r="J920" s="2">
        <f>(IF(A920='Hybrid Calculator'!$B$6,0,1))^2+((B920-'Hybrid Calculator'!$B$7)/1500)^2+((C920-'Hybrid Calculator'!$B$8)/1300)^2+((D920-'Hybrid Calculator'!$B$9)/800)^2+((E920-'Hybrid Calculator'!$B$10)/350)^2+((F920-'Hybrid Calculator'!$B$11)/30)^2+(G920-'Hybrid Calculator'!$B$12)^2+((H920-'Hybrid Calculator'!$E$14)/IF(A920="Lightning",100,30000))^2+((I920-'Hybrid Calculator'!$E$17)/IF(A920="Lightning",100,30000))^2</f>
        <v>1.4594076345190761</v>
      </c>
      <c r="K920" s="2">
        <f t="shared" si="56"/>
        <v>1129</v>
      </c>
      <c r="L920" s="2">
        <f t="shared" si="57"/>
        <v>0</v>
      </c>
      <c r="M920" s="2">
        <f t="shared" si="58"/>
        <v>0</v>
      </c>
      <c r="N920" s="2">
        <v>-1.1313645348803618</v>
      </c>
      <c r="O920" s="2">
        <f t="shared" si="59"/>
        <v>0</v>
      </c>
      <c r="P920" s="2">
        <v>-12.308502082687937</v>
      </c>
      <c r="Q920" s="2">
        <v>-2.7832196454668292</v>
      </c>
    </row>
    <row r="921" spans="1:17" ht="15">
      <c r="A921" s="2" t="s">
        <v>81</v>
      </c>
      <c r="B921" s="2">
        <v>1021.9004541751929</v>
      </c>
      <c r="C921" s="2">
        <v>985.21668824832886</v>
      </c>
      <c r="D921" s="2">
        <v>387.81583504751325</v>
      </c>
      <c r="E921" s="2">
        <v>265.78728195279837</v>
      </c>
      <c r="F921" s="2">
        <v>19.836833792272955</v>
      </c>
      <c r="G921" s="2">
        <v>0.84396865900140261</v>
      </c>
      <c r="H921" s="2">
        <v>13050</v>
      </c>
      <c r="I921" s="2">
        <v>1200</v>
      </c>
      <c r="J921" s="2">
        <f>(IF(A921='Hybrid Calculator'!$B$6,0,1))^2+((B921-'Hybrid Calculator'!$B$7)/1500)^2+((C921-'Hybrid Calculator'!$B$8)/1300)^2+((D921-'Hybrid Calculator'!$B$9)/800)^2+((E921-'Hybrid Calculator'!$B$10)/350)^2+((F921-'Hybrid Calculator'!$B$11)/30)^2+(G921-'Hybrid Calculator'!$B$12)^2+((H921-'Hybrid Calculator'!$E$14)/IF(A921="Lightning",100,30000))^2+((I921-'Hybrid Calculator'!$E$17)/IF(A921="Lightning",100,30000))^2</f>
        <v>1.4040150242822504</v>
      </c>
      <c r="K921" s="2">
        <f t="shared" si="56"/>
        <v>989</v>
      </c>
      <c r="L921" s="2">
        <f t="shared" si="57"/>
        <v>0</v>
      </c>
      <c r="M921" s="2">
        <f t="shared" si="58"/>
        <v>0</v>
      </c>
      <c r="N921" s="2">
        <v>-2.293838208429321</v>
      </c>
      <c r="O921" s="2">
        <f t="shared" si="59"/>
        <v>0</v>
      </c>
      <c r="P921" s="2">
        <v>36.183408670039626</v>
      </c>
      <c r="Q921" s="2">
        <v>1.6056976992438194</v>
      </c>
    </row>
    <row r="922" spans="1:17" ht="15">
      <c r="A922" s="2" t="s">
        <v>81</v>
      </c>
      <c r="B922" s="2">
        <v>1016.1950987065211</v>
      </c>
      <c r="C922" s="2">
        <v>739.03356111841276</v>
      </c>
      <c r="D922" s="2">
        <v>529.54757437109947</v>
      </c>
      <c r="E922" s="2">
        <v>280.41077717905864</v>
      </c>
      <c r="F922" s="2">
        <v>13.095284990034997</v>
      </c>
      <c r="G922" s="2">
        <v>0.83595033356687054</v>
      </c>
      <c r="H922" s="2">
        <v>13805</v>
      </c>
      <c r="I922" s="2">
        <v>1200</v>
      </c>
      <c r="J922" s="2">
        <f>(IF(A922='Hybrid Calculator'!$B$6,0,1))^2+((B922-'Hybrid Calculator'!$B$7)/1500)^2+((C922-'Hybrid Calculator'!$B$8)/1300)^2+((D922-'Hybrid Calculator'!$B$9)/800)^2+((E922-'Hybrid Calculator'!$B$10)/350)^2+((F922-'Hybrid Calculator'!$B$11)/30)^2+(G922-'Hybrid Calculator'!$B$12)^2+((H922-'Hybrid Calculator'!$E$14)/IF(A922="Lightning",100,30000))^2+((I922-'Hybrid Calculator'!$E$17)/IF(A922="Lightning",100,30000))^2</f>
        <v>1.4662261887938199</v>
      </c>
      <c r="K922" s="2">
        <f t="shared" si="56"/>
        <v>1145</v>
      </c>
      <c r="L922" s="2">
        <f t="shared" si="57"/>
        <v>0</v>
      </c>
      <c r="M922" s="2">
        <f t="shared" si="58"/>
        <v>0</v>
      </c>
      <c r="N922" s="2">
        <v>3.5662807995457229</v>
      </c>
      <c r="O922" s="2">
        <f t="shared" si="59"/>
        <v>0</v>
      </c>
      <c r="P922" s="2">
        <v>-8.3798990163300004</v>
      </c>
      <c r="Q922" s="2">
        <v>0.69855123837226074</v>
      </c>
    </row>
    <row r="923" spans="1:17" ht="15">
      <c r="A923" s="2" t="s">
        <v>81</v>
      </c>
      <c r="B923" s="2">
        <v>1015.4065308975987</v>
      </c>
      <c r="C923" s="2">
        <v>995.42759284377098</v>
      </c>
      <c r="D923" s="2">
        <v>453.02920630201697</v>
      </c>
      <c r="E923" s="2">
        <v>320.02940871287137</v>
      </c>
      <c r="F923" s="2">
        <v>8.9288211180828512</v>
      </c>
      <c r="G923" s="2">
        <v>0.79370704810135073</v>
      </c>
      <c r="H923" s="2">
        <v>12095</v>
      </c>
      <c r="I923" s="2">
        <v>1200</v>
      </c>
      <c r="J923" s="2">
        <f>(IF(A923='Hybrid Calculator'!$B$6,0,1))^2+((B923-'Hybrid Calculator'!$B$7)/1500)^2+((C923-'Hybrid Calculator'!$B$8)/1300)^2+((D923-'Hybrid Calculator'!$B$9)/800)^2+((E923-'Hybrid Calculator'!$B$10)/350)^2+((F923-'Hybrid Calculator'!$B$11)/30)^2+(G923-'Hybrid Calculator'!$B$12)^2+((H923-'Hybrid Calculator'!$E$14)/IF(A923="Lightning",100,30000))^2+((I923-'Hybrid Calculator'!$E$17)/IF(A923="Lightning",100,30000))^2</f>
        <v>1.5917382794225001</v>
      </c>
      <c r="K923" s="2">
        <f t="shared" si="56"/>
        <v>1341</v>
      </c>
      <c r="L923" s="2">
        <f t="shared" si="57"/>
        <v>0</v>
      </c>
      <c r="M923" s="2">
        <f t="shared" si="58"/>
        <v>0</v>
      </c>
      <c r="N923" s="2">
        <v>4.6007399938588378</v>
      </c>
      <c r="O923" s="2">
        <f t="shared" si="59"/>
        <v>0</v>
      </c>
      <c r="P923" s="2">
        <v>10.067561413609837</v>
      </c>
      <c r="Q923" s="2">
        <v>-2.8137501386412396</v>
      </c>
    </row>
    <row r="924" spans="1:17" ht="15">
      <c r="A924" s="2" t="s">
        <v>81</v>
      </c>
      <c r="B924" s="2">
        <v>1040.7858139835298</v>
      </c>
      <c r="C924" s="2">
        <v>783.86823380133137</v>
      </c>
      <c r="D924" s="2">
        <v>519.4229805842042</v>
      </c>
      <c r="E924" s="2">
        <v>130.74006976792589</v>
      </c>
      <c r="F924" s="2">
        <v>23.280975604429841</v>
      </c>
      <c r="G924" s="2">
        <v>0.81262736949371173</v>
      </c>
      <c r="H924" s="2">
        <v>14915</v>
      </c>
      <c r="I924" s="2">
        <v>1200</v>
      </c>
      <c r="J924" s="2">
        <f>(IF(A924='Hybrid Calculator'!$B$6,0,1))^2+((B924-'Hybrid Calculator'!$B$7)/1500)^2+((C924-'Hybrid Calculator'!$B$8)/1300)^2+((D924-'Hybrid Calculator'!$B$9)/800)^2+((E924-'Hybrid Calculator'!$B$10)/350)^2+((F924-'Hybrid Calculator'!$B$11)/30)^2+(G924-'Hybrid Calculator'!$B$12)^2+((H924-'Hybrid Calculator'!$E$14)/IF(A924="Lightning",100,30000))^2+((I924-'Hybrid Calculator'!$E$17)/IF(A924="Lightning",100,30000))^2</f>
        <v>1.3443206330525936</v>
      </c>
      <c r="K924" s="2">
        <f t="shared" si="56"/>
        <v>815</v>
      </c>
      <c r="L924" s="2">
        <f t="shared" si="57"/>
        <v>0</v>
      </c>
      <c r="M924" s="2">
        <f t="shared" si="58"/>
        <v>0</v>
      </c>
      <c r="N924" s="2">
        <v>0.13980151648698325</v>
      </c>
      <c r="O924" s="2">
        <f t="shared" si="59"/>
        <v>0</v>
      </c>
      <c r="P924" s="2">
        <v>-47.146962955928757</v>
      </c>
      <c r="Q924" s="2">
        <v>2.8240870522129171</v>
      </c>
    </row>
    <row r="925" spans="1:17" ht="15">
      <c r="A925" s="2" t="s">
        <v>81</v>
      </c>
      <c r="B925" s="2">
        <v>1016.7625980102457</v>
      </c>
      <c r="C925" s="2">
        <v>1028.4072007285431</v>
      </c>
      <c r="D925" s="2">
        <v>626.45345265045762</v>
      </c>
      <c r="E925" s="2">
        <v>191.06262006796896</v>
      </c>
      <c r="F925" s="2">
        <v>13.868335374165326</v>
      </c>
      <c r="G925" s="2">
        <v>0.84769329345319422</v>
      </c>
      <c r="H925" s="2">
        <v>13515</v>
      </c>
      <c r="I925" s="2">
        <v>1200</v>
      </c>
      <c r="J925" s="2">
        <f>(IF(A925='Hybrid Calculator'!$B$6,0,1))^2+((B925-'Hybrid Calculator'!$B$7)/1500)^2+((C925-'Hybrid Calculator'!$B$8)/1300)^2+((D925-'Hybrid Calculator'!$B$9)/800)^2+((E925-'Hybrid Calculator'!$B$10)/350)^2+((F925-'Hybrid Calculator'!$B$11)/30)^2+(G925-'Hybrid Calculator'!$B$12)^2+((H925-'Hybrid Calculator'!$E$14)/IF(A925="Lightning",100,30000))^2+((I925-'Hybrid Calculator'!$E$17)/IF(A925="Lightning",100,30000))^2</f>
        <v>1.3592416588959395</v>
      </c>
      <c r="K925" s="2">
        <f t="shared" si="56"/>
        <v>853</v>
      </c>
      <c r="L925" s="2">
        <f t="shared" si="57"/>
        <v>0</v>
      </c>
      <c r="M925" s="2">
        <f t="shared" si="58"/>
        <v>0</v>
      </c>
      <c r="N925" s="2">
        <v>5.0306246794139327</v>
      </c>
      <c r="O925" s="2">
        <f t="shared" si="59"/>
        <v>0</v>
      </c>
      <c r="P925" s="2">
        <v>-30.484781886692417</v>
      </c>
      <c r="Q925" s="2">
        <v>1.1987607121455994</v>
      </c>
    </row>
    <row r="926" spans="1:17" ht="15">
      <c r="A926" s="2" t="s">
        <v>81</v>
      </c>
      <c r="B926" s="2">
        <v>1043.6534700915217</v>
      </c>
      <c r="C926" s="2">
        <v>720.09523998713121</v>
      </c>
      <c r="D926" s="2">
        <v>370.17462272197008</v>
      </c>
      <c r="E926" s="2">
        <v>116.4459227421321</v>
      </c>
      <c r="F926" s="2">
        <v>26.354101976379752</v>
      </c>
      <c r="G926" s="2">
        <v>0.84340913743944845</v>
      </c>
      <c r="H926" s="2">
        <v>17720</v>
      </c>
      <c r="I926" s="2">
        <v>1200</v>
      </c>
      <c r="J926" s="2">
        <f>(IF(A926='Hybrid Calculator'!$B$6,0,1))^2+((B926-'Hybrid Calculator'!$B$7)/1500)^2+((C926-'Hybrid Calculator'!$B$8)/1300)^2+((D926-'Hybrid Calculator'!$B$9)/800)^2+((E926-'Hybrid Calculator'!$B$10)/350)^2+((F926-'Hybrid Calculator'!$B$11)/30)^2+(G926-'Hybrid Calculator'!$B$12)^2+((H926-'Hybrid Calculator'!$E$14)/IF(A926="Lightning",100,30000))^2+((I926-'Hybrid Calculator'!$E$17)/IF(A926="Lightning",100,30000))^2</f>
        <v>1.5276889823693964</v>
      </c>
      <c r="K926" s="2">
        <f t="shared" si="56"/>
        <v>1261</v>
      </c>
      <c r="L926" s="2">
        <f t="shared" si="57"/>
        <v>0</v>
      </c>
      <c r="M926" s="2">
        <f t="shared" si="58"/>
        <v>0</v>
      </c>
      <c r="N926" s="2">
        <v>-4.55750347677062</v>
      </c>
      <c r="O926" s="2">
        <f t="shared" si="59"/>
        <v>0</v>
      </c>
      <c r="P926" s="2">
        <v>8.1382311656725506</v>
      </c>
      <c r="Q926" s="2">
        <v>1.1446599687440084</v>
      </c>
    </row>
    <row r="927" spans="1:17" ht="15">
      <c r="A927" s="2" t="s">
        <v>81</v>
      </c>
      <c r="B927" s="2">
        <v>1013.3515950874425</v>
      </c>
      <c r="C927" s="2">
        <v>813.30019200686365</v>
      </c>
      <c r="D927" s="2">
        <v>353.41194281354547</v>
      </c>
      <c r="E927" s="2">
        <v>179.08681618981063</v>
      </c>
      <c r="F927" s="2">
        <v>11.672709722537547</v>
      </c>
      <c r="G927" s="2">
        <v>0.81018673431593924</v>
      </c>
      <c r="H927" s="2">
        <v>15890</v>
      </c>
      <c r="I927" s="2">
        <v>1200</v>
      </c>
      <c r="J927" s="2">
        <f>(IF(A927='Hybrid Calculator'!$B$6,0,1))^2+((B927-'Hybrid Calculator'!$B$7)/1500)^2+((C927-'Hybrid Calculator'!$B$8)/1300)^2+((D927-'Hybrid Calculator'!$B$9)/800)^2+((E927-'Hybrid Calculator'!$B$10)/350)^2+((F927-'Hybrid Calculator'!$B$11)/30)^2+(G927-'Hybrid Calculator'!$B$12)^2+((H927-'Hybrid Calculator'!$E$14)/IF(A927="Lightning",100,30000))^2+((I927-'Hybrid Calculator'!$E$17)/IF(A927="Lightning",100,30000))^2</f>
        <v>1.448796922320744</v>
      </c>
      <c r="K927" s="2">
        <f t="shared" si="56"/>
        <v>1104</v>
      </c>
      <c r="L927" s="2">
        <f t="shared" si="57"/>
        <v>0</v>
      </c>
      <c r="M927" s="2">
        <f t="shared" si="58"/>
        <v>0</v>
      </c>
      <c r="N927" s="2">
        <v>-2.0296331694701166</v>
      </c>
      <c r="O927" s="2">
        <f t="shared" si="59"/>
        <v>0</v>
      </c>
      <c r="P927" s="2">
        <v>-26.319442250920474</v>
      </c>
      <c r="Q927" s="2">
        <v>16.909193875330857</v>
      </c>
    </row>
    <row r="928" spans="1:17" ht="15">
      <c r="A928" s="2" t="s">
        <v>81</v>
      </c>
      <c r="B928" s="2">
        <v>950.77453095000237</v>
      </c>
      <c r="C928" s="2">
        <v>650.005577376578</v>
      </c>
      <c r="D928" s="2">
        <v>711.30888052284718</v>
      </c>
      <c r="E928" s="2">
        <v>179.23717583296821</v>
      </c>
      <c r="F928" s="2">
        <v>14.082592085935175</v>
      </c>
      <c r="G928" s="2">
        <v>0.8274987984332256</v>
      </c>
      <c r="H928" s="2">
        <v>16195</v>
      </c>
      <c r="I928" s="2">
        <v>1200</v>
      </c>
      <c r="J928" s="2">
        <f>(IF(A928='Hybrid Calculator'!$B$6,0,1))^2+((B928-'Hybrid Calculator'!$B$7)/1500)^2+((C928-'Hybrid Calculator'!$B$8)/1300)^2+((D928-'Hybrid Calculator'!$B$9)/800)^2+((E928-'Hybrid Calculator'!$B$10)/350)^2+((F928-'Hybrid Calculator'!$B$11)/30)^2+(G928-'Hybrid Calculator'!$B$12)^2+((H928-'Hybrid Calculator'!$E$14)/IF(A928="Lightning",100,30000))^2+((I928-'Hybrid Calculator'!$E$17)/IF(A928="Lightning",100,30000))^2</f>
        <v>1.513259559092569</v>
      </c>
      <c r="K928" s="2">
        <f t="shared" si="56"/>
        <v>1234</v>
      </c>
      <c r="L928" s="2">
        <f t="shared" si="57"/>
        <v>0</v>
      </c>
      <c r="M928" s="2">
        <f t="shared" si="58"/>
        <v>0</v>
      </c>
      <c r="N928" s="2">
        <v>0.66147391159057634</v>
      </c>
      <c r="O928" s="2">
        <f t="shared" si="59"/>
        <v>0</v>
      </c>
      <c r="P928" s="2">
        <v>-28.005590893996214</v>
      </c>
      <c r="Q928" s="2">
        <v>3.1974269245653204</v>
      </c>
    </row>
    <row r="929" spans="1:17" ht="15">
      <c r="A929" s="2" t="s">
        <v>81</v>
      </c>
      <c r="B929" s="2">
        <v>959.13134649163112</v>
      </c>
      <c r="C929" s="2">
        <v>773.02643894217908</v>
      </c>
      <c r="D929" s="2">
        <v>618.75348491594195</v>
      </c>
      <c r="E929" s="2">
        <v>198.06681088637561</v>
      </c>
      <c r="F929" s="2">
        <v>27.131872105877846</v>
      </c>
      <c r="G929" s="2">
        <v>0.79194260094314817</v>
      </c>
      <c r="H929" s="2">
        <v>13450</v>
      </c>
      <c r="I929" s="2">
        <v>1200</v>
      </c>
      <c r="J929" s="2">
        <f>(IF(A929='Hybrid Calculator'!$B$6,0,1))^2+((B929-'Hybrid Calculator'!$B$7)/1500)^2+((C929-'Hybrid Calculator'!$B$8)/1300)^2+((D929-'Hybrid Calculator'!$B$9)/800)^2+((E929-'Hybrid Calculator'!$B$10)/350)^2+((F929-'Hybrid Calculator'!$B$11)/30)^2+(G929-'Hybrid Calculator'!$B$12)^2+((H929-'Hybrid Calculator'!$E$14)/IF(A929="Lightning",100,30000))^2+((I929-'Hybrid Calculator'!$E$17)/IF(A929="Lightning",100,30000))^2</f>
        <v>1.4254811706629196</v>
      </c>
      <c r="K929" s="2">
        <f t="shared" si="56"/>
        <v>1049</v>
      </c>
      <c r="L929" s="2">
        <f t="shared" si="57"/>
        <v>0</v>
      </c>
      <c r="M929" s="2">
        <f t="shared" si="58"/>
        <v>0</v>
      </c>
      <c r="N929" s="2">
        <v>-3.2971765643852393</v>
      </c>
      <c r="O929" s="2">
        <f t="shared" si="59"/>
        <v>0</v>
      </c>
      <c r="P929" s="2">
        <v>-25.432737309804907</v>
      </c>
      <c r="Q929" s="2">
        <v>-6.9390750225463762</v>
      </c>
    </row>
    <row r="930" spans="1:17" ht="15">
      <c r="A930" s="2" t="s">
        <v>81</v>
      </c>
      <c r="B930" s="2">
        <v>976.67176253162324</v>
      </c>
      <c r="C930" s="2">
        <v>820.73196646524593</v>
      </c>
      <c r="D930" s="2">
        <v>491.49215128272772</v>
      </c>
      <c r="E930" s="2">
        <v>153.46316968323663</v>
      </c>
      <c r="F930" s="2">
        <v>16.054990474134684</v>
      </c>
      <c r="G930" s="2">
        <v>0.83522144593531267</v>
      </c>
      <c r="H930" s="2">
        <v>17025</v>
      </c>
      <c r="I930" s="2">
        <v>1200</v>
      </c>
      <c r="J930" s="2">
        <f>(IF(A930='Hybrid Calculator'!$B$6,0,1))^2+((B930-'Hybrid Calculator'!$B$7)/1500)^2+((C930-'Hybrid Calculator'!$B$8)/1300)^2+((D930-'Hybrid Calculator'!$B$9)/800)^2+((E930-'Hybrid Calculator'!$B$10)/350)^2+((F930-'Hybrid Calculator'!$B$11)/30)^2+(G930-'Hybrid Calculator'!$B$12)^2+((H930-'Hybrid Calculator'!$E$14)/IF(A930="Lightning",100,30000))^2+((I930-'Hybrid Calculator'!$E$17)/IF(A930="Lightning",100,30000))^2</f>
        <v>1.4186258002954677</v>
      </c>
      <c r="K930" s="2">
        <f t="shared" si="56"/>
        <v>1035</v>
      </c>
      <c r="L930" s="2">
        <f t="shared" si="57"/>
        <v>0</v>
      </c>
      <c r="M930" s="2">
        <f t="shared" si="58"/>
        <v>0</v>
      </c>
      <c r="N930" s="2">
        <v>1.5665090086583007</v>
      </c>
      <c r="O930" s="2">
        <f t="shared" si="59"/>
        <v>0</v>
      </c>
      <c r="P930" s="2">
        <v>13.457978159487993</v>
      </c>
      <c r="Q930" s="2">
        <v>2.1848738596909243</v>
      </c>
    </row>
    <row r="931" spans="1:17" ht="15">
      <c r="A931" s="2" t="s">
        <v>81</v>
      </c>
      <c r="B931" s="2">
        <v>950.57332423748448</v>
      </c>
      <c r="C931" s="2">
        <v>807.72524408530444</v>
      </c>
      <c r="D931" s="2">
        <v>605.60324536636472</v>
      </c>
      <c r="E931" s="2">
        <v>134.01289835572243</v>
      </c>
      <c r="F931" s="2">
        <v>19.321424583438784</v>
      </c>
      <c r="G931" s="2">
        <v>0.84551713950466367</v>
      </c>
      <c r="H931" s="2">
        <v>16125</v>
      </c>
      <c r="I931" s="2">
        <v>1200</v>
      </c>
      <c r="J931" s="2">
        <f>(IF(A931='Hybrid Calculator'!$B$6,0,1))^2+((B931-'Hybrid Calculator'!$B$7)/1500)^2+((C931-'Hybrid Calculator'!$B$8)/1300)^2+((D931-'Hybrid Calculator'!$B$9)/800)^2+((E931-'Hybrid Calculator'!$B$10)/350)^2+((F931-'Hybrid Calculator'!$B$11)/30)^2+(G931-'Hybrid Calculator'!$B$12)^2+((H931-'Hybrid Calculator'!$E$14)/IF(A931="Lightning",100,30000))^2+((I931-'Hybrid Calculator'!$E$17)/IF(A931="Lightning",100,30000))^2</f>
        <v>1.4106570632602016</v>
      </c>
      <c r="K931" s="2">
        <f t="shared" si="56"/>
        <v>1009</v>
      </c>
      <c r="L931" s="2">
        <f t="shared" si="57"/>
        <v>0</v>
      </c>
      <c r="M931" s="2">
        <f t="shared" si="58"/>
        <v>0</v>
      </c>
      <c r="N931" s="2">
        <v>-1.4181321906157791</v>
      </c>
      <c r="O931" s="2">
        <f t="shared" si="59"/>
        <v>0</v>
      </c>
      <c r="P931" s="2">
        <v>7.6746218190696709</v>
      </c>
      <c r="Q931" s="2">
        <v>4.2570584833684961</v>
      </c>
    </row>
    <row r="932" spans="1:17" ht="15">
      <c r="A932" s="2" t="s">
        <v>81</v>
      </c>
      <c r="B932" s="2">
        <v>972.81805968377739</v>
      </c>
      <c r="C932" s="2">
        <v>886.88978712307289</v>
      </c>
      <c r="D932" s="2">
        <v>673.91090169548988</v>
      </c>
      <c r="E932" s="2">
        <v>260.04492152249441</v>
      </c>
      <c r="F932" s="2">
        <v>15.217251642607152</v>
      </c>
      <c r="G932" s="2">
        <v>0.79949424659600488</v>
      </c>
      <c r="H932" s="2">
        <v>11745</v>
      </c>
      <c r="I932" s="2">
        <v>1195</v>
      </c>
      <c r="J932" s="2">
        <f>(IF(A932='Hybrid Calculator'!$B$6,0,1))^2+((B932-'Hybrid Calculator'!$B$7)/1500)^2+((C932-'Hybrid Calculator'!$B$8)/1300)^2+((D932-'Hybrid Calculator'!$B$9)/800)^2+((E932-'Hybrid Calculator'!$B$10)/350)^2+((F932-'Hybrid Calculator'!$B$11)/30)^2+(G932-'Hybrid Calculator'!$B$12)^2+((H932-'Hybrid Calculator'!$E$14)/IF(A932="Lightning",100,30000))^2+((I932-'Hybrid Calculator'!$E$17)/IF(A932="Lightning",100,30000))^2</f>
        <v>1.4036794821435483</v>
      </c>
      <c r="K932" s="2">
        <f t="shared" si="56"/>
        <v>988</v>
      </c>
      <c r="L932" s="2">
        <f t="shared" si="57"/>
        <v>0</v>
      </c>
      <c r="M932" s="2">
        <f t="shared" si="58"/>
        <v>0</v>
      </c>
      <c r="N932" s="2">
        <v>0.50052159117453243</v>
      </c>
      <c r="O932" s="2">
        <f t="shared" si="59"/>
        <v>0</v>
      </c>
      <c r="P932" s="2">
        <v>-27.024250416874565</v>
      </c>
      <c r="Q932" s="2">
        <v>-2.6797886233850932</v>
      </c>
    </row>
    <row r="933" spans="1:17" ht="15">
      <c r="A933" s="2" t="s">
        <v>81</v>
      </c>
      <c r="B933" s="2">
        <v>1028.4368995460682</v>
      </c>
      <c r="C933" s="2">
        <v>884.38416514545679</v>
      </c>
      <c r="D933" s="2">
        <v>507.49718388542533</v>
      </c>
      <c r="E933" s="2">
        <v>139.0212979586795</v>
      </c>
      <c r="F933" s="2">
        <v>28.680146449711174</v>
      </c>
      <c r="G933" s="2">
        <v>0.84715404829941698</v>
      </c>
      <c r="H933" s="2">
        <v>13970</v>
      </c>
      <c r="I933" s="2">
        <v>1200</v>
      </c>
      <c r="J933" s="2">
        <f>(IF(A933='Hybrid Calculator'!$B$6,0,1))^2+((B933-'Hybrid Calculator'!$B$7)/1500)^2+((C933-'Hybrid Calculator'!$B$8)/1300)^2+((D933-'Hybrid Calculator'!$B$9)/800)^2+((E933-'Hybrid Calculator'!$B$10)/350)^2+((F933-'Hybrid Calculator'!$B$11)/30)^2+(G933-'Hybrid Calculator'!$B$12)^2+((H933-'Hybrid Calculator'!$E$14)/IF(A933="Lightning",100,30000))^2+((I933-'Hybrid Calculator'!$E$17)/IF(A933="Lightning",100,30000))^2</f>
        <v>1.4043834735832137</v>
      </c>
      <c r="K933" s="2">
        <f t="shared" si="56"/>
        <v>990</v>
      </c>
      <c r="L933" s="2">
        <f t="shared" si="57"/>
        <v>0</v>
      </c>
      <c r="M933" s="2">
        <f t="shared" si="58"/>
        <v>0</v>
      </c>
      <c r="N933" s="2">
        <v>-3.2615700299097625</v>
      </c>
      <c r="O933" s="2">
        <f t="shared" si="59"/>
        <v>0</v>
      </c>
      <c r="P933" s="2">
        <v>36.930458155703946</v>
      </c>
      <c r="Q933" s="2">
        <v>-11.951777305170708</v>
      </c>
    </row>
    <row r="934" spans="1:17" ht="15">
      <c r="A934" s="2" t="s">
        <v>81</v>
      </c>
      <c r="B934" s="2">
        <v>995.13519601896405</v>
      </c>
      <c r="C934" s="2">
        <v>1239.4425356178544</v>
      </c>
      <c r="D934" s="2">
        <v>590.02676401287317</v>
      </c>
      <c r="E934" s="2">
        <v>232.37232303479686</v>
      </c>
      <c r="F934" s="2">
        <v>16.801450984552503</v>
      </c>
      <c r="G934" s="2">
        <v>0.7912522289087065</v>
      </c>
      <c r="H934" s="2">
        <v>10370</v>
      </c>
      <c r="I934" s="2">
        <v>1195</v>
      </c>
      <c r="J934" s="2">
        <f>(IF(A934='Hybrid Calculator'!$B$6,0,1))^2+((B934-'Hybrid Calculator'!$B$7)/1500)^2+((C934-'Hybrid Calculator'!$B$8)/1300)^2+((D934-'Hybrid Calculator'!$B$9)/800)^2+((E934-'Hybrid Calculator'!$B$10)/350)^2+((F934-'Hybrid Calculator'!$B$11)/30)^2+(G934-'Hybrid Calculator'!$B$12)^2+((H934-'Hybrid Calculator'!$E$14)/IF(A934="Lightning",100,30000))^2+((I934-'Hybrid Calculator'!$E$17)/IF(A934="Lightning",100,30000))^2</f>
        <v>1.3638112329118519</v>
      </c>
      <c r="K934" s="2">
        <f t="shared" si="56"/>
        <v>868</v>
      </c>
      <c r="L934" s="2">
        <f t="shared" si="57"/>
        <v>0</v>
      </c>
      <c r="M934" s="2">
        <f t="shared" si="58"/>
        <v>0</v>
      </c>
      <c r="N934" s="2">
        <v>5.0864082390379792</v>
      </c>
      <c r="O934" s="2">
        <f t="shared" si="59"/>
        <v>0</v>
      </c>
      <c r="P934" s="2">
        <v>46.709727874300825</v>
      </c>
      <c r="Q934" s="2">
        <v>-3.3377056488989183</v>
      </c>
    </row>
    <row r="935" spans="1:17" ht="15">
      <c r="A935" s="2" t="s">
        <v>81</v>
      </c>
      <c r="B935" s="2">
        <v>1012.149310822133</v>
      </c>
      <c r="C935" s="2">
        <v>1107.0277628721669</v>
      </c>
      <c r="D935" s="2">
        <v>682.57783139124513</v>
      </c>
      <c r="E935" s="2">
        <v>210.76481339521706</v>
      </c>
      <c r="F935" s="2">
        <v>17.682962686289102</v>
      </c>
      <c r="G935" s="2">
        <v>0.81755101608578118</v>
      </c>
      <c r="H935" s="2">
        <v>10690</v>
      </c>
      <c r="I935" s="2">
        <v>1195</v>
      </c>
      <c r="J935" s="2">
        <f>(IF(A935='Hybrid Calculator'!$B$6,0,1))^2+((B935-'Hybrid Calculator'!$B$7)/1500)^2+((C935-'Hybrid Calculator'!$B$8)/1300)^2+((D935-'Hybrid Calculator'!$B$9)/800)^2+((E935-'Hybrid Calculator'!$B$10)/350)^2+((F935-'Hybrid Calculator'!$B$11)/30)^2+(G935-'Hybrid Calculator'!$B$12)^2+((H935-'Hybrid Calculator'!$E$14)/IF(A935="Lightning",100,30000))^2+((I935-'Hybrid Calculator'!$E$17)/IF(A935="Lightning",100,30000))^2</f>
        <v>1.3251286460640042</v>
      </c>
      <c r="K935" s="2">
        <f t="shared" si="56"/>
        <v>767</v>
      </c>
      <c r="L935" s="2">
        <f t="shared" si="57"/>
        <v>0</v>
      </c>
      <c r="M935" s="2">
        <f t="shared" si="58"/>
        <v>0</v>
      </c>
      <c r="N935" s="2">
        <v>4.5314897028497683</v>
      </c>
      <c r="O935" s="2">
        <f t="shared" si="59"/>
        <v>0</v>
      </c>
      <c r="P935" s="2">
        <v>13.182138614310134</v>
      </c>
      <c r="Q935" s="2">
        <v>-7.7925314702412152</v>
      </c>
    </row>
    <row r="936" spans="1:17" ht="15">
      <c r="A936" s="2" t="s">
        <v>81</v>
      </c>
      <c r="B936" s="2">
        <v>992.35317984130234</v>
      </c>
      <c r="C936" s="2">
        <v>869.03733868384734</v>
      </c>
      <c r="D936" s="2">
        <v>398.99502359330654</v>
      </c>
      <c r="E936" s="2">
        <v>290.04614856792614</v>
      </c>
      <c r="F936" s="2">
        <v>18.952657801099122</v>
      </c>
      <c r="G936" s="2">
        <v>0.84701776792062455</v>
      </c>
      <c r="H936" s="2">
        <v>16015</v>
      </c>
      <c r="I936" s="2">
        <v>1200</v>
      </c>
      <c r="J936" s="2">
        <f>(IF(A936='Hybrid Calculator'!$B$6,0,1))^2+((B936-'Hybrid Calculator'!$B$7)/1500)^2+((C936-'Hybrid Calculator'!$B$8)/1300)^2+((D936-'Hybrid Calculator'!$B$9)/800)^2+((E936-'Hybrid Calculator'!$B$10)/350)^2+((F936-'Hybrid Calculator'!$B$11)/30)^2+(G936-'Hybrid Calculator'!$B$12)^2+((H936-'Hybrid Calculator'!$E$14)/IF(A936="Lightning",100,30000))^2+((I936-'Hybrid Calculator'!$E$17)/IF(A936="Lightning",100,30000))^2</f>
        <v>1.5451461621118658</v>
      </c>
      <c r="K936" s="2">
        <f t="shared" si="56"/>
        <v>1293</v>
      </c>
      <c r="L936" s="2">
        <f t="shared" si="57"/>
        <v>0</v>
      </c>
      <c r="M936" s="2">
        <f t="shared" si="58"/>
        <v>0</v>
      </c>
      <c r="N936" s="2">
        <v>0.74745243935350913</v>
      </c>
      <c r="O936" s="2">
        <f t="shared" si="59"/>
        <v>0</v>
      </c>
      <c r="P936" s="2">
        <v>-25.135491873861611</v>
      </c>
      <c r="Q936" s="2">
        <v>1.3451290564303235</v>
      </c>
    </row>
    <row r="937" spans="1:17" ht="15">
      <c r="A937" s="2" t="s">
        <v>81</v>
      </c>
      <c r="B937" s="2">
        <v>972.03380925348029</v>
      </c>
      <c r="C937" s="2">
        <v>1084.2839958611876</v>
      </c>
      <c r="D937" s="2">
        <v>517.17232344672084</v>
      </c>
      <c r="E937" s="2">
        <v>208.82021383848041</v>
      </c>
      <c r="F937" s="2">
        <v>10.24017110420391</v>
      </c>
      <c r="G937" s="2">
        <v>0.796365928594023</v>
      </c>
      <c r="H937" s="2">
        <v>11815</v>
      </c>
      <c r="I937" s="2">
        <v>1195</v>
      </c>
      <c r="J937" s="2">
        <f>(IF(A937='Hybrid Calculator'!$B$6,0,1))^2+((B937-'Hybrid Calculator'!$B$7)/1500)^2+((C937-'Hybrid Calculator'!$B$8)/1300)^2+((D937-'Hybrid Calculator'!$B$9)/800)^2+((E937-'Hybrid Calculator'!$B$10)/350)^2+((F937-'Hybrid Calculator'!$B$11)/30)^2+(G937-'Hybrid Calculator'!$B$12)^2+((H937-'Hybrid Calculator'!$E$14)/IF(A937="Lightning",100,30000))^2+((I937-'Hybrid Calculator'!$E$17)/IF(A937="Lightning",100,30000))^2</f>
        <v>1.3840528191228836</v>
      </c>
      <c r="K937" s="2">
        <f t="shared" si="56"/>
        <v>929</v>
      </c>
      <c r="L937" s="2">
        <f t="shared" si="57"/>
        <v>0</v>
      </c>
      <c r="M937" s="2">
        <f t="shared" si="58"/>
        <v>0</v>
      </c>
      <c r="N937" s="2">
        <v>0.7789078458992833</v>
      </c>
      <c r="O937" s="2">
        <f t="shared" si="59"/>
        <v>0</v>
      </c>
      <c r="P937" s="2">
        <v>56.588983841311347</v>
      </c>
      <c r="Q937" s="2">
        <v>-1.927021213874923</v>
      </c>
    </row>
    <row r="938" spans="1:17" ht="15">
      <c r="A938" s="2" t="s">
        <v>81</v>
      </c>
      <c r="B938" s="2">
        <v>958.53510689921677</v>
      </c>
      <c r="C938" s="2">
        <v>1181.6269971313886</v>
      </c>
      <c r="D938" s="2">
        <v>399.75034277886152</v>
      </c>
      <c r="E938" s="2">
        <v>319.83823350863531</v>
      </c>
      <c r="F938" s="2">
        <v>11.92901998758316</v>
      </c>
      <c r="G938" s="2">
        <v>0.84469013219932099</v>
      </c>
      <c r="H938" s="2">
        <v>13125</v>
      </c>
      <c r="I938" s="2">
        <v>1200</v>
      </c>
      <c r="J938" s="2">
        <f>(IF(A938='Hybrid Calculator'!$B$6,0,1))^2+((B938-'Hybrid Calculator'!$B$7)/1500)^2+((C938-'Hybrid Calculator'!$B$8)/1300)^2+((D938-'Hybrid Calculator'!$B$9)/800)^2+((E938-'Hybrid Calculator'!$B$10)/350)^2+((F938-'Hybrid Calculator'!$B$11)/30)^2+(G938-'Hybrid Calculator'!$B$12)^2+((H938-'Hybrid Calculator'!$E$14)/IF(A938="Lightning",100,30000))^2+((I938-'Hybrid Calculator'!$E$17)/IF(A938="Lightning",100,30000))^2</f>
        <v>1.6530236201697612</v>
      </c>
      <c r="K938" s="2">
        <f t="shared" si="56"/>
        <v>1382</v>
      </c>
      <c r="L938" s="2">
        <f t="shared" si="57"/>
        <v>0</v>
      </c>
      <c r="M938" s="2">
        <f t="shared" si="58"/>
        <v>0</v>
      </c>
      <c r="N938" s="2">
        <v>5.8116195730938784</v>
      </c>
      <c r="O938" s="2">
        <f t="shared" si="59"/>
        <v>0</v>
      </c>
      <c r="P938" s="2">
        <v>4.6715128154696686</v>
      </c>
      <c r="Q938" s="2">
        <v>1.5145536499755963</v>
      </c>
    </row>
    <row r="939" spans="1:17" ht="15">
      <c r="A939" s="2" t="s">
        <v>81</v>
      </c>
      <c r="B939" s="2">
        <v>980.4890678380616</v>
      </c>
      <c r="C939" s="2">
        <v>821.2311634561047</v>
      </c>
      <c r="D939" s="2">
        <v>630.48981847241521</v>
      </c>
      <c r="E939" s="2">
        <v>85.949991289526224</v>
      </c>
      <c r="F939" s="2">
        <v>27.207600882742554</v>
      </c>
      <c r="G939" s="2">
        <v>0.83789540780242533</v>
      </c>
      <c r="H939" s="2">
        <v>16225</v>
      </c>
      <c r="I939" s="2">
        <v>1200</v>
      </c>
      <c r="J939" s="2">
        <f>(IF(A939='Hybrid Calculator'!$B$6,0,1))^2+((B939-'Hybrid Calculator'!$B$7)/1500)^2+((C939-'Hybrid Calculator'!$B$8)/1300)^2+((D939-'Hybrid Calculator'!$B$9)/800)^2+((E939-'Hybrid Calculator'!$B$10)/350)^2+((F939-'Hybrid Calculator'!$B$11)/30)^2+(G939-'Hybrid Calculator'!$B$12)^2+((H939-'Hybrid Calculator'!$E$14)/IF(A939="Lightning",100,30000))^2+((I939-'Hybrid Calculator'!$E$17)/IF(A939="Lightning",100,30000))^2</f>
        <v>1.5252041004276129</v>
      </c>
      <c r="K939" s="2">
        <f t="shared" si="56"/>
        <v>1256</v>
      </c>
      <c r="L939" s="2">
        <f t="shared" si="57"/>
        <v>0</v>
      </c>
      <c r="M939" s="2">
        <f t="shared" si="58"/>
        <v>0</v>
      </c>
      <c r="N939" s="2">
        <v>-0.51121419466340967</v>
      </c>
      <c r="O939" s="2">
        <f t="shared" si="59"/>
        <v>0</v>
      </c>
      <c r="P939" s="2">
        <v>-30.521176864046083</v>
      </c>
      <c r="Q939" s="2">
        <v>-9.2243972105840157</v>
      </c>
    </row>
    <row r="940" spans="1:17" ht="15">
      <c r="A940" s="2" t="s">
        <v>81</v>
      </c>
      <c r="B940" s="2">
        <v>1014.0688355546445</v>
      </c>
      <c r="C940" s="2">
        <v>876.95109219057485</v>
      </c>
      <c r="D940" s="2">
        <v>639.33704551309347</v>
      </c>
      <c r="E940" s="2">
        <v>105.06866940530017</v>
      </c>
      <c r="F940" s="2">
        <v>28.764378841966391</v>
      </c>
      <c r="G940" s="2">
        <v>0.85008997116470719</v>
      </c>
      <c r="H940" s="2">
        <v>15390</v>
      </c>
      <c r="I940" s="2">
        <v>1200</v>
      </c>
      <c r="J940" s="2">
        <f>(IF(A940='Hybrid Calculator'!$B$6,0,1))^2+((B940-'Hybrid Calculator'!$B$7)/1500)^2+((C940-'Hybrid Calculator'!$B$8)/1300)^2+((D940-'Hybrid Calculator'!$B$9)/800)^2+((E940-'Hybrid Calculator'!$B$10)/350)^2+((F940-'Hybrid Calculator'!$B$11)/30)^2+(G940-'Hybrid Calculator'!$B$12)^2+((H940-'Hybrid Calculator'!$E$14)/IF(A940="Lightning",100,30000))^2+((I940-'Hybrid Calculator'!$E$17)/IF(A940="Lightning",100,30000))^2</f>
        <v>1.5032615685237525</v>
      </c>
      <c r="K940" s="2">
        <f t="shared" si="56"/>
        <v>1217</v>
      </c>
      <c r="L940" s="2">
        <f t="shared" si="57"/>
        <v>0</v>
      </c>
      <c r="M940" s="2">
        <f t="shared" si="58"/>
        <v>0</v>
      </c>
      <c r="N940" s="2">
        <v>-2.1695823137886521</v>
      </c>
      <c r="O940" s="2">
        <f t="shared" si="59"/>
        <v>0</v>
      </c>
      <c r="P940" s="2">
        <v>-35.199557612815624</v>
      </c>
      <c r="Q940" s="2">
        <v>-7.5377047683688261</v>
      </c>
    </row>
    <row r="941" spans="1:17" ht="15">
      <c r="A941" s="2" t="s">
        <v>81</v>
      </c>
      <c r="B941" s="2">
        <v>1056.4745854702778</v>
      </c>
      <c r="C941" s="2">
        <v>1227.423810469918</v>
      </c>
      <c r="D941" s="2">
        <v>732.5025369413197</v>
      </c>
      <c r="E941" s="2">
        <v>286.08089957386255</v>
      </c>
      <c r="F941" s="2">
        <v>18.41745555633679</v>
      </c>
      <c r="G941" s="2">
        <v>0.81037447649519889</v>
      </c>
      <c r="H941" s="2">
        <v>9520</v>
      </c>
      <c r="I941" s="2">
        <v>1195</v>
      </c>
      <c r="J941" s="2">
        <f>(IF(A941='Hybrid Calculator'!$B$6,0,1))^2+((B941-'Hybrid Calculator'!$B$7)/1500)^2+((C941-'Hybrid Calculator'!$B$8)/1300)^2+((D941-'Hybrid Calculator'!$B$9)/800)^2+((E941-'Hybrid Calculator'!$B$10)/350)^2+((F941-'Hybrid Calculator'!$B$11)/30)^2+(G941-'Hybrid Calculator'!$B$12)^2+((H941-'Hybrid Calculator'!$E$14)/IF(A941="Lightning",100,30000))^2+((I941-'Hybrid Calculator'!$E$17)/IF(A941="Lightning",100,30000))^2</f>
        <v>1.4815484653026016</v>
      </c>
      <c r="K941" s="2">
        <f t="shared" si="56"/>
        <v>1178</v>
      </c>
      <c r="L941" s="2">
        <f t="shared" si="57"/>
        <v>0</v>
      </c>
      <c r="M941" s="2">
        <f t="shared" si="58"/>
        <v>0</v>
      </c>
      <c r="N941" s="2">
        <v>2.6154513726282573</v>
      </c>
      <c r="O941" s="2">
        <f t="shared" si="59"/>
        <v>0</v>
      </c>
      <c r="P941" s="2">
        <v>21.674236416289659</v>
      </c>
      <c r="Q941" s="2">
        <v>-14.58270673071388</v>
      </c>
    </row>
    <row r="942" spans="1:17" ht="15">
      <c r="A942" s="2" t="s">
        <v>81</v>
      </c>
      <c r="B942" s="2">
        <v>988.99138944689184</v>
      </c>
      <c r="C942" s="2">
        <v>721.02689548628405</v>
      </c>
      <c r="D942" s="2">
        <v>686.4021472632885</v>
      </c>
      <c r="E942" s="2">
        <v>254.12538401549682</v>
      </c>
      <c r="F942" s="2">
        <v>18.018394148908556</v>
      </c>
      <c r="G942" s="2">
        <v>0.80499975086888298</v>
      </c>
      <c r="H942" s="2">
        <v>12870</v>
      </c>
      <c r="I942" s="2">
        <v>1200</v>
      </c>
      <c r="J942" s="2">
        <f>(IF(A942='Hybrid Calculator'!$B$6,0,1))^2+((B942-'Hybrid Calculator'!$B$7)/1500)^2+((C942-'Hybrid Calculator'!$B$8)/1300)^2+((D942-'Hybrid Calculator'!$B$9)/800)^2+((E942-'Hybrid Calculator'!$B$10)/350)^2+((F942-'Hybrid Calculator'!$B$11)/30)^2+(G942-'Hybrid Calculator'!$B$12)^2+((H942-'Hybrid Calculator'!$E$14)/IF(A942="Lightning",100,30000))^2+((I942-'Hybrid Calculator'!$E$17)/IF(A942="Lightning",100,30000))^2</f>
        <v>1.4217607706820583</v>
      </c>
      <c r="K942" s="2">
        <f t="shared" si="56"/>
        <v>1042</v>
      </c>
      <c r="L942" s="2">
        <f t="shared" si="57"/>
        <v>0</v>
      </c>
      <c r="M942" s="2">
        <f t="shared" si="58"/>
        <v>0</v>
      </c>
      <c r="N942" s="2">
        <v>-1.0161693283840521</v>
      </c>
      <c r="O942" s="2">
        <f t="shared" si="59"/>
        <v>0</v>
      </c>
      <c r="P942" s="2">
        <v>-37.447877075760971</v>
      </c>
      <c r="Q942" s="2">
        <v>-2.2321085832703602</v>
      </c>
    </row>
    <row r="943" spans="1:17" ht="15">
      <c r="A943" s="2" t="s">
        <v>81</v>
      </c>
      <c r="B943" s="2">
        <v>979.7192761558108</v>
      </c>
      <c r="C943" s="2">
        <v>658.73160324990749</v>
      </c>
      <c r="D943" s="2">
        <v>580.98075976595283</v>
      </c>
      <c r="E943" s="2">
        <v>169.73538235295564</v>
      </c>
      <c r="F943" s="2">
        <v>16.476868109311908</v>
      </c>
      <c r="G943" s="2">
        <v>0.79026456120423971</v>
      </c>
      <c r="H943" s="2">
        <v>15175</v>
      </c>
      <c r="I943" s="2">
        <v>1200</v>
      </c>
      <c r="J943" s="2">
        <f>(IF(A943='Hybrid Calculator'!$B$6,0,1))^2+((B943-'Hybrid Calculator'!$B$7)/1500)^2+((C943-'Hybrid Calculator'!$B$8)/1300)^2+((D943-'Hybrid Calculator'!$B$9)/800)^2+((E943-'Hybrid Calculator'!$B$10)/350)^2+((F943-'Hybrid Calculator'!$B$11)/30)^2+(G943-'Hybrid Calculator'!$B$12)^2+((H943-'Hybrid Calculator'!$E$14)/IF(A943="Lightning",100,30000))^2+((I943-'Hybrid Calculator'!$E$17)/IF(A943="Lightning",100,30000))^2</f>
        <v>1.3843455524925496</v>
      </c>
      <c r="K943" s="2">
        <f t="shared" si="56"/>
        <v>932</v>
      </c>
      <c r="L943" s="2">
        <f t="shared" si="57"/>
        <v>0</v>
      </c>
      <c r="M943" s="2">
        <f t="shared" si="58"/>
        <v>0</v>
      </c>
      <c r="N943" s="2">
        <v>-2.1235000808325708</v>
      </c>
      <c r="O943" s="2">
        <f t="shared" si="59"/>
        <v>0</v>
      </c>
      <c r="P943" s="2">
        <v>7.2175861782593529</v>
      </c>
      <c r="Q943" s="2">
        <v>8.5101707174343346</v>
      </c>
    </row>
    <row r="944" spans="1:17" ht="15">
      <c r="A944" s="2" t="s">
        <v>81</v>
      </c>
      <c r="B944" s="2">
        <v>1007.1606907062232</v>
      </c>
      <c r="C944" s="2">
        <v>1181.1345461173914</v>
      </c>
      <c r="D944" s="2">
        <v>370.81245128065348</v>
      </c>
      <c r="E944" s="2">
        <v>167.43444929132238</v>
      </c>
      <c r="F944" s="2">
        <v>19.943679580464959</v>
      </c>
      <c r="G944" s="2">
        <v>0.8423319008504041</v>
      </c>
      <c r="H944" s="2">
        <v>14510</v>
      </c>
      <c r="I944" s="2">
        <v>1200</v>
      </c>
      <c r="J944" s="2">
        <f>(IF(A944='Hybrid Calculator'!$B$6,0,1))^2+((B944-'Hybrid Calculator'!$B$7)/1500)^2+((C944-'Hybrid Calculator'!$B$8)/1300)^2+((D944-'Hybrid Calculator'!$B$9)/800)^2+((E944-'Hybrid Calculator'!$B$10)/350)^2+((F944-'Hybrid Calculator'!$B$11)/30)^2+(G944-'Hybrid Calculator'!$B$12)^2+((H944-'Hybrid Calculator'!$E$14)/IF(A944="Lightning",100,30000))^2+((I944-'Hybrid Calculator'!$E$17)/IF(A944="Lightning",100,30000))^2</f>
        <v>1.407708186335924</v>
      </c>
      <c r="K944" s="2">
        <f t="shared" si="56"/>
        <v>998</v>
      </c>
      <c r="L944" s="2">
        <f t="shared" si="57"/>
        <v>0</v>
      </c>
      <c r="M944" s="2">
        <f t="shared" si="58"/>
        <v>0</v>
      </c>
      <c r="N944" s="2">
        <v>1.9802231875928271</v>
      </c>
      <c r="O944" s="2">
        <f t="shared" si="59"/>
        <v>0</v>
      </c>
      <c r="P944" s="2">
        <v>67.735185736717995</v>
      </c>
      <c r="Q944" s="2">
        <v>-8.2670386614501012</v>
      </c>
    </row>
    <row r="945" spans="1:17" ht="15">
      <c r="A945" s="2" t="s">
        <v>81</v>
      </c>
      <c r="B945" s="2">
        <v>1015.2184782200493</v>
      </c>
      <c r="C945" s="2">
        <v>1132.4341683881357</v>
      </c>
      <c r="D945" s="2">
        <v>650.0495039857924</v>
      </c>
      <c r="E945" s="2">
        <v>326.90571264363825</v>
      </c>
      <c r="F945" s="2">
        <v>11.551252775359899</v>
      </c>
      <c r="G945" s="2">
        <v>0.84797082243952904</v>
      </c>
      <c r="H945" s="2">
        <v>11830</v>
      </c>
      <c r="I945" s="2">
        <v>1195</v>
      </c>
      <c r="J945" s="2">
        <f>(IF(A945='Hybrid Calculator'!$B$6,0,1))^2+((B945-'Hybrid Calculator'!$B$7)/1500)^2+((C945-'Hybrid Calculator'!$B$8)/1300)^2+((D945-'Hybrid Calculator'!$B$9)/800)^2+((E945-'Hybrid Calculator'!$B$10)/350)^2+((F945-'Hybrid Calculator'!$B$11)/30)^2+(G945-'Hybrid Calculator'!$B$12)^2+((H945-'Hybrid Calculator'!$E$14)/IF(A945="Lightning",100,30000))^2+((I945-'Hybrid Calculator'!$E$17)/IF(A945="Lightning",100,30000))^2</f>
        <v>1.6226267107998744</v>
      </c>
      <c r="K945" s="2">
        <f t="shared" si="56"/>
        <v>1363</v>
      </c>
      <c r="L945" s="2">
        <f t="shared" si="57"/>
        <v>0</v>
      </c>
      <c r="M945" s="2">
        <f t="shared" si="58"/>
        <v>0</v>
      </c>
      <c r="N945" s="2">
        <v>2.4615744051793058</v>
      </c>
      <c r="O945" s="2">
        <f t="shared" si="59"/>
        <v>0</v>
      </c>
      <c r="P945" s="2">
        <v>63.568032258556741</v>
      </c>
      <c r="Q945" s="2">
        <v>-5.5300332741471721</v>
      </c>
    </row>
    <row r="946" spans="1:17" ht="15">
      <c r="A946" s="2" t="s">
        <v>81</v>
      </c>
      <c r="B946" s="2">
        <v>1050.957241258584</v>
      </c>
      <c r="C946" s="2">
        <v>1195.4699417226948</v>
      </c>
      <c r="D946" s="2">
        <v>447.34778515994549</v>
      </c>
      <c r="E946" s="2">
        <v>277.825342125725</v>
      </c>
      <c r="F946" s="2">
        <v>11.222455774433911</v>
      </c>
      <c r="G946" s="2">
        <v>0.85806365684373309</v>
      </c>
      <c r="H946" s="2">
        <v>11135</v>
      </c>
      <c r="I946" s="2">
        <v>1195</v>
      </c>
      <c r="J946" s="2">
        <f>(IF(A946='Hybrid Calculator'!$B$6,0,1))^2+((B946-'Hybrid Calculator'!$B$7)/1500)^2+((C946-'Hybrid Calculator'!$B$8)/1300)^2+((D946-'Hybrid Calculator'!$B$9)/800)^2+((E946-'Hybrid Calculator'!$B$10)/350)^2+((F946-'Hybrid Calculator'!$B$11)/30)^2+(G946-'Hybrid Calculator'!$B$12)^2+((H946-'Hybrid Calculator'!$E$14)/IF(A946="Lightning",100,30000))^2+((I946-'Hybrid Calculator'!$E$17)/IF(A946="Lightning",100,30000))^2</f>
        <v>1.4688636401594422</v>
      </c>
      <c r="K946" s="2">
        <f t="shared" si="56"/>
        <v>1155</v>
      </c>
      <c r="L946" s="2">
        <f t="shared" si="57"/>
        <v>0</v>
      </c>
      <c r="M946" s="2">
        <f t="shared" si="58"/>
        <v>0</v>
      </c>
      <c r="N946" s="2">
        <v>0.4842794953612497</v>
      </c>
      <c r="O946" s="2">
        <f t="shared" si="59"/>
        <v>0</v>
      </c>
      <c r="P946" s="2">
        <v>32.18227054786712</v>
      </c>
      <c r="Q946" s="2">
        <v>1.3196448553760547</v>
      </c>
    </row>
    <row r="947" spans="1:17" ht="15">
      <c r="A947" s="2" t="s">
        <v>81</v>
      </c>
      <c r="B947" s="2">
        <v>1077.6091597392224</v>
      </c>
      <c r="C947" s="2">
        <v>1128.7755419034511</v>
      </c>
      <c r="D947" s="2">
        <v>634.51139954850078</v>
      </c>
      <c r="E947" s="2">
        <v>99.850410870276392</v>
      </c>
      <c r="F947" s="2">
        <v>13.647033921908587</v>
      </c>
      <c r="G947" s="2">
        <v>0.797421146389097</v>
      </c>
      <c r="H947" s="2">
        <v>11480</v>
      </c>
      <c r="I947" s="2">
        <v>1195</v>
      </c>
      <c r="J947" s="2">
        <f>(IF(A947='Hybrid Calculator'!$B$6,0,1))^2+((B947-'Hybrid Calculator'!$B$7)/1500)^2+((C947-'Hybrid Calculator'!$B$8)/1300)^2+((D947-'Hybrid Calculator'!$B$9)/800)^2+((E947-'Hybrid Calculator'!$B$10)/350)^2+((F947-'Hybrid Calculator'!$B$11)/30)^2+(G947-'Hybrid Calculator'!$B$12)^2+((H947-'Hybrid Calculator'!$E$14)/IF(A947="Lightning",100,30000))^2+((I947-'Hybrid Calculator'!$E$17)/IF(A947="Lightning",100,30000))^2</f>
        <v>1.3217825735756026</v>
      </c>
      <c r="K947" s="2">
        <f t="shared" si="56"/>
        <v>763</v>
      </c>
      <c r="L947" s="2">
        <f t="shared" si="57"/>
        <v>0</v>
      </c>
      <c r="M947" s="2">
        <f t="shared" si="58"/>
        <v>0</v>
      </c>
      <c r="N947" s="2">
        <v>0.38427824467609639</v>
      </c>
      <c r="O947" s="2">
        <f t="shared" si="59"/>
        <v>0</v>
      </c>
      <c r="P947" s="2">
        <v>67.338749356594235</v>
      </c>
      <c r="Q947" s="2">
        <v>3.3748986193572819</v>
      </c>
    </row>
    <row r="948" spans="1:17" ht="15">
      <c r="A948" s="2" t="s">
        <v>81</v>
      </c>
      <c r="B948" s="2">
        <v>1090.1165726128966</v>
      </c>
      <c r="C948" s="2">
        <v>918.2342694955878</v>
      </c>
      <c r="D948" s="2">
        <v>350.53927730768919</v>
      </c>
      <c r="E948" s="2">
        <v>164.36735655413941</v>
      </c>
      <c r="F948" s="2">
        <v>19.720303945243359</v>
      </c>
      <c r="G948" s="2">
        <v>0.79673893692204734</v>
      </c>
      <c r="H948" s="2">
        <v>14920</v>
      </c>
      <c r="I948" s="2">
        <v>1200</v>
      </c>
      <c r="J948" s="2">
        <f>(IF(A948='Hybrid Calculator'!$B$6,0,1))^2+((B948-'Hybrid Calculator'!$B$7)/1500)^2+((C948-'Hybrid Calculator'!$B$8)/1300)^2+((D948-'Hybrid Calculator'!$B$9)/800)^2+((E948-'Hybrid Calculator'!$B$10)/350)^2+((F948-'Hybrid Calculator'!$B$11)/30)^2+(G948-'Hybrid Calculator'!$B$12)^2+((H948-'Hybrid Calculator'!$E$14)/IF(A948="Lightning",100,30000))^2+((I948-'Hybrid Calculator'!$E$17)/IF(A948="Lightning",100,30000))^2</f>
        <v>1.3386021888971227</v>
      </c>
      <c r="K948" s="2">
        <f t="shared" si="56"/>
        <v>798</v>
      </c>
      <c r="L948" s="2">
        <f t="shared" si="57"/>
        <v>0</v>
      </c>
      <c r="M948" s="2">
        <f t="shared" si="58"/>
        <v>0</v>
      </c>
      <c r="N948" s="2">
        <v>1.5087528905259546</v>
      </c>
      <c r="O948" s="2">
        <f t="shared" si="59"/>
        <v>0</v>
      </c>
      <c r="P948" s="2">
        <v>-19.549793431564467</v>
      </c>
      <c r="Q948" s="2">
        <v>-1.8464156466200166</v>
      </c>
    </row>
    <row r="949" spans="1:17" ht="15">
      <c r="A949" s="2" t="s">
        <v>81</v>
      </c>
      <c r="B949" s="2">
        <v>950.47001308994368</v>
      </c>
      <c r="C949" s="2">
        <v>1180.4445158457384</v>
      </c>
      <c r="D949" s="2">
        <v>356.88142152503133</v>
      </c>
      <c r="E949" s="2">
        <v>325.36946369335055</v>
      </c>
      <c r="F949" s="2">
        <v>22.57026274362579</v>
      </c>
      <c r="G949" s="2">
        <v>0.83386718356516221</v>
      </c>
      <c r="H949" s="2">
        <v>13395</v>
      </c>
      <c r="I949" s="2">
        <v>1200</v>
      </c>
      <c r="J949" s="2">
        <f>(IF(A949='Hybrid Calculator'!$B$6,0,1))^2+((B949-'Hybrid Calculator'!$B$7)/1500)^2+((C949-'Hybrid Calculator'!$B$8)/1300)^2+((D949-'Hybrid Calculator'!$B$9)/800)^2+((E949-'Hybrid Calculator'!$B$10)/350)^2+((F949-'Hybrid Calculator'!$B$11)/30)^2+(G949-'Hybrid Calculator'!$B$12)^2+((H949-'Hybrid Calculator'!$E$14)/IF(A949="Lightning",100,30000))^2+((I949-'Hybrid Calculator'!$E$17)/IF(A949="Lightning",100,30000))^2</f>
        <v>1.6657631516218625</v>
      </c>
      <c r="K949" s="2">
        <f t="shared" si="56"/>
        <v>1386</v>
      </c>
      <c r="L949" s="2">
        <f t="shared" si="57"/>
        <v>0</v>
      </c>
      <c r="M949" s="2">
        <f t="shared" si="58"/>
        <v>0</v>
      </c>
      <c r="N949" s="2">
        <v>2.6551482466969958</v>
      </c>
      <c r="O949" s="2">
        <f t="shared" si="59"/>
        <v>0</v>
      </c>
      <c r="P949" s="2">
        <v>21.753115879407233</v>
      </c>
      <c r="Q949" s="2">
        <v>-10.010509193769622</v>
      </c>
    </row>
    <row r="950" spans="1:17" ht="15">
      <c r="A950" s="2" t="s">
        <v>81</v>
      </c>
      <c r="B950" s="2">
        <v>1061.2491852836683</v>
      </c>
      <c r="C950" s="2">
        <v>1187.3594738659449</v>
      </c>
      <c r="D950" s="2">
        <v>707.95747339725494</v>
      </c>
      <c r="E950" s="2">
        <v>116.14609682699665</v>
      </c>
      <c r="F950" s="2">
        <v>20.393739583902061</v>
      </c>
      <c r="G950" s="2">
        <v>0.81728214993840087</v>
      </c>
      <c r="H950" s="2">
        <v>10630</v>
      </c>
      <c r="I950" s="2">
        <v>1195</v>
      </c>
      <c r="J950" s="2">
        <f>(IF(A950='Hybrid Calculator'!$B$6,0,1))^2+((B950-'Hybrid Calculator'!$B$7)/1500)^2+((C950-'Hybrid Calculator'!$B$8)/1300)^2+((D950-'Hybrid Calculator'!$B$9)/800)^2+((E950-'Hybrid Calculator'!$B$10)/350)^2+((F950-'Hybrid Calculator'!$B$11)/30)^2+(G950-'Hybrid Calculator'!$B$12)^2+((H950-'Hybrid Calculator'!$E$14)/IF(A950="Lightning",100,30000))^2+((I950-'Hybrid Calculator'!$E$17)/IF(A950="Lightning",100,30000))^2</f>
        <v>1.3329656028346979</v>
      </c>
      <c r="K950" s="2">
        <f t="shared" si="56"/>
        <v>783</v>
      </c>
      <c r="L950" s="2">
        <f t="shared" si="57"/>
        <v>0</v>
      </c>
      <c r="M950" s="2">
        <f t="shared" si="58"/>
        <v>0</v>
      </c>
      <c r="N950" s="2">
        <v>1.8101665717667288</v>
      </c>
      <c r="O950" s="2">
        <f t="shared" si="59"/>
        <v>0</v>
      </c>
      <c r="P950" s="2">
        <v>38.522674705464397</v>
      </c>
      <c r="Q950" s="2">
        <v>-5.6239780024197898</v>
      </c>
    </row>
    <row r="951" spans="1:17" ht="15">
      <c r="A951" s="2" t="s">
        <v>81</v>
      </c>
      <c r="B951" s="2">
        <v>976.59617037279531</v>
      </c>
      <c r="C951" s="2">
        <v>928.89988319948316</v>
      </c>
      <c r="D951" s="2">
        <v>584.78572433814406</v>
      </c>
      <c r="E951" s="2">
        <v>81.394461491145194</v>
      </c>
      <c r="F951" s="2">
        <v>23.402687666472048</v>
      </c>
      <c r="G951" s="2">
        <v>0.79598668568767605</v>
      </c>
      <c r="H951" s="2">
        <v>13405</v>
      </c>
      <c r="I951" s="2">
        <v>1200</v>
      </c>
      <c r="J951" s="2">
        <f>(IF(A951='Hybrid Calculator'!$B$6,0,1))^2+((B951-'Hybrid Calculator'!$B$7)/1500)^2+((C951-'Hybrid Calculator'!$B$8)/1300)^2+((D951-'Hybrid Calculator'!$B$9)/800)^2+((E951-'Hybrid Calculator'!$B$10)/350)^2+((F951-'Hybrid Calculator'!$B$11)/30)^2+(G951-'Hybrid Calculator'!$B$12)^2+((H951-'Hybrid Calculator'!$E$14)/IF(A951="Lightning",100,30000))^2+((I951-'Hybrid Calculator'!$E$17)/IF(A951="Lightning",100,30000))^2</f>
        <v>1.3696917098026784</v>
      </c>
      <c r="K951" s="2">
        <f t="shared" si="56"/>
        <v>886</v>
      </c>
      <c r="L951" s="2">
        <f t="shared" si="57"/>
        <v>0</v>
      </c>
      <c r="M951" s="2">
        <f t="shared" si="58"/>
        <v>0</v>
      </c>
      <c r="N951" s="2">
        <v>-2.8143557627506652</v>
      </c>
      <c r="O951" s="2">
        <f t="shared" si="59"/>
        <v>0</v>
      </c>
      <c r="P951" s="2">
        <v>-7.3990684924888228</v>
      </c>
      <c r="Q951" s="2">
        <v>1.2976123018080443</v>
      </c>
    </row>
    <row r="952" spans="1:17" ht="15">
      <c r="A952" s="2" t="s">
        <v>81</v>
      </c>
      <c r="B952" s="2">
        <v>969.3751061335206</v>
      </c>
      <c r="C952" s="2">
        <v>963.7707420042716</v>
      </c>
      <c r="D952" s="2">
        <v>410.17159540206194</v>
      </c>
      <c r="E952" s="2">
        <v>92.039878929499537</v>
      </c>
      <c r="F952" s="2">
        <v>28.987306421622634</v>
      </c>
      <c r="G952" s="2">
        <v>0.83268392169149597</v>
      </c>
      <c r="H952" s="2">
        <v>17020</v>
      </c>
      <c r="I952" s="2">
        <v>1200</v>
      </c>
      <c r="J952" s="2">
        <f>(IF(A952='Hybrid Calculator'!$B$6,0,1))^2+((B952-'Hybrid Calculator'!$B$7)/1500)^2+((C952-'Hybrid Calculator'!$B$8)/1300)^2+((D952-'Hybrid Calculator'!$B$9)/800)^2+((E952-'Hybrid Calculator'!$B$10)/350)^2+((F952-'Hybrid Calculator'!$B$11)/30)^2+(G952-'Hybrid Calculator'!$B$12)^2+((H952-'Hybrid Calculator'!$E$14)/IF(A952="Lightning",100,30000))^2+((I952-'Hybrid Calculator'!$E$17)/IF(A952="Lightning",100,30000))^2</f>
        <v>1.58383225429123</v>
      </c>
      <c r="K952" s="2">
        <f t="shared" si="56"/>
        <v>1337</v>
      </c>
      <c r="L952" s="2">
        <f t="shared" si="57"/>
        <v>0</v>
      </c>
      <c r="M952" s="2">
        <f t="shared" si="58"/>
        <v>0</v>
      </c>
      <c r="N952" s="2">
        <v>-4.2414757026797076</v>
      </c>
      <c r="O952" s="2">
        <f t="shared" si="59"/>
        <v>0</v>
      </c>
      <c r="P952" s="2">
        <v>-36.610198644961201</v>
      </c>
      <c r="Q952" s="2">
        <v>-2.714967557341879</v>
      </c>
    </row>
    <row r="953" spans="1:17" ht="15">
      <c r="A953" s="2" t="s">
        <v>81</v>
      </c>
      <c r="B953" s="2">
        <v>950.74813148239627</v>
      </c>
      <c r="C953" s="2">
        <v>682.18570353928953</v>
      </c>
      <c r="D953" s="2">
        <v>357.15564200654626</v>
      </c>
      <c r="E953" s="2">
        <v>104.6488347183913</v>
      </c>
      <c r="F953" s="2">
        <v>22.135142866987735</v>
      </c>
      <c r="G953" s="2">
        <v>0.81505417142529046</v>
      </c>
      <c r="H953" s="2">
        <v>21810</v>
      </c>
      <c r="I953" s="2">
        <v>1200</v>
      </c>
      <c r="J953" s="2">
        <f>(IF(A953='Hybrid Calculator'!$B$6,0,1))^2+((B953-'Hybrid Calculator'!$B$7)/1500)^2+((C953-'Hybrid Calculator'!$B$8)/1300)^2+((D953-'Hybrid Calculator'!$B$9)/800)^2+((E953-'Hybrid Calculator'!$B$10)/350)^2+((F953-'Hybrid Calculator'!$B$11)/30)^2+(G953-'Hybrid Calculator'!$B$12)^2+((H953-'Hybrid Calculator'!$E$14)/IF(A953="Lightning",100,30000))^2+((I953-'Hybrid Calculator'!$E$17)/IF(A953="Lightning",100,30000))^2</f>
        <v>1.7076469543282871</v>
      </c>
      <c r="K953" s="2">
        <f t="shared" si="56"/>
        <v>1391</v>
      </c>
      <c r="L953" s="2">
        <f t="shared" si="57"/>
        <v>0</v>
      </c>
      <c r="M953" s="2">
        <f t="shared" si="58"/>
        <v>0</v>
      </c>
      <c r="N953" s="2">
        <v>-2.4241522250381138</v>
      </c>
      <c r="O953" s="2">
        <f t="shared" si="59"/>
        <v>0</v>
      </c>
      <c r="P953" s="2">
        <v>-66.690013513019494</v>
      </c>
      <c r="Q953" s="2">
        <v>2.9508940619332407</v>
      </c>
    </row>
    <row r="954" spans="1:17" ht="15">
      <c r="A954" s="2" t="s">
        <v>81</v>
      </c>
      <c r="B954" s="2">
        <v>1009.9120722152293</v>
      </c>
      <c r="C954" s="2">
        <v>935.46175187220797</v>
      </c>
      <c r="D954" s="2">
        <v>458.29493496567011</v>
      </c>
      <c r="E954" s="2">
        <v>155.65682573476806</v>
      </c>
      <c r="F954" s="2">
        <v>28.844837905839086</v>
      </c>
      <c r="G954" s="2">
        <v>0.81866408429341397</v>
      </c>
      <c r="H954" s="2">
        <v>13800</v>
      </c>
      <c r="I954" s="2">
        <v>1200</v>
      </c>
      <c r="J954" s="2">
        <f>(IF(A954='Hybrid Calculator'!$B$6,0,1))^2+((B954-'Hybrid Calculator'!$B$7)/1500)^2+((C954-'Hybrid Calculator'!$B$8)/1300)^2+((D954-'Hybrid Calculator'!$B$9)/800)^2+((E954-'Hybrid Calculator'!$B$10)/350)^2+((F954-'Hybrid Calculator'!$B$11)/30)^2+(G954-'Hybrid Calculator'!$B$12)^2+((H954-'Hybrid Calculator'!$E$14)/IF(A954="Lightning",100,30000))^2+((I954-'Hybrid Calculator'!$E$17)/IF(A954="Lightning",100,30000))^2</f>
        <v>1.4143890618621349</v>
      </c>
      <c r="K954" s="2">
        <f t="shared" si="56"/>
        <v>1023</v>
      </c>
      <c r="L954" s="2">
        <f t="shared" si="57"/>
        <v>0</v>
      </c>
      <c r="M954" s="2">
        <f t="shared" si="58"/>
        <v>0</v>
      </c>
      <c r="N954" s="2">
        <v>-2.0730808712730777</v>
      </c>
      <c r="O954" s="2">
        <f t="shared" si="59"/>
        <v>0</v>
      </c>
      <c r="P954" s="2">
        <v>-13.102783799026838</v>
      </c>
      <c r="Q954" s="2">
        <v>-13.475227707529143</v>
      </c>
    </row>
    <row r="955" spans="1:17" ht="15">
      <c r="A955" s="2" t="s">
        <v>81</v>
      </c>
      <c r="B955" s="2">
        <v>962.52634410047904</v>
      </c>
      <c r="C955" s="2">
        <v>1242.7375317784026</v>
      </c>
      <c r="D955" s="2">
        <v>530.63238644972444</v>
      </c>
      <c r="E955" s="2">
        <v>90.926510440185666</v>
      </c>
      <c r="F955" s="2">
        <v>8.7750550066120923</v>
      </c>
      <c r="G955" s="2">
        <v>0.79518119762185968</v>
      </c>
      <c r="H955" s="2">
        <v>11470</v>
      </c>
      <c r="I955" s="2">
        <v>1195</v>
      </c>
      <c r="J955" s="2">
        <f>(IF(A955='Hybrid Calculator'!$B$6,0,1))^2+((B955-'Hybrid Calculator'!$B$7)/1500)^2+((C955-'Hybrid Calculator'!$B$8)/1300)^2+((D955-'Hybrid Calculator'!$B$9)/800)^2+((E955-'Hybrid Calculator'!$B$10)/350)^2+((F955-'Hybrid Calculator'!$B$11)/30)^2+(G955-'Hybrid Calculator'!$B$12)^2+((H955-'Hybrid Calculator'!$E$14)/IF(A955="Lightning",100,30000))^2+((I955-'Hybrid Calculator'!$E$17)/IF(A955="Lightning",100,30000))^2</f>
        <v>1.4684067697171759</v>
      </c>
      <c r="K955" s="2">
        <f t="shared" si="56"/>
        <v>1152</v>
      </c>
      <c r="L955" s="2">
        <f t="shared" si="57"/>
        <v>0</v>
      </c>
      <c r="M955" s="2">
        <f t="shared" si="58"/>
        <v>0</v>
      </c>
      <c r="N955" s="2">
        <v>3.246859746852067</v>
      </c>
      <c r="O955" s="2">
        <f t="shared" si="59"/>
        <v>0</v>
      </c>
      <c r="P955" s="2">
        <v>37.349855220071731</v>
      </c>
      <c r="Q955" s="2">
        <v>2.8931607074270005</v>
      </c>
    </row>
    <row r="956" spans="1:17" ht="15">
      <c r="A956" s="2" t="s">
        <v>81</v>
      </c>
      <c r="B956" s="2">
        <v>1055.3030395647511</v>
      </c>
      <c r="C956" s="2">
        <v>935.14742400730029</v>
      </c>
      <c r="D956" s="2">
        <v>485.00919006764889</v>
      </c>
      <c r="E956" s="2">
        <v>246.57783900154755</v>
      </c>
      <c r="F956" s="2">
        <v>11.210331884212792</v>
      </c>
      <c r="G956" s="2">
        <v>0.83732338768197223</v>
      </c>
      <c r="H956" s="2">
        <v>12830</v>
      </c>
      <c r="I956" s="2">
        <v>1200</v>
      </c>
      <c r="J956" s="2">
        <f>(IF(A956='Hybrid Calculator'!$B$6,0,1))^2+((B956-'Hybrid Calculator'!$B$7)/1500)^2+((C956-'Hybrid Calculator'!$B$8)/1300)^2+((D956-'Hybrid Calculator'!$B$9)/800)^2+((E956-'Hybrid Calculator'!$B$10)/350)^2+((F956-'Hybrid Calculator'!$B$11)/30)^2+(G956-'Hybrid Calculator'!$B$12)^2+((H956-'Hybrid Calculator'!$E$14)/IF(A956="Lightning",100,30000))^2+((I956-'Hybrid Calculator'!$E$17)/IF(A956="Lightning",100,30000))^2</f>
        <v>1.3838807452693676</v>
      </c>
      <c r="K956" s="2">
        <f t="shared" si="56"/>
        <v>928</v>
      </c>
      <c r="L956" s="2">
        <f t="shared" si="57"/>
        <v>0</v>
      </c>
      <c r="M956" s="2">
        <f t="shared" si="58"/>
        <v>0</v>
      </c>
      <c r="N956" s="2">
        <v>2.9443407214516242</v>
      </c>
      <c r="O956" s="2">
        <f t="shared" si="59"/>
        <v>0</v>
      </c>
      <c r="P956" s="2">
        <v>-17.526400270020986</v>
      </c>
      <c r="Q956" s="2">
        <v>7.9950689669633448</v>
      </c>
    </row>
    <row r="957" spans="1:17" ht="15">
      <c r="A957" s="2" t="s">
        <v>81</v>
      </c>
      <c r="B957" s="2">
        <v>1029.6623406349681</v>
      </c>
      <c r="C957" s="2">
        <v>1219.4743371102959</v>
      </c>
      <c r="D957" s="2">
        <v>703.4908908419311</v>
      </c>
      <c r="E957" s="2">
        <v>154.69115906860679</v>
      </c>
      <c r="F957" s="2">
        <v>17.729778602253646</v>
      </c>
      <c r="G957" s="2">
        <v>0.82474994616582997</v>
      </c>
      <c r="H957" s="2">
        <v>10295</v>
      </c>
      <c r="I957" s="2">
        <v>1195</v>
      </c>
      <c r="J957" s="2">
        <f>(IF(A957='Hybrid Calculator'!$B$6,0,1))^2+((B957-'Hybrid Calculator'!$B$7)/1500)^2+((C957-'Hybrid Calculator'!$B$8)/1300)^2+((D957-'Hybrid Calculator'!$B$9)/800)^2+((E957-'Hybrid Calculator'!$B$10)/350)^2+((F957-'Hybrid Calculator'!$B$11)/30)^2+(G957-'Hybrid Calculator'!$B$12)^2+((H957-'Hybrid Calculator'!$E$14)/IF(A957="Lightning",100,30000))^2+((I957-'Hybrid Calculator'!$E$17)/IF(A957="Lightning",100,30000))^2</f>
        <v>1.3339444251384016</v>
      </c>
      <c r="K957" s="2">
        <f t="shared" si="56"/>
        <v>785</v>
      </c>
      <c r="L957" s="2">
        <f t="shared" si="57"/>
        <v>0</v>
      </c>
      <c r="M957" s="2">
        <f t="shared" si="58"/>
        <v>0</v>
      </c>
      <c r="N957" s="2">
        <v>3.8747705774081851</v>
      </c>
      <c r="O957" s="2">
        <f t="shared" si="59"/>
        <v>0</v>
      </c>
      <c r="P957" s="2">
        <v>58.143118011873867</v>
      </c>
      <c r="Q957" s="2">
        <v>-2.7560585965686641</v>
      </c>
    </row>
    <row r="958" spans="1:17" ht="15">
      <c r="A958" s="2" t="s">
        <v>81</v>
      </c>
      <c r="B958" s="2">
        <v>1041.5527627337724</v>
      </c>
      <c r="C958" s="2">
        <v>1240.4650565120392</v>
      </c>
      <c r="D958" s="2">
        <v>381.77531342953444</v>
      </c>
      <c r="E958" s="2">
        <v>141.25842808978632</v>
      </c>
      <c r="F958" s="2">
        <v>29.474916741251945</v>
      </c>
      <c r="G958" s="2">
        <v>0.81221617935458201</v>
      </c>
      <c r="H958" s="2">
        <v>12125</v>
      </c>
      <c r="I958" s="2">
        <v>1200</v>
      </c>
      <c r="J958" s="2">
        <f>(IF(A958='Hybrid Calculator'!$B$6,0,1))^2+((B958-'Hybrid Calculator'!$B$7)/1500)^2+((C958-'Hybrid Calculator'!$B$8)/1300)^2+((D958-'Hybrid Calculator'!$B$9)/800)^2+((E958-'Hybrid Calculator'!$B$10)/350)^2+((F958-'Hybrid Calculator'!$B$11)/30)^2+(G958-'Hybrid Calculator'!$B$12)^2+((H958-'Hybrid Calculator'!$E$14)/IF(A958="Lightning",100,30000))^2+((I958-'Hybrid Calculator'!$E$17)/IF(A958="Lightning",100,30000))^2</f>
        <v>1.4754580703539975</v>
      </c>
      <c r="K958" s="2">
        <f t="shared" si="56"/>
        <v>1169</v>
      </c>
      <c r="L958" s="2">
        <f t="shared" si="57"/>
        <v>0</v>
      </c>
      <c r="M958" s="2">
        <f t="shared" si="58"/>
        <v>0</v>
      </c>
      <c r="N958" s="2">
        <v>-2.5298779719973084</v>
      </c>
      <c r="O958" s="2">
        <f t="shared" si="59"/>
        <v>0</v>
      </c>
      <c r="P958" s="2">
        <v>9.2841610919099367</v>
      </c>
      <c r="Q958" s="2">
        <v>-10.793939485501369</v>
      </c>
    </row>
    <row r="959" spans="1:17" ht="15">
      <c r="A959" s="2" t="s">
        <v>81</v>
      </c>
      <c r="B959" s="2">
        <v>1088.793012232054</v>
      </c>
      <c r="C959" s="2">
        <v>704.41494116093963</v>
      </c>
      <c r="D959" s="2">
        <v>678.23390485718846</v>
      </c>
      <c r="E959" s="2">
        <v>101.81850047782063</v>
      </c>
      <c r="F959" s="2">
        <v>29.870185709092766</v>
      </c>
      <c r="G959" s="2">
        <v>0.82201202785130589</v>
      </c>
      <c r="H959" s="2">
        <v>14405</v>
      </c>
      <c r="I959" s="2">
        <v>1200</v>
      </c>
      <c r="J959" s="2">
        <f>(IF(A959='Hybrid Calculator'!$B$6,0,1))^2+((B959-'Hybrid Calculator'!$B$7)/1500)^2+((C959-'Hybrid Calculator'!$B$8)/1300)^2+((D959-'Hybrid Calculator'!$B$9)/800)^2+((E959-'Hybrid Calculator'!$B$10)/350)^2+((F959-'Hybrid Calculator'!$B$11)/30)^2+(G959-'Hybrid Calculator'!$B$12)^2+((H959-'Hybrid Calculator'!$E$14)/IF(A959="Lightning",100,30000))^2+((I959-'Hybrid Calculator'!$E$17)/IF(A959="Lightning",100,30000))^2</f>
        <v>1.5055123969694475</v>
      </c>
      <c r="K959" s="2">
        <f t="shared" si="56"/>
        <v>1220</v>
      </c>
      <c r="L959" s="2">
        <f t="shared" si="57"/>
        <v>0</v>
      </c>
      <c r="M959" s="2">
        <f t="shared" si="58"/>
        <v>0</v>
      </c>
      <c r="N959" s="2">
        <v>0.68982586180720773</v>
      </c>
      <c r="O959" s="2">
        <f t="shared" si="59"/>
        <v>0</v>
      </c>
      <c r="P959" s="2">
        <v>-6.3570739588399192</v>
      </c>
      <c r="Q959" s="2">
        <v>-9.8845042832263061</v>
      </c>
    </row>
    <row r="960" spans="1:17" ht="15">
      <c r="A960" s="2" t="s">
        <v>81</v>
      </c>
      <c r="B960" s="2">
        <v>1004.9363349797204</v>
      </c>
      <c r="C960" s="2">
        <v>983.03336520912126</v>
      </c>
      <c r="D960" s="2">
        <v>359.64239686727524</v>
      </c>
      <c r="E960" s="2">
        <v>145.67043153336272</v>
      </c>
      <c r="F960" s="2">
        <v>19.797725613228977</v>
      </c>
      <c r="G960" s="2">
        <v>0.84860863070702186</v>
      </c>
      <c r="H960" s="2">
        <v>16765</v>
      </c>
      <c r="I960" s="2">
        <v>1200</v>
      </c>
      <c r="J960" s="2">
        <f>(IF(A960='Hybrid Calculator'!$B$6,0,1))^2+((B960-'Hybrid Calculator'!$B$7)/1500)^2+((C960-'Hybrid Calculator'!$B$8)/1300)^2+((D960-'Hybrid Calculator'!$B$9)/800)^2+((E960-'Hybrid Calculator'!$B$10)/350)^2+((F960-'Hybrid Calculator'!$B$11)/30)^2+(G960-'Hybrid Calculator'!$B$12)^2+((H960-'Hybrid Calculator'!$E$14)/IF(A960="Lightning",100,30000))^2+((I960-'Hybrid Calculator'!$E$17)/IF(A960="Lightning",100,30000))^2</f>
        <v>1.4344889481757532</v>
      </c>
      <c r="K960" s="2">
        <f t="shared" si="56"/>
        <v>1069</v>
      </c>
      <c r="L960" s="2">
        <f t="shared" si="57"/>
        <v>0</v>
      </c>
      <c r="M960" s="2">
        <f t="shared" si="58"/>
        <v>0</v>
      </c>
      <c r="N960" s="2">
        <v>0.23882769285347649</v>
      </c>
      <c r="O960" s="2">
        <f t="shared" si="59"/>
        <v>0</v>
      </c>
      <c r="P960" s="2">
        <v>8.3924769315831327</v>
      </c>
      <c r="Q960" s="2">
        <v>2.8525756326431519</v>
      </c>
    </row>
    <row r="961" spans="1:17" ht="15">
      <c r="A961" s="2" t="s">
        <v>81</v>
      </c>
      <c r="B961" s="2">
        <v>1032.2319808299653</v>
      </c>
      <c r="C961" s="2">
        <v>1134.3051738105714</v>
      </c>
      <c r="D961" s="2">
        <v>364.08075308427215</v>
      </c>
      <c r="E961" s="2">
        <v>242.4717420199886</v>
      </c>
      <c r="F961" s="2">
        <v>15.515447696205229</v>
      </c>
      <c r="G961" s="2">
        <v>0.84017734085209672</v>
      </c>
      <c r="H961" s="2">
        <v>12285</v>
      </c>
      <c r="I961" s="2">
        <v>1200</v>
      </c>
      <c r="J961" s="2">
        <f>(IF(A961='Hybrid Calculator'!$B$6,0,1))^2+((B961-'Hybrid Calculator'!$B$7)/1500)^2+((C961-'Hybrid Calculator'!$B$8)/1300)^2+((D961-'Hybrid Calculator'!$B$9)/800)^2+((E961-'Hybrid Calculator'!$B$10)/350)^2+((F961-'Hybrid Calculator'!$B$11)/30)^2+(G961-'Hybrid Calculator'!$B$12)^2+((H961-'Hybrid Calculator'!$E$14)/IF(A961="Lightning",100,30000))^2+((I961-'Hybrid Calculator'!$E$17)/IF(A961="Lightning",100,30000))^2</f>
        <v>1.3932274727174208</v>
      </c>
      <c r="K961" s="2">
        <f t="shared" si="56"/>
        <v>957</v>
      </c>
      <c r="L961" s="2">
        <f t="shared" si="57"/>
        <v>0</v>
      </c>
      <c r="M961" s="2">
        <f t="shared" si="58"/>
        <v>0</v>
      </c>
      <c r="N961" s="2">
        <v>2.3863525571434252</v>
      </c>
      <c r="O961" s="2">
        <f t="shared" si="59"/>
        <v>0</v>
      </c>
      <c r="P961" s="2">
        <v>-17.186699771631538</v>
      </c>
      <c r="Q961" s="2">
        <v>3.9672238433911389</v>
      </c>
    </row>
    <row r="962" spans="1:17" ht="15">
      <c r="A962" s="2" t="s">
        <v>81</v>
      </c>
      <c r="B962" s="2">
        <v>991.02506414055824</v>
      </c>
      <c r="C962" s="2">
        <v>947.96128742164001</v>
      </c>
      <c r="D962" s="2">
        <v>421.00903857499361</v>
      </c>
      <c r="E962" s="2">
        <v>88.975768985692412</v>
      </c>
      <c r="F962" s="2">
        <v>25.678135452792048</v>
      </c>
      <c r="G962" s="2">
        <v>0.85875289936782795</v>
      </c>
      <c r="H962" s="2">
        <v>17115</v>
      </c>
      <c r="I962" s="2">
        <v>1200</v>
      </c>
      <c r="J962" s="2">
        <f>(IF(A962='Hybrid Calculator'!$B$6,0,1))^2+((B962-'Hybrid Calculator'!$B$7)/1500)^2+((C962-'Hybrid Calculator'!$B$8)/1300)^2+((D962-'Hybrid Calculator'!$B$9)/800)^2+((E962-'Hybrid Calculator'!$B$10)/350)^2+((F962-'Hybrid Calculator'!$B$11)/30)^2+(G962-'Hybrid Calculator'!$B$12)^2+((H962-'Hybrid Calculator'!$E$14)/IF(A962="Lightning",100,30000))^2+((I962-'Hybrid Calculator'!$E$17)/IF(A962="Lightning",100,30000))^2</f>
        <v>1.5133893131069267</v>
      </c>
      <c r="K962" s="2">
        <f t="shared" ref="K962:K1025" si="60">RANK(J962,$J$2:$J$1401,1)</f>
        <v>1235</v>
      </c>
      <c r="L962" s="2">
        <f t="shared" ref="L962:L1025" si="61">IF(K962&lt;=7,1,0)</f>
        <v>0</v>
      </c>
      <c r="M962" s="2">
        <f t="shared" ref="M962:M1025" si="62">IF(L962=1,1/(J962+0.000001),0)</f>
        <v>0</v>
      </c>
      <c r="N962" s="2">
        <v>-2.0072058695965325</v>
      </c>
      <c r="O962" s="2">
        <f t="shared" ref="O962:O1025" si="63">M962</f>
        <v>0</v>
      </c>
      <c r="P962" s="2">
        <v>-21.587259520486441</v>
      </c>
      <c r="Q962" s="2">
        <v>-7.1305069271322736</v>
      </c>
    </row>
    <row r="963" spans="1:17" ht="15">
      <c r="A963" s="2" t="s">
        <v>81</v>
      </c>
      <c r="B963" s="2">
        <v>990.35061286995187</v>
      </c>
      <c r="C963" s="2">
        <v>770.2893944690004</v>
      </c>
      <c r="D963" s="2">
        <v>600.93704322353005</v>
      </c>
      <c r="E963" s="2">
        <v>252.68677218817174</v>
      </c>
      <c r="F963" s="2">
        <v>8.7474288609810174</v>
      </c>
      <c r="G963" s="2">
        <v>0.85114919946063317</v>
      </c>
      <c r="H963" s="2">
        <v>15365</v>
      </c>
      <c r="I963" s="2">
        <v>1200</v>
      </c>
      <c r="J963" s="2">
        <f>(IF(A963='Hybrid Calculator'!$B$6,0,1))^2+((B963-'Hybrid Calculator'!$B$7)/1500)^2+((C963-'Hybrid Calculator'!$B$8)/1300)^2+((D963-'Hybrid Calculator'!$B$9)/800)^2+((E963-'Hybrid Calculator'!$B$10)/350)^2+((F963-'Hybrid Calculator'!$B$11)/30)^2+(G963-'Hybrid Calculator'!$B$12)^2+((H963-'Hybrid Calculator'!$E$14)/IF(A963="Lightning",100,30000))^2+((I963-'Hybrid Calculator'!$E$17)/IF(A963="Lightning",100,30000))^2</f>
        <v>1.5585167299875042</v>
      </c>
      <c r="K963" s="2">
        <f t="shared" si="60"/>
        <v>1315</v>
      </c>
      <c r="L963" s="2">
        <f t="shared" si="61"/>
        <v>0</v>
      </c>
      <c r="M963" s="2">
        <f t="shared" si="62"/>
        <v>0</v>
      </c>
      <c r="N963" s="2">
        <v>2.7136703037730001</v>
      </c>
      <c r="O963" s="2">
        <f t="shared" si="63"/>
        <v>0</v>
      </c>
      <c r="P963" s="2">
        <v>10.940969515260349</v>
      </c>
      <c r="Q963" s="2">
        <v>-0.47816363639765314</v>
      </c>
    </row>
    <row r="964" spans="1:17" ht="15">
      <c r="A964" s="2" t="s">
        <v>81</v>
      </c>
      <c r="B964" s="2">
        <v>986.18242524098605</v>
      </c>
      <c r="C964" s="2">
        <v>976.06594233075157</v>
      </c>
      <c r="D964" s="2">
        <v>667.60140098631382</v>
      </c>
      <c r="E964" s="2">
        <v>309.00245821801946</v>
      </c>
      <c r="F964" s="2">
        <v>19.068846100009978</v>
      </c>
      <c r="G964" s="2">
        <v>0.83533490980742497</v>
      </c>
      <c r="H964" s="2">
        <v>12775</v>
      </c>
      <c r="I964" s="2">
        <v>1200</v>
      </c>
      <c r="J964" s="2">
        <f>(IF(A964='Hybrid Calculator'!$B$6,0,1))^2+((B964-'Hybrid Calculator'!$B$7)/1500)^2+((C964-'Hybrid Calculator'!$B$8)/1300)^2+((D964-'Hybrid Calculator'!$B$9)/800)^2+((E964-'Hybrid Calculator'!$B$10)/350)^2+((F964-'Hybrid Calculator'!$B$11)/30)^2+(G964-'Hybrid Calculator'!$B$12)^2+((H964-'Hybrid Calculator'!$E$14)/IF(A964="Lightning",100,30000))^2+((I964-'Hybrid Calculator'!$E$17)/IF(A964="Lightning",100,30000))^2</f>
        <v>1.5273054879965013</v>
      </c>
      <c r="K964" s="2">
        <f t="shared" si="60"/>
        <v>1260</v>
      </c>
      <c r="L964" s="2">
        <f t="shared" si="61"/>
        <v>0</v>
      </c>
      <c r="M964" s="2">
        <f t="shared" si="62"/>
        <v>0</v>
      </c>
      <c r="N964" s="2">
        <v>3.6216382291083562</v>
      </c>
      <c r="O964" s="2">
        <f t="shared" si="63"/>
        <v>0</v>
      </c>
      <c r="P964" s="2">
        <v>-24.636904894001873</v>
      </c>
      <c r="Q964" s="2">
        <v>-1.2509556898535266</v>
      </c>
    </row>
    <row r="965" spans="1:17" ht="15">
      <c r="A965" s="2" t="s">
        <v>81</v>
      </c>
      <c r="B965" s="2">
        <v>992.2186404815875</v>
      </c>
      <c r="C965" s="2">
        <v>894.48384488932788</v>
      </c>
      <c r="D965" s="2">
        <v>642.52836359664798</v>
      </c>
      <c r="E965" s="2">
        <v>123.02681225817651</v>
      </c>
      <c r="F965" s="2">
        <v>9.2048110323958099</v>
      </c>
      <c r="G965" s="2">
        <v>0.82588198103010657</v>
      </c>
      <c r="H965" s="2">
        <v>12885</v>
      </c>
      <c r="I965" s="2">
        <v>1200</v>
      </c>
      <c r="J965" s="2">
        <f>(IF(A965='Hybrid Calculator'!$B$6,0,1))^2+((B965-'Hybrid Calculator'!$B$7)/1500)^2+((C965-'Hybrid Calculator'!$B$8)/1300)^2+((D965-'Hybrid Calculator'!$B$9)/800)^2+((E965-'Hybrid Calculator'!$B$10)/350)^2+((F965-'Hybrid Calculator'!$B$11)/30)^2+(G965-'Hybrid Calculator'!$B$12)^2+((H965-'Hybrid Calculator'!$E$14)/IF(A965="Lightning",100,30000))^2+((I965-'Hybrid Calculator'!$E$17)/IF(A965="Lightning",100,30000))^2</f>
        <v>1.402706147189356</v>
      </c>
      <c r="K965" s="2">
        <f t="shared" si="60"/>
        <v>983</v>
      </c>
      <c r="L965" s="2">
        <f t="shared" si="61"/>
        <v>0</v>
      </c>
      <c r="M965" s="2">
        <f t="shared" si="62"/>
        <v>0</v>
      </c>
      <c r="N965" s="2">
        <v>0.62402670334623167</v>
      </c>
      <c r="O965" s="2">
        <f t="shared" si="63"/>
        <v>0</v>
      </c>
      <c r="P965" s="2">
        <v>-1.6174701164823091</v>
      </c>
      <c r="Q965" s="2">
        <v>7.64816159478994</v>
      </c>
    </row>
    <row r="966" spans="1:17" ht="15">
      <c r="A966" s="2" t="s">
        <v>81</v>
      </c>
      <c r="B966" s="2">
        <v>1025.6034396123141</v>
      </c>
      <c r="C966" s="2">
        <v>603.16715993685648</v>
      </c>
      <c r="D966" s="2">
        <v>639.43881746381521</v>
      </c>
      <c r="E966" s="2">
        <v>231.29134134622291</v>
      </c>
      <c r="F966" s="2">
        <v>10.549475710839033</v>
      </c>
      <c r="G966" s="2">
        <v>0.80034434464061632</v>
      </c>
      <c r="H966" s="2">
        <v>14510</v>
      </c>
      <c r="I966" s="2">
        <v>1200</v>
      </c>
      <c r="J966" s="2">
        <f>(IF(A966='Hybrid Calculator'!$B$6,0,1))^2+((B966-'Hybrid Calculator'!$B$7)/1500)^2+((C966-'Hybrid Calculator'!$B$8)/1300)^2+((D966-'Hybrid Calculator'!$B$9)/800)^2+((E966-'Hybrid Calculator'!$B$10)/350)^2+((F966-'Hybrid Calculator'!$B$11)/30)^2+(G966-'Hybrid Calculator'!$B$12)^2+((H966-'Hybrid Calculator'!$E$14)/IF(A966="Lightning",100,30000))^2+((I966-'Hybrid Calculator'!$E$17)/IF(A966="Lightning",100,30000))^2</f>
        <v>1.4957516417031811</v>
      </c>
      <c r="K966" s="2">
        <f t="shared" si="60"/>
        <v>1201</v>
      </c>
      <c r="L966" s="2">
        <f t="shared" si="61"/>
        <v>0</v>
      </c>
      <c r="M966" s="2">
        <f t="shared" si="62"/>
        <v>0</v>
      </c>
      <c r="N966" s="2">
        <v>1.8068496034427994</v>
      </c>
      <c r="O966" s="2">
        <f t="shared" si="63"/>
        <v>0</v>
      </c>
      <c r="P966" s="2">
        <v>-61.993799021579889</v>
      </c>
      <c r="Q966" s="2">
        <v>4.6576668888953918</v>
      </c>
    </row>
    <row r="967" spans="1:17" ht="15">
      <c r="A967" s="2" t="s">
        <v>81</v>
      </c>
      <c r="B967" s="2">
        <v>977.82788203330711</v>
      </c>
      <c r="C967" s="2">
        <v>993.2573078898713</v>
      </c>
      <c r="D967" s="2">
        <v>580.06742792204022</v>
      </c>
      <c r="E967" s="2">
        <v>254.9307019636035</v>
      </c>
      <c r="F967" s="2">
        <v>15.541860508266836</v>
      </c>
      <c r="G967" s="2">
        <v>0.79813278536777943</v>
      </c>
      <c r="H967" s="2">
        <v>11695</v>
      </c>
      <c r="I967" s="2">
        <v>1195</v>
      </c>
      <c r="J967" s="2">
        <f>(IF(A967='Hybrid Calculator'!$B$6,0,1))^2+((B967-'Hybrid Calculator'!$B$7)/1500)^2+((C967-'Hybrid Calculator'!$B$8)/1300)^2+((D967-'Hybrid Calculator'!$B$9)/800)^2+((E967-'Hybrid Calculator'!$B$10)/350)^2+((F967-'Hybrid Calculator'!$B$11)/30)^2+(G967-'Hybrid Calculator'!$B$12)^2+((H967-'Hybrid Calculator'!$E$14)/IF(A967="Lightning",100,30000))^2+((I967-'Hybrid Calculator'!$E$17)/IF(A967="Lightning",100,30000))^2</f>
        <v>1.3633095047465709</v>
      </c>
      <c r="K967" s="2">
        <f t="shared" si="60"/>
        <v>866</v>
      </c>
      <c r="L967" s="2">
        <f t="shared" si="61"/>
        <v>0</v>
      </c>
      <c r="M967" s="2">
        <f t="shared" si="62"/>
        <v>0</v>
      </c>
      <c r="N967" s="2">
        <v>-6.6863893570371147E-2</v>
      </c>
      <c r="O967" s="2">
        <f t="shared" si="63"/>
        <v>0</v>
      </c>
      <c r="P967" s="2">
        <v>-14.218374285006121</v>
      </c>
      <c r="Q967" s="2">
        <v>-4.0097378385470392</v>
      </c>
    </row>
    <row r="968" spans="1:17" ht="15">
      <c r="A968" s="2" t="s">
        <v>81</v>
      </c>
      <c r="B968" s="2">
        <v>983.23476002551615</v>
      </c>
      <c r="C968" s="2">
        <v>1138.8138955342583</v>
      </c>
      <c r="D968" s="2">
        <v>351.78974997252226</v>
      </c>
      <c r="E968" s="2">
        <v>316.25012609409168</v>
      </c>
      <c r="F968" s="2">
        <v>12.413530983030796</v>
      </c>
      <c r="G968" s="2">
        <v>0.85953235144028439</v>
      </c>
      <c r="H968" s="2">
        <v>13810</v>
      </c>
      <c r="I968" s="2">
        <v>1200</v>
      </c>
      <c r="J968" s="2">
        <f>(IF(A968='Hybrid Calculator'!$B$6,0,1))^2+((B968-'Hybrid Calculator'!$B$7)/1500)^2+((C968-'Hybrid Calculator'!$B$8)/1300)^2+((D968-'Hybrid Calculator'!$B$9)/800)^2+((E968-'Hybrid Calculator'!$B$10)/350)^2+((F968-'Hybrid Calculator'!$B$11)/30)^2+(G968-'Hybrid Calculator'!$B$12)^2+((H968-'Hybrid Calculator'!$E$14)/IF(A968="Lightning",100,30000))^2+((I968-'Hybrid Calculator'!$E$17)/IF(A968="Lightning",100,30000))^2</f>
        <v>1.6506741405024332</v>
      </c>
      <c r="K968" s="2">
        <f t="shared" si="60"/>
        <v>1380</v>
      </c>
      <c r="L968" s="2">
        <f t="shared" si="61"/>
        <v>0</v>
      </c>
      <c r="M968" s="2">
        <f t="shared" si="62"/>
        <v>0</v>
      </c>
      <c r="N968" s="2">
        <v>-0.26472322776029955</v>
      </c>
      <c r="O968" s="2">
        <f t="shared" si="63"/>
        <v>0</v>
      </c>
      <c r="P968" s="2">
        <v>15.500001472031727</v>
      </c>
      <c r="Q968" s="2">
        <v>-2.5257020094787777</v>
      </c>
    </row>
    <row r="969" spans="1:17" ht="15">
      <c r="A969" s="2" t="s">
        <v>81</v>
      </c>
      <c r="B969" s="2">
        <v>1057.685695879627</v>
      </c>
      <c r="C969" s="2">
        <v>896.15833905991167</v>
      </c>
      <c r="D969" s="2">
        <v>665.54946573451161</v>
      </c>
      <c r="E969" s="2">
        <v>123.04932942613959</v>
      </c>
      <c r="F969" s="2">
        <v>29.479043363127857</v>
      </c>
      <c r="G969" s="2">
        <v>0.8276966093620286</v>
      </c>
      <c r="H969" s="2">
        <v>12695</v>
      </c>
      <c r="I969" s="2">
        <v>1200</v>
      </c>
      <c r="J969" s="2">
        <f>(IF(A969='Hybrid Calculator'!$B$6,0,1))^2+((B969-'Hybrid Calculator'!$B$7)/1500)^2+((C969-'Hybrid Calculator'!$B$8)/1300)^2+((D969-'Hybrid Calculator'!$B$9)/800)^2+((E969-'Hybrid Calculator'!$B$10)/350)^2+((F969-'Hybrid Calculator'!$B$11)/30)^2+(G969-'Hybrid Calculator'!$B$12)^2+((H969-'Hybrid Calculator'!$E$14)/IF(A969="Lightning",100,30000))^2+((I969-'Hybrid Calculator'!$E$17)/IF(A969="Lightning",100,30000))^2</f>
        <v>1.4231653823684218</v>
      </c>
      <c r="K969" s="2">
        <f t="shared" si="60"/>
        <v>1045</v>
      </c>
      <c r="L969" s="2">
        <f t="shared" si="61"/>
        <v>0</v>
      </c>
      <c r="M969" s="2">
        <f t="shared" si="62"/>
        <v>0</v>
      </c>
      <c r="N969" s="2">
        <v>-2.7071545922149767</v>
      </c>
      <c r="O969" s="2">
        <f t="shared" si="63"/>
        <v>0</v>
      </c>
      <c r="P969" s="2">
        <v>42.218628223745327</v>
      </c>
      <c r="Q969" s="2">
        <v>-6.2382019891942946</v>
      </c>
    </row>
    <row r="970" spans="1:17" ht="15">
      <c r="A970" s="2" t="s">
        <v>81</v>
      </c>
      <c r="B970" s="2">
        <v>1020.6902566598728</v>
      </c>
      <c r="C970" s="2">
        <v>751.13353991182521</v>
      </c>
      <c r="D970" s="2">
        <v>417.05594658851624</v>
      </c>
      <c r="E970" s="2">
        <v>326.20152445277199</v>
      </c>
      <c r="F970" s="2">
        <v>21.332593428902328</v>
      </c>
      <c r="G970" s="2">
        <v>0.80995235152309764</v>
      </c>
      <c r="H970" s="2">
        <v>14310</v>
      </c>
      <c r="I970" s="2">
        <v>1200</v>
      </c>
      <c r="J970" s="2">
        <f>(IF(A970='Hybrid Calculator'!$B$6,0,1))^2+((B970-'Hybrid Calculator'!$B$7)/1500)^2+((C970-'Hybrid Calculator'!$B$8)/1300)^2+((D970-'Hybrid Calculator'!$B$9)/800)^2+((E970-'Hybrid Calculator'!$B$10)/350)^2+((F970-'Hybrid Calculator'!$B$11)/30)^2+(G970-'Hybrid Calculator'!$B$12)^2+((H970-'Hybrid Calculator'!$E$14)/IF(A970="Lightning",100,30000))^2+((I970-'Hybrid Calculator'!$E$17)/IF(A970="Lightning",100,30000))^2</f>
        <v>1.5791216167641431</v>
      </c>
      <c r="K970" s="2">
        <f t="shared" si="60"/>
        <v>1334</v>
      </c>
      <c r="L970" s="2">
        <f t="shared" si="61"/>
        <v>0</v>
      </c>
      <c r="M970" s="2">
        <f t="shared" si="62"/>
        <v>0</v>
      </c>
      <c r="N970" s="2">
        <v>0.49441948613451814</v>
      </c>
      <c r="O970" s="2">
        <f t="shared" si="63"/>
        <v>0</v>
      </c>
      <c r="P970" s="2">
        <v>-52.667715932474493</v>
      </c>
      <c r="Q970" s="2">
        <v>-2.8154852800396384</v>
      </c>
    </row>
    <row r="971" spans="1:17" ht="15">
      <c r="A971" s="2" t="s">
        <v>81</v>
      </c>
      <c r="B971" s="2">
        <v>1030.227083794307</v>
      </c>
      <c r="C971" s="2">
        <v>1128.9392971433699</v>
      </c>
      <c r="D971" s="2">
        <v>372.78261547908187</v>
      </c>
      <c r="E971" s="2">
        <v>284.66094242874533</v>
      </c>
      <c r="F971" s="2">
        <v>13.650761646684259</v>
      </c>
      <c r="G971" s="2">
        <v>0.8002564080152661</v>
      </c>
      <c r="H971" s="2">
        <v>11970</v>
      </c>
      <c r="I971" s="2">
        <v>1200</v>
      </c>
      <c r="J971" s="2">
        <f>(IF(A971='Hybrid Calculator'!$B$6,0,1))^2+((B971-'Hybrid Calculator'!$B$7)/1500)^2+((C971-'Hybrid Calculator'!$B$8)/1300)^2+((D971-'Hybrid Calculator'!$B$9)/800)^2+((E971-'Hybrid Calculator'!$B$10)/350)^2+((F971-'Hybrid Calculator'!$B$11)/30)^2+(G971-'Hybrid Calculator'!$B$12)^2+((H971-'Hybrid Calculator'!$E$14)/IF(A971="Lightning",100,30000))^2+((I971-'Hybrid Calculator'!$E$17)/IF(A971="Lightning",100,30000))^2</f>
        <v>1.4745470252798536</v>
      </c>
      <c r="K971" s="2">
        <f t="shared" si="60"/>
        <v>1167</v>
      </c>
      <c r="L971" s="2">
        <f t="shared" si="61"/>
        <v>0</v>
      </c>
      <c r="M971" s="2">
        <f t="shared" si="62"/>
        <v>0</v>
      </c>
      <c r="N971" s="2">
        <v>2.9095836394629373</v>
      </c>
      <c r="O971" s="2">
        <f t="shared" si="63"/>
        <v>0</v>
      </c>
      <c r="P971" s="2">
        <v>-15.826455198443909</v>
      </c>
      <c r="Q971" s="2">
        <v>-0.37531972997840057</v>
      </c>
    </row>
    <row r="972" spans="1:17" ht="15">
      <c r="A972" s="2" t="s">
        <v>81</v>
      </c>
      <c r="B972" s="2">
        <v>1013.0402674898505</v>
      </c>
      <c r="C972" s="2">
        <v>975.4995372495614</v>
      </c>
      <c r="D972" s="2">
        <v>485.80585140734911</v>
      </c>
      <c r="E972" s="2">
        <v>285.77562932157889</v>
      </c>
      <c r="F972" s="2">
        <v>28.980387499555945</v>
      </c>
      <c r="G972" s="2">
        <v>0.79857879833551126</v>
      </c>
      <c r="H972" s="2">
        <v>12240</v>
      </c>
      <c r="I972" s="2">
        <v>1200</v>
      </c>
      <c r="J972" s="2">
        <f>(IF(A972='Hybrid Calculator'!$B$6,0,1))^2+((B972-'Hybrid Calculator'!$B$7)/1500)^2+((C972-'Hybrid Calculator'!$B$8)/1300)^2+((D972-'Hybrid Calculator'!$B$9)/800)^2+((E972-'Hybrid Calculator'!$B$10)/350)^2+((F972-'Hybrid Calculator'!$B$11)/30)^2+(G972-'Hybrid Calculator'!$B$12)^2+((H972-'Hybrid Calculator'!$E$14)/IF(A972="Lightning",100,30000))^2+((I972-'Hybrid Calculator'!$E$17)/IF(A972="Lightning",100,30000))^2</f>
        <v>1.5246938877622778</v>
      </c>
      <c r="K972" s="2">
        <f t="shared" si="60"/>
        <v>1254</v>
      </c>
      <c r="L972" s="2">
        <f t="shared" si="61"/>
        <v>0</v>
      </c>
      <c r="M972" s="2">
        <f t="shared" si="62"/>
        <v>0</v>
      </c>
      <c r="N972" s="2">
        <v>1.5107680521460054</v>
      </c>
      <c r="O972" s="2">
        <f t="shared" si="63"/>
        <v>0</v>
      </c>
      <c r="P972" s="2">
        <v>48.510055085167096</v>
      </c>
      <c r="Q972" s="2">
        <v>-8.2196845865656769</v>
      </c>
    </row>
    <row r="973" spans="1:17" ht="15">
      <c r="A973" s="2" t="s">
        <v>81</v>
      </c>
      <c r="B973" s="2">
        <v>1006.1562855378725</v>
      </c>
      <c r="C973" s="2">
        <v>715.24553338531405</v>
      </c>
      <c r="D973" s="2">
        <v>703.78607520833611</v>
      </c>
      <c r="E973" s="2">
        <v>243.2895905058831</v>
      </c>
      <c r="F973" s="2">
        <v>22.489534248132259</v>
      </c>
      <c r="G973" s="2">
        <v>0.8383250337513164</v>
      </c>
      <c r="H973" s="2">
        <v>12865</v>
      </c>
      <c r="I973" s="2">
        <v>1200</v>
      </c>
      <c r="J973" s="2">
        <f>(IF(A973='Hybrid Calculator'!$B$6,0,1))^2+((B973-'Hybrid Calculator'!$B$7)/1500)^2+((C973-'Hybrid Calculator'!$B$8)/1300)^2+((D973-'Hybrid Calculator'!$B$9)/800)^2+((E973-'Hybrid Calculator'!$B$10)/350)^2+((F973-'Hybrid Calculator'!$B$11)/30)^2+(G973-'Hybrid Calculator'!$B$12)^2+((H973-'Hybrid Calculator'!$E$14)/IF(A973="Lightning",100,30000))^2+((I973-'Hybrid Calculator'!$E$17)/IF(A973="Lightning",100,30000))^2</f>
        <v>1.4266729781709258</v>
      </c>
      <c r="K973" s="2">
        <f t="shared" si="60"/>
        <v>1054</v>
      </c>
      <c r="L973" s="2">
        <f t="shared" si="61"/>
        <v>0</v>
      </c>
      <c r="M973" s="2">
        <f t="shared" si="62"/>
        <v>0</v>
      </c>
      <c r="N973" s="2">
        <v>1.053344699019874</v>
      </c>
      <c r="O973" s="2">
        <f t="shared" si="63"/>
        <v>0</v>
      </c>
      <c r="P973" s="2">
        <v>-10.298001295122504</v>
      </c>
      <c r="Q973" s="2">
        <v>0.33021952064336801</v>
      </c>
    </row>
    <row r="974" spans="1:17" ht="15">
      <c r="A974" s="2" t="s">
        <v>81</v>
      </c>
      <c r="B974" s="2">
        <v>986.42363909166306</v>
      </c>
      <c r="C974" s="2">
        <v>787.50006767222658</v>
      </c>
      <c r="D974" s="2">
        <v>690.66848941147327</v>
      </c>
      <c r="E974" s="2">
        <v>149.85301355598494</v>
      </c>
      <c r="F974" s="2">
        <v>20.883751676417887</v>
      </c>
      <c r="G974" s="2">
        <v>0.84712217918364341</v>
      </c>
      <c r="H974" s="2">
        <v>15325</v>
      </c>
      <c r="I974" s="2">
        <v>1200</v>
      </c>
      <c r="J974" s="2">
        <f>(IF(A974='Hybrid Calculator'!$B$6,0,1))^2+((B974-'Hybrid Calculator'!$B$7)/1500)^2+((C974-'Hybrid Calculator'!$B$8)/1300)^2+((D974-'Hybrid Calculator'!$B$9)/800)^2+((E974-'Hybrid Calculator'!$B$10)/350)^2+((F974-'Hybrid Calculator'!$B$11)/30)^2+(G974-'Hybrid Calculator'!$B$12)^2+((H974-'Hybrid Calculator'!$E$14)/IF(A974="Lightning",100,30000))^2+((I974-'Hybrid Calculator'!$E$17)/IF(A974="Lightning",100,30000))^2</f>
        <v>1.4124379403266079</v>
      </c>
      <c r="K974" s="2">
        <f t="shared" si="60"/>
        <v>1015</v>
      </c>
      <c r="L974" s="2">
        <f t="shared" si="61"/>
        <v>0</v>
      </c>
      <c r="M974" s="2">
        <f t="shared" si="62"/>
        <v>0</v>
      </c>
      <c r="N974" s="2">
        <v>-0.61850548692100915</v>
      </c>
      <c r="O974" s="2">
        <f t="shared" si="63"/>
        <v>0</v>
      </c>
      <c r="P974" s="2">
        <v>-27.561916835899865</v>
      </c>
      <c r="Q974" s="2">
        <v>-4.9097506279490517</v>
      </c>
    </row>
    <row r="975" spans="1:17" ht="15">
      <c r="A975" s="2" t="s">
        <v>81</v>
      </c>
      <c r="B975" s="2">
        <v>969.24188196426257</v>
      </c>
      <c r="C975" s="2">
        <v>725.60929371975362</v>
      </c>
      <c r="D975" s="2">
        <v>542.66034169122577</v>
      </c>
      <c r="E975" s="2">
        <v>111.05048544239253</v>
      </c>
      <c r="F975" s="2">
        <v>18.410223263781518</v>
      </c>
      <c r="G975" s="2">
        <v>0.79659158606082203</v>
      </c>
      <c r="H975" s="2">
        <v>15505</v>
      </c>
      <c r="I975" s="2">
        <v>1200</v>
      </c>
      <c r="J975" s="2">
        <f>(IF(A975='Hybrid Calculator'!$B$6,0,1))^2+((B975-'Hybrid Calculator'!$B$7)/1500)^2+((C975-'Hybrid Calculator'!$B$8)/1300)^2+((D975-'Hybrid Calculator'!$B$9)/800)^2+((E975-'Hybrid Calculator'!$B$10)/350)^2+((F975-'Hybrid Calculator'!$B$11)/30)^2+(G975-'Hybrid Calculator'!$B$12)^2+((H975-'Hybrid Calculator'!$E$14)/IF(A975="Lightning",100,30000))^2+((I975-'Hybrid Calculator'!$E$17)/IF(A975="Lightning",100,30000))^2</f>
        <v>1.3841890669204411</v>
      </c>
      <c r="K975" s="2">
        <f t="shared" si="60"/>
        <v>931</v>
      </c>
      <c r="L975" s="2">
        <f t="shared" si="61"/>
        <v>0</v>
      </c>
      <c r="M975" s="2">
        <f t="shared" si="62"/>
        <v>0</v>
      </c>
      <c r="N975" s="2">
        <v>-3.5089863569413353</v>
      </c>
      <c r="O975" s="2">
        <f t="shared" si="63"/>
        <v>0</v>
      </c>
      <c r="P975" s="2">
        <v>-41.974615334401733</v>
      </c>
      <c r="Q975" s="2">
        <v>7.6186246143832932</v>
      </c>
    </row>
    <row r="976" spans="1:17" ht="15">
      <c r="A976" s="2" t="s">
        <v>81</v>
      </c>
      <c r="B976" s="2">
        <v>1033.4918861743063</v>
      </c>
      <c r="C976" s="2">
        <v>1108.0594266648404</v>
      </c>
      <c r="D976" s="2">
        <v>639.6082928404212</v>
      </c>
      <c r="E976" s="2">
        <v>291.29211952211335</v>
      </c>
      <c r="F976" s="2">
        <v>14.535279426723719</v>
      </c>
      <c r="G976" s="2">
        <v>0.85739492677384987</v>
      </c>
      <c r="H976" s="2">
        <v>10490</v>
      </c>
      <c r="I976" s="2">
        <v>1195</v>
      </c>
      <c r="J976" s="2">
        <f>(IF(A976='Hybrid Calculator'!$B$6,0,1))^2+((B976-'Hybrid Calculator'!$B$7)/1500)^2+((C976-'Hybrid Calculator'!$B$8)/1300)^2+((D976-'Hybrid Calculator'!$B$9)/800)^2+((E976-'Hybrid Calculator'!$B$10)/350)^2+((F976-'Hybrid Calculator'!$B$11)/30)^2+(G976-'Hybrid Calculator'!$B$12)^2+((H976-'Hybrid Calculator'!$E$14)/IF(A976="Lightning",100,30000))^2+((I976-'Hybrid Calculator'!$E$17)/IF(A976="Lightning",100,30000))^2</f>
        <v>1.4424388118804761</v>
      </c>
      <c r="K976" s="2">
        <f t="shared" si="60"/>
        <v>1089</v>
      </c>
      <c r="L976" s="2">
        <f t="shared" si="61"/>
        <v>0</v>
      </c>
      <c r="M976" s="2">
        <f t="shared" si="62"/>
        <v>0</v>
      </c>
      <c r="N976" s="2">
        <v>2.4163607741832038</v>
      </c>
      <c r="O976" s="2">
        <f t="shared" si="63"/>
        <v>0</v>
      </c>
      <c r="P976" s="2">
        <v>16.874613061817399</v>
      </c>
      <c r="Q976" s="2">
        <v>-2.8887449230869606</v>
      </c>
    </row>
    <row r="977" spans="1:17" ht="15">
      <c r="A977" s="2" t="s">
        <v>81</v>
      </c>
      <c r="B977" s="2">
        <v>1001.3289285940118</v>
      </c>
      <c r="C977" s="2">
        <v>1121.2052882416174</v>
      </c>
      <c r="D977" s="2">
        <v>648.98742185905576</v>
      </c>
      <c r="E977" s="2">
        <v>162.99820870161057</v>
      </c>
      <c r="F977" s="2">
        <v>21.407331655267626</v>
      </c>
      <c r="G977" s="2">
        <v>0.85973584465216846</v>
      </c>
      <c r="H977" s="2">
        <v>12905</v>
      </c>
      <c r="I977" s="2">
        <v>1200</v>
      </c>
      <c r="J977" s="2">
        <f>(IF(A977='Hybrid Calculator'!$B$6,0,1))^2+((B977-'Hybrid Calculator'!$B$7)/1500)^2+((C977-'Hybrid Calculator'!$B$8)/1300)^2+((D977-'Hybrid Calculator'!$B$9)/800)^2+((E977-'Hybrid Calculator'!$B$10)/350)^2+((F977-'Hybrid Calculator'!$B$11)/30)^2+(G977-'Hybrid Calculator'!$B$12)^2+((H977-'Hybrid Calculator'!$E$14)/IF(A977="Lightning",100,30000))^2+((I977-'Hybrid Calculator'!$E$17)/IF(A977="Lightning",100,30000))^2</f>
        <v>1.355477984419619</v>
      </c>
      <c r="K977" s="2">
        <f t="shared" si="60"/>
        <v>847</v>
      </c>
      <c r="L977" s="2">
        <f t="shared" si="61"/>
        <v>0</v>
      </c>
      <c r="M977" s="2">
        <f t="shared" si="62"/>
        <v>0</v>
      </c>
      <c r="N977" s="2">
        <v>3.4927603238035658</v>
      </c>
      <c r="O977" s="2">
        <f t="shared" si="63"/>
        <v>0</v>
      </c>
      <c r="P977" s="2">
        <v>14.594085397092385</v>
      </c>
      <c r="Q977" s="2">
        <v>-6.2897692728784023</v>
      </c>
    </row>
    <row r="978" spans="1:17" ht="15">
      <c r="A978" s="2" t="s">
        <v>81</v>
      </c>
      <c r="B978" s="2">
        <v>1060.4309620568529</v>
      </c>
      <c r="C978" s="2">
        <v>740.95414216862991</v>
      </c>
      <c r="D978" s="2">
        <v>625.03841295838356</v>
      </c>
      <c r="E978" s="2">
        <v>85.472964083310217</v>
      </c>
      <c r="F978" s="2">
        <v>25.121083333157003</v>
      </c>
      <c r="G978" s="2">
        <v>0.81045469542732462</v>
      </c>
      <c r="H978" s="2">
        <v>14735</v>
      </c>
      <c r="I978" s="2">
        <v>1200</v>
      </c>
      <c r="J978" s="2">
        <f>(IF(A978='Hybrid Calculator'!$B$6,0,1))^2+((B978-'Hybrid Calculator'!$B$7)/1500)^2+((C978-'Hybrid Calculator'!$B$8)/1300)^2+((D978-'Hybrid Calculator'!$B$9)/800)^2+((E978-'Hybrid Calculator'!$B$10)/350)^2+((F978-'Hybrid Calculator'!$B$11)/30)^2+(G978-'Hybrid Calculator'!$B$12)^2+((H978-'Hybrid Calculator'!$E$14)/IF(A978="Lightning",100,30000))^2+((I978-'Hybrid Calculator'!$E$17)/IF(A978="Lightning",100,30000))^2</f>
        <v>1.4144713420929562</v>
      </c>
      <c r="K978" s="2">
        <f t="shared" si="60"/>
        <v>1024</v>
      </c>
      <c r="L978" s="2">
        <f t="shared" si="61"/>
        <v>0</v>
      </c>
      <c r="M978" s="2">
        <f t="shared" si="62"/>
        <v>0</v>
      </c>
      <c r="N978" s="2">
        <v>0.77348720171380592</v>
      </c>
      <c r="O978" s="2">
        <f t="shared" si="63"/>
        <v>0</v>
      </c>
      <c r="P978" s="2">
        <v>-32.37271283184964</v>
      </c>
      <c r="Q978" s="2">
        <v>-0.69558266597482543</v>
      </c>
    </row>
    <row r="979" spans="1:17" ht="15">
      <c r="A979" s="2" t="s">
        <v>81</v>
      </c>
      <c r="B979" s="2">
        <v>1038.7116934987716</v>
      </c>
      <c r="C979" s="2">
        <v>673.80203474313021</v>
      </c>
      <c r="D979" s="2">
        <v>371.73845609650016</v>
      </c>
      <c r="E979" s="2">
        <v>266.28826003987342</v>
      </c>
      <c r="F979" s="2">
        <v>10.205267989542335</v>
      </c>
      <c r="G979" s="2">
        <v>0.81193478113971651</v>
      </c>
      <c r="H979" s="2">
        <v>16300</v>
      </c>
      <c r="I979" s="2">
        <v>1200</v>
      </c>
      <c r="J979" s="2">
        <f>(IF(A979='Hybrid Calculator'!$B$6,0,1))^2+((B979-'Hybrid Calculator'!$B$7)/1500)^2+((C979-'Hybrid Calculator'!$B$8)/1300)^2+((D979-'Hybrid Calculator'!$B$9)/800)^2+((E979-'Hybrid Calculator'!$B$10)/350)^2+((F979-'Hybrid Calculator'!$B$11)/30)^2+(G979-'Hybrid Calculator'!$B$12)^2+((H979-'Hybrid Calculator'!$E$14)/IF(A979="Lightning",100,30000))^2+((I979-'Hybrid Calculator'!$E$17)/IF(A979="Lightning",100,30000))^2</f>
        <v>1.5922350462128116</v>
      </c>
      <c r="K979" s="2">
        <f t="shared" si="60"/>
        <v>1343</v>
      </c>
      <c r="L979" s="2">
        <f t="shared" si="61"/>
        <v>0</v>
      </c>
      <c r="M979" s="2">
        <f t="shared" si="62"/>
        <v>0</v>
      </c>
      <c r="N979" s="2">
        <v>1.985850857347117</v>
      </c>
      <c r="O979" s="2">
        <f t="shared" si="63"/>
        <v>0</v>
      </c>
      <c r="P979" s="2">
        <v>18.265552641527847</v>
      </c>
      <c r="Q979" s="2">
        <v>8.2517997540994656</v>
      </c>
    </row>
    <row r="980" spans="1:17" ht="15">
      <c r="A980" s="2" t="s">
        <v>81</v>
      </c>
      <c r="B980" s="2">
        <v>1096.1099517531693</v>
      </c>
      <c r="C980" s="2">
        <v>612.35927356174216</v>
      </c>
      <c r="D980" s="2">
        <v>733.55048689991236</v>
      </c>
      <c r="E980" s="2">
        <v>247.89641609648243</v>
      </c>
      <c r="F980" s="2">
        <v>16.009759174659848</v>
      </c>
      <c r="G980" s="2">
        <v>0.82049357845680793</v>
      </c>
      <c r="H980" s="2">
        <v>13420</v>
      </c>
      <c r="I980" s="2">
        <v>1200</v>
      </c>
      <c r="J980" s="2">
        <f>(IF(A980='Hybrid Calculator'!$B$6,0,1))^2+((B980-'Hybrid Calculator'!$B$7)/1500)^2+((C980-'Hybrid Calculator'!$B$8)/1300)^2+((D980-'Hybrid Calculator'!$B$9)/800)^2+((E980-'Hybrid Calculator'!$B$10)/350)^2+((F980-'Hybrid Calculator'!$B$11)/30)^2+(G980-'Hybrid Calculator'!$B$12)^2+((H980-'Hybrid Calculator'!$E$14)/IF(A980="Lightning",100,30000))^2+((I980-'Hybrid Calculator'!$E$17)/IF(A980="Lightning",100,30000))^2</f>
        <v>1.4519966004191016</v>
      </c>
      <c r="K980" s="2">
        <f t="shared" si="60"/>
        <v>1112</v>
      </c>
      <c r="L980" s="2">
        <f t="shared" si="61"/>
        <v>0</v>
      </c>
      <c r="M980" s="2">
        <f t="shared" si="62"/>
        <v>0</v>
      </c>
      <c r="N980" s="2">
        <v>2.8105934880378243</v>
      </c>
      <c r="O980" s="2">
        <f t="shared" si="63"/>
        <v>0</v>
      </c>
      <c r="P980" s="2">
        <v>-43.584056591998433</v>
      </c>
      <c r="Q980" s="2">
        <v>9.7561118554563109</v>
      </c>
    </row>
    <row r="981" spans="1:17" ht="15">
      <c r="A981" s="2" t="s">
        <v>81</v>
      </c>
      <c r="B981" s="2">
        <v>1001.6593187698163</v>
      </c>
      <c r="C981" s="2">
        <v>656.2706058146432</v>
      </c>
      <c r="D981" s="2">
        <v>524.51557004824281</v>
      </c>
      <c r="E981" s="2">
        <v>94.788587810471654</v>
      </c>
      <c r="F981" s="2">
        <v>10.916515231598169</v>
      </c>
      <c r="G981" s="2">
        <v>0.8208934542769567</v>
      </c>
      <c r="H981" s="2">
        <v>16765</v>
      </c>
      <c r="I981" s="2">
        <v>1200</v>
      </c>
      <c r="J981" s="2">
        <f>(IF(A981='Hybrid Calculator'!$B$6,0,1))^2+((B981-'Hybrid Calculator'!$B$7)/1500)^2+((C981-'Hybrid Calculator'!$B$8)/1300)^2+((D981-'Hybrid Calculator'!$B$9)/800)^2+((E981-'Hybrid Calculator'!$B$10)/350)^2+((F981-'Hybrid Calculator'!$B$11)/30)^2+(G981-'Hybrid Calculator'!$B$12)^2+((H981-'Hybrid Calculator'!$E$14)/IF(A981="Lightning",100,30000))^2+((I981-'Hybrid Calculator'!$E$17)/IF(A981="Lightning",100,30000))^2</f>
        <v>1.5035517287090787</v>
      </c>
      <c r="K981" s="2">
        <f t="shared" si="60"/>
        <v>1219</v>
      </c>
      <c r="L981" s="2">
        <f t="shared" si="61"/>
        <v>0</v>
      </c>
      <c r="M981" s="2">
        <f t="shared" si="62"/>
        <v>0</v>
      </c>
      <c r="N981" s="2">
        <v>-0.31928947189837231</v>
      </c>
      <c r="O981" s="2">
        <f t="shared" si="63"/>
        <v>0</v>
      </c>
      <c r="P981" s="2">
        <v>5.4780056869562941</v>
      </c>
      <c r="Q981" s="2">
        <v>10.489580304711126</v>
      </c>
    </row>
    <row r="982" spans="1:17" ht="15">
      <c r="A982" s="2" t="s">
        <v>81</v>
      </c>
      <c r="B982" s="2">
        <v>1099.2077950388193</v>
      </c>
      <c r="C982" s="2">
        <v>775.27114212280139</v>
      </c>
      <c r="D982" s="2">
        <v>720.02223897725344</v>
      </c>
      <c r="E982" s="2">
        <v>181.1005011969246</v>
      </c>
      <c r="F982" s="2">
        <v>18.6279187630862</v>
      </c>
      <c r="G982" s="2">
        <v>0.85895834100665525</v>
      </c>
      <c r="H982" s="2">
        <v>12755</v>
      </c>
      <c r="I982" s="2">
        <v>1200</v>
      </c>
      <c r="J982" s="2">
        <f>(IF(A982='Hybrid Calculator'!$B$6,0,1))^2+((B982-'Hybrid Calculator'!$B$7)/1500)^2+((C982-'Hybrid Calculator'!$B$8)/1300)^2+((D982-'Hybrid Calculator'!$B$9)/800)^2+((E982-'Hybrid Calculator'!$B$10)/350)^2+((F982-'Hybrid Calculator'!$B$11)/30)^2+(G982-'Hybrid Calculator'!$B$12)^2+((H982-'Hybrid Calculator'!$E$14)/IF(A982="Lightning",100,30000))^2+((I982-'Hybrid Calculator'!$E$17)/IF(A982="Lightning",100,30000))^2</f>
        <v>1.3164363104334134</v>
      </c>
      <c r="K982" s="2">
        <f t="shared" si="60"/>
        <v>756</v>
      </c>
      <c r="L982" s="2">
        <f t="shared" si="61"/>
        <v>0</v>
      </c>
      <c r="M982" s="2">
        <f t="shared" si="62"/>
        <v>0</v>
      </c>
      <c r="N982" s="2">
        <v>1.6760843599755049</v>
      </c>
      <c r="O982" s="2">
        <f t="shared" si="63"/>
        <v>0</v>
      </c>
      <c r="P982" s="2">
        <v>9.3812191771853577</v>
      </c>
      <c r="Q982" s="2">
        <v>4.078962645806314</v>
      </c>
    </row>
    <row r="983" spans="1:17" ht="15">
      <c r="A983" s="2" t="s">
        <v>81</v>
      </c>
      <c r="B983" s="2">
        <v>1033.5251043201424</v>
      </c>
      <c r="C983" s="2">
        <v>858.6076176026836</v>
      </c>
      <c r="D983" s="2">
        <v>595.00571647658944</v>
      </c>
      <c r="E983" s="2">
        <v>226.65336511097848</v>
      </c>
      <c r="F983" s="2">
        <v>8.1388943311758339</v>
      </c>
      <c r="G983" s="2">
        <v>0.79089121409226215</v>
      </c>
      <c r="H983" s="2">
        <v>12730</v>
      </c>
      <c r="I983" s="2">
        <v>1200</v>
      </c>
      <c r="J983" s="2">
        <f>(IF(A983='Hybrid Calculator'!$B$6,0,1))^2+((B983-'Hybrid Calculator'!$B$7)/1500)^2+((C983-'Hybrid Calculator'!$B$8)/1300)^2+((D983-'Hybrid Calculator'!$B$9)/800)^2+((E983-'Hybrid Calculator'!$B$10)/350)^2+((F983-'Hybrid Calculator'!$B$11)/30)^2+(G983-'Hybrid Calculator'!$B$12)^2+((H983-'Hybrid Calculator'!$E$14)/IF(A983="Lightning",100,30000))^2+((I983-'Hybrid Calculator'!$E$17)/IF(A983="Lightning",100,30000))^2</f>
        <v>1.430533603500147</v>
      </c>
      <c r="K983" s="2">
        <f t="shared" si="60"/>
        <v>1061</v>
      </c>
      <c r="L983" s="2">
        <f t="shared" si="61"/>
        <v>0</v>
      </c>
      <c r="M983" s="2">
        <f t="shared" si="62"/>
        <v>0</v>
      </c>
      <c r="N983" s="2">
        <v>1.0133759023206039</v>
      </c>
      <c r="O983" s="2">
        <f t="shared" si="63"/>
        <v>0</v>
      </c>
      <c r="P983" s="2">
        <v>2.5467275551541206</v>
      </c>
      <c r="Q983" s="2">
        <v>1.9396780389483865</v>
      </c>
    </row>
    <row r="984" spans="1:17" ht="15">
      <c r="A984" s="2" t="s">
        <v>81</v>
      </c>
      <c r="B984" s="2">
        <v>971.82118638884276</v>
      </c>
      <c r="C984" s="2">
        <v>797.96436583856121</v>
      </c>
      <c r="D984" s="2">
        <v>712.76406981050968</v>
      </c>
      <c r="E984" s="2">
        <v>303.58032985357568</v>
      </c>
      <c r="F984" s="2">
        <v>17.465853431262076</v>
      </c>
      <c r="G984" s="2">
        <v>0.85006053107557822</v>
      </c>
      <c r="H984" s="2">
        <v>13750</v>
      </c>
      <c r="I984" s="2">
        <v>1200</v>
      </c>
      <c r="J984" s="2">
        <f>(IF(A984='Hybrid Calculator'!$B$6,0,1))^2+((B984-'Hybrid Calculator'!$B$7)/1500)^2+((C984-'Hybrid Calculator'!$B$8)/1300)^2+((D984-'Hybrid Calculator'!$B$9)/800)^2+((E984-'Hybrid Calculator'!$B$10)/350)^2+((F984-'Hybrid Calculator'!$B$11)/30)^2+(G984-'Hybrid Calculator'!$B$12)^2+((H984-'Hybrid Calculator'!$E$14)/IF(A984="Lightning",100,30000))^2+((I984-'Hybrid Calculator'!$E$17)/IF(A984="Lightning",100,30000))^2</f>
        <v>1.5683269813088418</v>
      </c>
      <c r="K984" s="2">
        <f t="shared" si="60"/>
        <v>1327</v>
      </c>
      <c r="L984" s="2">
        <f t="shared" si="61"/>
        <v>0</v>
      </c>
      <c r="M984" s="2">
        <f t="shared" si="62"/>
        <v>0</v>
      </c>
      <c r="N984" s="2">
        <v>0.35807954370841344</v>
      </c>
      <c r="O984" s="2">
        <f t="shared" si="63"/>
        <v>0</v>
      </c>
      <c r="P984" s="2">
        <v>11.758489315655424</v>
      </c>
      <c r="Q984" s="2">
        <v>-0.61443539168510597</v>
      </c>
    </row>
    <row r="985" spans="1:17" ht="15">
      <c r="A985" s="2" t="s">
        <v>81</v>
      </c>
      <c r="B985" s="2">
        <v>1001.8001895747148</v>
      </c>
      <c r="C985" s="2">
        <v>799.16887464933097</v>
      </c>
      <c r="D985" s="2">
        <v>518.93529845401645</v>
      </c>
      <c r="E985" s="2">
        <v>281.30397554021329</v>
      </c>
      <c r="F985" s="2">
        <v>13.183469872456044</v>
      </c>
      <c r="G985" s="2">
        <v>0.84212755322456367</v>
      </c>
      <c r="H985" s="2">
        <v>15600</v>
      </c>
      <c r="I985" s="2">
        <v>1200</v>
      </c>
      <c r="J985" s="2">
        <f>(IF(A985='Hybrid Calculator'!$B$6,0,1))^2+((B985-'Hybrid Calculator'!$B$7)/1500)^2+((C985-'Hybrid Calculator'!$B$8)/1300)^2+((D985-'Hybrid Calculator'!$B$9)/800)^2+((E985-'Hybrid Calculator'!$B$10)/350)^2+((F985-'Hybrid Calculator'!$B$11)/30)^2+(G985-'Hybrid Calculator'!$B$12)^2+((H985-'Hybrid Calculator'!$E$14)/IF(A985="Lightning",100,30000))^2+((I985-'Hybrid Calculator'!$E$17)/IF(A985="Lightning",100,30000))^2</f>
        <v>1.5245281409196878</v>
      </c>
      <c r="K985" s="2">
        <f t="shared" si="60"/>
        <v>1253</v>
      </c>
      <c r="L985" s="2">
        <f t="shared" si="61"/>
        <v>0</v>
      </c>
      <c r="M985" s="2">
        <f t="shared" si="62"/>
        <v>0</v>
      </c>
      <c r="N985" s="2">
        <v>1.8167483637916177</v>
      </c>
      <c r="O985" s="2">
        <f t="shared" si="63"/>
        <v>0</v>
      </c>
      <c r="P985" s="2">
        <v>23.211168559169437</v>
      </c>
      <c r="Q985" s="2">
        <v>4.1710302426815815</v>
      </c>
    </row>
    <row r="986" spans="1:17" ht="15">
      <c r="A986" s="2" t="s">
        <v>81</v>
      </c>
      <c r="B986" s="2">
        <v>1080.5782425682992</v>
      </c>
      <c r="C986" s="2">
        <v>750.02517447574064</v>
      </c>
      <c r="D986" s="2">
        <v>692.76210125535727</v>
      </c>
      <c r="E986" s="2">
        <v>193.13703918131068</v>
      </c>
      <c r="F986" s="2">
        <v>29.04610326513648</v>
      </c>
      <c r="G986" s="2">
        <v>0.8034619440534152</v>
      </c>
      <c r="H986" s="2">
        <v>13075</v>
      </c>
      <c r="I986" s="2">
        <v>1200</v>
      </c>
      <c r="J986" s="2">
        <f>(IF(A986='Hybrid Calculator'!$B$6,0,1))^2+((B986-'Hybrid Calculator'!$B$7)/1500)^2+((C986-'Hybrid Calculator'!$B$8)/1300)^2+((D986-'Hybrid Calculator'!$B$9)/800)^2+((E986-'Hybrid Calculator'!$B$10)/350)^2+((F986-'Hybrid Calculator'!$B$11)/30)^2+(G986-'Hybrid Calculator'!$B$12)^2+((H986-'Hybrid Calculator'!$E$14)/IF(A986="Lightning",100,30000))^2+((I986-'Hybrid Calculator'!$E$17)/IF(A986="Lightning",100,30000))^2</f>
        <v>1.4457717420490619</v>
      </c>
      <c r="K986" s="2">
        <f t="shared" si="60"/>
        <v>1100</v>
      </c>
      <c r="L986" s="2">
        <f t="shared" si="61"/>
        <v>0</v>
      </c>
      <c r="M986" s="2">
        <f t="shared" si="62"/>
        <v>0</v>
      </c>
      <c r="N986" s="2">
        <v>0.76011869885039118</v>
      </c>
      <c r="O986" s="2">
        <f t="shared" si="63"/>
        <v>0</v>
      </c>
      <c r="P986" s="2">
        <v>-18.443036957793993</v>
      </c>
      <c r="Q986" s="2">
        <v>-16.518142692577385</v>
      </c>
    </row>
    <row r="987" spans="1:17" ht="15">
      <c r="A987" s="2" t="s">
        <v>81</v>
      </c>
      <c r="B987" s="2">
        <v>1036.9063887861557</v>
      </c>
      <c r="C987" s="2">
        <v>1216.2193777738139</v>
      </c>
      <c r="D987" s="2">
        <v>573.52808611467481</v>
      </c>
      <c r="E987" s="2">
        <v>193.7295113876462</v>
      </c>
      <c r="F987" s="2">
        <v>23.308437319938093</v>
      </c>
      <c r="G987" s="2">
        <v>0.79580193522851916</v>
      </c>
      <c r="H987" s="2">
        <v>10780</v>
      </c>
      <c r="I987" s="2">
        <v>1195</v>
      </c>
      <c r="J987" s="2">
        <f>(IF(A987='Hybrid Calculator'!$B$6,0,1))^2+((B987-'Hybrid Calculator'!$B$7)/1500)^2+((C987-'Hybrid Calculator'!$B$8)/1300)^2+((D987-'Hybrid Calculator'!$B$9)/800)^2+((E987-'Hybrid Calculator'!$B$10)/350)^2+((F987-'Hybrid Calculator'!$B$11)/30)^2+(G987-'Hybrid Calculator'!$B$12)^2+((H987-'Hybrid Calculator'!$E$14)/IF(A987="Lightning",100,30000))^2+((I987-'Hybrid Calculator'!$E$17)/IF(A987="Lightning",100,30000))^2</f>
        <v>1.3260795925929612</v>
      </c>
      <c r="K987" s="2">
        <f t="shared" si="60"/>
        <v>770</v>
      </c>
      <c r="L987" s="2">
        <f t="shared" si="61"/>
        <v>0</v>
      </c>
      <c r="M987" s="2">
        <f t="shared" si="62"/>
        <v>0</v>
      </c>
      <c r="N987" s="2">
        <v>-1.8824813019101043</v>
      </c>
      <c r="O987" s="2">
        <f t="shared" si="63"/>
        <v>0</v>
      </c>
      <c r="P987" s="2">
        <v>-7.9110454425449461</v>
      </c>
      <c r="Q987" s="2">
        <v>-15.8469622057886</v>
      </c>
    </row>
    <row r="988" spans="1:17" ht="15">
      <c r="A988" s="2" t="s">
        <v>81</v>
      </c>
      <c r="B988" s="2">
        <v>1050.8821219438687</v>
      </c>
      <c r="C988" s="2">
        <v>814.23486053245142</v>
      </c>
      <c r="D988" s="2">
        <v>555.95197603106499</v>
      </c>
      <c r="E988" s="2">
        <v>272.08143599098548</v>
      </c>
      <c r="F988" s="2">
        <v>22.190870172344148</v>
      </c>
      <c r="G988" s="2">
        <v>0.83889537082752219</v>
      </c>
      <c r="H988" s="2">
        <v>13020</v>
      </c>
      <c r="I988" s="2">
        <v>1200</v>
      </c>
      <c r="J988" s="2">
        <f>(IF(A988='Hybrid Calculator'!$B$6,0,1))^2+((B988-'Hybrid Calculator'!$B$7)/1500)^2+((C988-'Hybrid Calculator'!$B$8)/1300)^2+((D988-'Hybrid Calculator'!$B$9)/800)^2+((E988-'Hybrid Calculator'!$B$10)/350)^2+((F988-'Hybrid Calculator'!$B$11)/30)^2+(G988-'Hybrid Calculator'!$B$12)^2+((H988-'Hybrid Calculator'!$E$14)/IF(A988="Lightning",100,30000))^2+((I988-'Hybrid Calculator'!$E$17)/IF(A988="Lightning",100,30000))^2</f>
        <v>1.3934584075864076</v>
      </c>
      <c r="K988" s="2">
        <f t="shared" si="60"/>
        <v>959</v>
      </c>
      <c r="L988" s="2">
        <f t="shared" si="61"/>
        <v>0</v>
      </c>
      <c r="M988" s="2">
        <f t="shared" si="62"/>
        <v>0</v>
      </c>
      <c r="N988" s="2">
        <v>1.0350551294261265</v>
      </c>
      <c r="O988" s="2">
        <f t="shared" si="63"/>
        <v>0</v>
      </c>
      <c r="P988" s="2">
        <v>33.912679799651869</v>
      </c>
      <c r="Q988" s="2">
        <v>-6.6448404568559454</v>
      </c>
    </row>
    <row r="989" spans="1:17" ht="15">
      <c r="A989" s="2" t="s">
        <v>81</v>
      </c>
      <c r="B989" s="2">
        <v>1020.5396385747008</v>
      </c>
      <c r="C989" s="2">
        <v>1151.6712490469217</v>
      </c>
      <c r="D989" s="2">
        <v>435.70092907175422</v>
      </c>
      <c r="E989" s="2">
        <v>225.86896926630288</v>
      </c>
      <c r="F989" s="2">
        <v>17.247478769626468</v>
      </c>
      <c r="G989" s="2">
        <v>0.83070343422703452</v>
      </c>
      <c r="H989" s="2">
        <v>11795</v>
      </c>
      <c r="I989" s="2">
        <v>1195</v>
      </c>
      <c r="J989" s="2">
        <f>(IF(A989='Hybrid Calculator'!$B$6,0,1))^2+((B989-'Hybrid Calculator'!$B$7)/1500)^2+((C989-'Hybrid Calculator'!$B$8)/1300)^2+((D989-'Hybrid Calculator'!$B$9)/800)^2+((E989-'Hybrid Calculator'!$B$10)/350)^2+((F989-'Hybrid Calculator'!$B$11)/30)^2+(G989-'Hybrid Calculator'!$B$12)^2+((H989-'Hybrid Calculator'!$E$14)/IF(A989="Lightning",100,30000))^2+((I989-'Hybrid Calculator'!$E$17)/IF(A989="Lightning",100,30000))^2</f>
        <v>1.3366547574995431</v>
      </c>
      <c r="K989" s="2">
        <f t="shared" si="60"/>
        <v>793</v>
      </c>
      <c r="L989" s="2">
        <f t="shared" si="61"/>
        <v>0</v>
      </c>
      <c r="M989" s="2">
        <f t="shared" si="62"/>
        <v>0</v>
      </c>
      <c r="N989" s="2">
        <v>0.26583156744297298</v>
      </c>
      <c r="O989" s="2">
        <f t="shared" si="63"/>
        <v>0</v>
      </c>
      <c r="P989" s="2">
        <v>49.748166398650483</v>
      </c>
      <c r="Q989" s="2">
        <v>-3.1474471432649125</v>
      </c>
    </row>
    <row r="990" spans="1:17" ht="15">
      <c r="A990" s="2" t="s">
        <v>81</v>
      </c>
      <c r="B990" s="2">
        <v>1037.5993574969471</v>
      </c>
      <c r="C990" s="2">
        <v>1059.1071407659911</v>
      </c>
      <c r="D990" s="2">
        <v>483.49396530538797</v>
      </c>
      <c r="E990" s="2">
        <v>165.64196253428236</v>
      </c>
      <c r="F990" s="2">
        <v>29.709984520450234</v>
      </c>
      <c r="G990" s="2">
        <v>0.83192808400141083</v>
      </c>
      <c r="H990" s="2">
        <v>12520</v>
      </c>
      <c r="I990" s="2">
        <v>1200</v>
      </c>
      <c r="J990" s="2">
        <f>(IF(A990='Hybrid Calculator'!$B$6,0,1))^2+((B990-'Hybrid Calculator'!$B$7)/1500)^2+((C990-'Hybrid Calculator'!$B$8)/1300)^2+((D990-'Hybrid Calculator'!$B$9)/800)^2+((E990-'Hybrid Calculator'!$B$10)/350)^2+((F990-'Hybrid Calculator'!$B$11)/30)^2+(G990-'Hybrid Calculator'!$B$12)^2+((H990-'Hybrid Calculator'!$E$14)/IF(A990="Lightning",100,30000))^2+((I990-'Hybrid Calculator'!$E$17)/IF(A990="Lightning",100,30000))^2</f>
        <v>1.409079637595138</v>
      </c>
      <c r="K990" s="2">
        <f t="shared" si="60"/>
        <v>1002</v>
      </c>
      <c r="L990" s="2">
        <f t="shared" si="61"/>
        <v>0</v>
      </c>
      <c r="M990" s="2">
        <f t="shared" si="62"/>
        <v>0</v>
      </c>
      <c r="N990" s="2">
        <v>-2.9702526688645605</v>
      </c>
      <c r="O990" s="2">
        <f t="shared" si="63"/>
        <v>0</v>
      </c>
      <c r="P990" s="2">
        <v>17.119798468293538</v>
      </c>
      <c r="Q990" s="2">
        <v>-11.482799418827653</v>
      </c>
    </row>
    <row r="991" spans="1:17" ht="15">
      <c r="A991" s="2" t="s">
        <v>81</v>
      </c>
      <c r="B991" s="2">
        <v>1035.2980872266926</v>
      </c>
      <c r="C991" s="2">
        <v>1180.8885610895231</v>
      </c>
      <c r="D991" s="2">
        <v>402.67182821407914</v>
      </c>
      <c r="E991" s="2">
        <v>123.30326826311648</v>
      </c>
      <c r="F991" s="2">
        <v>23.982793830800802</v>
      </c>
      <c r="G991" s="2">
        <v>0.79348316533956675</v>
      </c>
      <c r="H991" s="2">
        <v>12530</v>
      </c>
      <c r="I991" s="2">
        <v>1200</v>
      </c>
      <c r="J991" s="2">
        <f>(IF(A991='Hybrid Calculator'!$B$6,0,1))^2+((B991-'Hybrid Calculator'!$B$7)/1500)^2+((C991-'Hybrid Calculator'!$B$8)/1300)^2+((D991-'Hybrid Calculator'!$B$9)/800)^2+((E991-'Hybrid Calculator'!$B$10)/350)^2+((F991-'Hybrid Calculator'!$B$11)/30)^2+(G991-'Hybrid Calculator'!$B$12)^2+((H991-'Hybrid Calculator'!$E$14)/IF(A991="Lightning",100,30000))^2+((I991-'Hybrid Calculator'!$E$17)/IF(A991="Lightning",100,30000))^2</f>
        <v>1.3615956577926194</v>
      </c>
      <c r="K991" s="2">
        <f t="shared" si="60"/>
        <v>858</v>
      </c>
      <c r="L991" s="2">
        <f t="shared" si="61"/>
        <v>0</v>
      </c>
      <c r="M991" s="2">
        <f t="shared" si="62"/>
        <v>0</v>
      </c>
      <c r="N991" s="2">
        <v>-2.5014554410446124</v>
      </c>
      <c r="O991" s="2">
        <f t="shared" si="63"/>
        <v>0</v>
      </c>
      <c r="P991" s="2">
        <v>64.398128721177727</v>
      </c>
      <c r="Q991" s="2">
        <v>-5.5168496700623564</v>
      </c>
    </row>
    <row r="992" spans="1:17" ht="15">
      <c r="A992" s="2" t="s">
        <v>81</v>
      </c>
      <c r="B992" s="2">
        <v>1072.6416248595342</v>
      </c>
      <c r="C992" s="2">
        <v>1189.4612190895714</v>
      </c>
      <c r="D992" s="2">
        <v>374.09184686839581</v>
      </c>
      <c r="E992" s="2">
        <v>314.89737854106352</v>
      </c>
      <c r="F992" s="2">
        <v>18.386909012682736</v>
      </c>
      <c r="G992" s="2">
        <v>0.79928400815231726</v>
      </c>
      <c r="H992" s="2">
        <v>11385</v>
      </c>
      <c r="I992" s="2">
        <v>1195</v>
      </c>
      <c r="J992" s="2">
        <f>(IF(A992='Hybrid Calculator'!$B$6,0,1))^2+((B992-'Hybrid Calculator'!$B$7)/1500)^2+((C992-'Hybrid Calculator'!$B$8)/1300)^2+((D992-'Hybrid Calculator'!$B$9)/800)^2+((E992-'Hybrid Calculator'!$B$10)/350)^2+((F992-'Hybrid Calculator'!$B$11)/30)^2+(G992-'Hybrid Calculator'!$B$12)^2+((H992-'Hybrid Calculator'!$E$14)/IF(A992="Lightning",100,30000))^2+((I992-'Hybrid Calculator'!$E$17)/IF(A992="Lightning",100,30000))^2</f>
        <v>1.5148274076608879</v>
      </c>
      <c r="K992" s="2">
        <f t="shared" si="60"/>
        <v>1238</v>
      </c>
      <c r="L992" s="2">
        <f t="shared" si="61"/>
        <v>0</v>
      </c>
      <c r="M992" s="2">
        <f t="shared" si="62"/>
        <v>0</v>
      </c>
      <c r="N992" s="2">
        <v>-1.4311794545412226</v>
      </c>
      <c r="O992" s="2">
        <f t="shared" si="63"/>
        <v>0</v>
      </c>
      <c r="P992" s="2">
        <v>-7.790843053639037</v>
      </c>
      <c r="Q992" s="2">
        <v>-10.42293323731019</v>
      </c>
    </row>
    <row r="993" spans="1:17" ht="15">
      <c r="A993" s="2" t="s">
        <v>81</v>
      </c>
      <c r="B993" s="2">
        <v>1058.9500352158211</v>
      </c>
      <c r="C993" s="2">
        <v>1002.0371791440994</v>
      </c>
      <c r="D993" s="2">
        <v>404.80554727837443</v>
      </c>
      <c r="E993" s="2">
        <v>141.25670333858579</v>
      </c>
      <c r="F993" s="2">
        <v>18.836465440224856</v>
      </c>
      <c r="G993" s="2">
        <v>0.83718759080395111</v>
      </c>
      <c r="H993" s="2">
        <v>13815</v>
      </c>
      <c r="I993" s="2">
        <v>1200</v>
      </c>
      <c r="J993" s="2">
        <f>(IF(A993='Hybrid Calculator'!$B$6,0,1))^2+((B993-'Hybrid Calculator'!$B$7)/1500)^2+((C993-'Hybrid Calculator'!$B$8)/1300)^2+((D993-'Hybrid Calculator'!$B$9)/800)^2+((E993-'Hybrid Calculator'!$B$10)/350)^2+((F993-'Hybrid Calculator'!$B$11)/30)^2+(G993-'Hybrid Calculator'!$B$12)^2+((H993-'Hybrid Calculator'!$E$14)/IF(A993="Lightning",100,30000))^2+((I993-'Hybrid Calculator'!$E$17)/IF(A993="Lightning",100,30000))^2</f>
        <v>1.3004965999828413</v>
      </c>
      <c r="K993" s="2">
        <f t="shared" si="60"/>
        <v>730</v>
      </c>
      <c r="L993" s="2">
        <f t="shared" si="61"/>
        <v>0</v>
      </c>
      <c r="M993" s="2">
        <f t="shared" si="62"/>
        <v>0</v>
      </c>
      <c r="N993" s="2">
        <v>0.2455593553679023</v>
      </c>
      <c r="O993" s="2">
        <f t="shared" si="63"/>
        <v>0</v>
      </c>
      <c r="P993" s="2">
        <v>2.9137389587158395</v>
      </c>
      <c r="Q993" s="2">
        <v>4.2755176891523661</v>
      </c>
    </row>
    <row r="994" spans="1:17" ht="15">
      <c r="A994" s="2" t="s">
        <v>81</v>
      </c>
      <c r="B994" s="2">
        <v>1025.6876165512949</v>
      </c>
      <c r="C994" s="2">
        <v>666.51770713506266</v>
      </c>
      <c r="D994" s="2">
        <v>466.86964463442564</v>
      </c>
      <c r="E994" s="2">
        <v>167.28894154774025</v>
      </c>
      <c r="F994" s="2">
        <v>24.231313608586788</v>
      </c>
      <c r="G994" s="2">
        <v>0.79788399921962994</v>
      </c>
      <c r="H994" s="2">
        <v>16440</v>
      </c>
      <c r="I994" s="2">
        <v>1200</v>
      </c>
      <c r="J994" s="2">
        <f>(IF(A994='Hybrid Calculator'!$B$6,0,1))^2+((B994-'Hybrid Calculator'!$B$7)/1500)^2+((C994-'Hybrid Calculator'!$B$8)/1300)^2+((D994-'Hybrid Calculator'!$B$9)/800)^2+((E994-'Hybrid Calculator'!$B$10)/350)^2+((F994-'Hybrid Calculator'!$B$11)/30)^2+(G994-'Hybrid Calculator'!$B$12)^2+((H994-'Hybrid Calculator'!$E$14)/IF(A994="Lightning",100,30000))^2+((I994-'Hybrid Calculator'!$E$17)/IF(A994="Lightning",100,30000))^2</f>
        <v>1.4319434766429664</v>
      </c>
      <c r="K994" s="2">
        <f t="shared" si="60"/>
        <v>1063</v>
      </c>
      <c r="L994" s="2">
        <f t="shared" si="61"/>
        <v>0</v>
      </c>
      <c r="M994" s="2">
        <f t="shared" si="62"/>
        <v>0</v>
      </c>
      <c r="N994" s="2">
        <v>-3.9625462278681027</v>
      </c>
      <c r="O994" s="2">
        <f t="shared" si="63"/>
        <v>0</v>
      </c>
      <c r="P994" s="2">
        <v>-43.622999068775698</v>
      </c>
      <c r="Q994" s="2">
        <v>-4.1293335253657233</v>
      </c>
    </row>
    <row r="995" spans="1:17" ht="15">
      <c r="A995" s="2" t="s">
        <v>81</v>
      </c>
      <c r="B995" s="2">
        <v>1072.7605610270984</v>
      </c>
      <c r="C995" s="2">
        <v>1069.0999168669805</v>
      </c>
      <c r="D995" s="2">
        <v>714.65673418715596</v>
      </c>
      <c r="E995" s="2">
        <v>295.56254057213664</v>
      </c>
      <c r="F995" s="2">
        <v>12.123928947839886</v>
      </c>
      <c r="G995" s="2">
        <v>0.83462626823689789</v>
      </c>
      <c r="H995" s="2">
        <v>10285</v>
      </c>
      <c r="I995" s="2">
        <v>1195</v>
      </c>
      <c r="J995" s="2">
        <f>(IF(A995='Hybrid Calculator'!$B$6,0,1))^2+((B995-'Hybrid Calculator'!$B$7)/1500)^2+((C995-'Hybrid Calculator'!$B$8)/1300)^2+((D995-'Hybrid Calculator'!$B$9)/800)^2+((E995-'Hybrid Calculator'!$B$10)/350)^2+((F995-'Hybrid Calculator'!$B$11)/30)^2+(G995-'Hybrid Calculator'!$B$12)^2+((H995-'Hybrid Calculator'!$E$14)/IF(A995="Lightning",100,30000))^2+((I995-'Hybrid Calculator'!$E$17)/IF(A995="Lightning",100,30000))^2</f>
        <v>1.4918127057987911</v>
      </c>
      <c r="K995" s="2">
        <f t="shared" si="60"/>
        <v>1193</v>
      </c>
      <c r="L995" s="2">
        <f t="shared" si="61"/>
        <v>0</v>
      </c>
      <c r="M995" s="2">
        <f t="shared" si="62"/>
        <v>0</v>
      </c>
      <c r="N995" s="2">
        <v>1.0955131839389196</v>
      </c>
      <c r="O995" s="2">
        <f t="shared" si="63"/>
        <v>0</v>
      </c>
      <c r="P995" s="2">
        <v>0.94992309118606499</v>
      </c>
      <c r="Q995" s="2">
        <v>0.94127598235218102</v>
      </c>
    </row>
    <row r="996" spans="1:17" ht="15">
      <c r="A996" s="2" t="s">
        <v>81</v>
      </c>
      <c r="B996" s="2">
        <v>1014.4752712454647</v>
      </c>
      <c r="C996" s="2">
        <v>973.88022978557274</v>
      </c>
      <c r="D996" s="2">
        <v>591.80185403674841</v>
      </c>
      <c r="E996" s="2">
        <v>158.44856736483052</v>
      </c>
      <c r="F996" s="2">
        <v>22.133674520999193</v>
      </c>
      <c r="G996" s="2">
        <v>0.80837678686017178</v>
      </c>
      <c r="H996" s="2">
        <v>12405</v>
      </c>
      <c r="I996" s="2">
        <v>1200</v>
      </c>
      <c r="J996" s="2">
        <f>(IF(A996='Hybrid Calculator'!$B$6,0,1))^2+((B996-'Hybrid Calculator'!$B$7)/1500)^2+((C996-'Hybrid Calculator'!$B$8)/1300)^2+((D996-'Hybrid Calculator'!$B$9)/800)^2+((E996-'Hybrid Calculator'!$B$10)/350)^2+((F996-'Hybrid Calculator'!$B$11)/30)^2+(G996-'Hybrid Calculator'!$B$12)^2+((H996-'Hybrid Calculator'!$E$14)/IF(A996="Lightning",100,30000))^2+((I996-'Hybrid Calculator'!$E$17)/IF(A996="Lightning",100,30000))^2</f>
        <v>1.2836803773058052</v>
      </c>
      <c r="K996" s="2">
        <f t="shared" si="60"/>
        <v>713</v>
      </c>
      <c r="L996" s="2">
        <f t="shared" si="61"/>
        <v>0</v>
      </c>
      <c r="M996" s="2">
        <f t="shared" si="62"/>
        <v>0</v>
      </c>
      <c r="N996" s="2">
        <v>0.11536346933866071</v>
      </c>
      <c r="O996" s="2">
        <f t="shared" si="63"/>
        <v>0</v>
      </c>
      <c r="P996" s="2">
        <v>-17.048684550600228</v>
      </c>
      <c r="Q996" s="2">
        <v>-10.371008488778784</v>
      </c>
    </row>
    <row r="997" spans="1:17" ht="15">
      <c r="A997" s="2" t="s">
        <v>81</v>
      </c>
      <c r="B997" s="2">
        <v>987.38847916247323</v>
      </c>
      <c r="C997" s="2">
        <v>1222.648483957164</v>
      </c>
      <c r="D997" s="2">
        <v>455.35568045452237</v>
      </c>
      <c r="E997" s="2">
        <v>116.52234561741352</v>
      </c>
      <c r="F997" s="2">
        <v>22.639312023762614</v>
      </c>
      <c r="G997" s="2">
        <v>0.85376315548550341</v>
      </c>
      <c r="H997" s="2">
        <v>13905</v>
      </c>
      <c r="I997" s="2">
        <v>1200</v>
      </c>
      <c r="J997" s="2">
        <f>(IF(A997='Hybrid Calculator'!$B$6,0,1))^2+((B997-'Hybrid Calculator'!$B$7)/1500)^2+((C997-'Hybrid Calculator'!$B$8)/1300)^2+((D997-'Hybrid Calculator'!$B$9)/800)^2+((E997-'Hybrid Calculator'!$B$10)/350)^2+((F997-'Hybrid Calculator'!$B$11)/30)^2+(G997-'Hybrid Calculator'!$B$12)^2+((H997-'Hybrid Calculator'!$E$14)/IF(A997="Lightning",100,30000))^2+((I997-'Hybrid Calculator'!$E$17)/IF(A997="Lightning",100,30000))^2</f>
        <v>1.4145475049743044</v>
      </c>
      <c r="K997" s="2">
        <f t="shared" si="60"/>
        <v>1025</v>
      </c>
      <c r="L997" s="2">
        <f t="shared" si="61"/>
        <v>0</v>
      </c>
      <c r="M997" s="2">
        <f t="shared" si="62"/>
        <v>0</v>
      </c>
      <c r="N997" s="2">
        <v>1.6790249966412034</v>
      </c>
      <c r="O997" s="2">
        <f t="shared" si="63"/>
        <v>0</v>
      </c>
      <c r="P997" s="2">
        <v>65.796859853840942</v>
      </c>
      <c r="Q997" s="2">
        <v>-9.0057492671217005</v>
      </c>
    </row>
    <row r="998" spans="1:17" ht="15">
      <c r="A998" s="2" t="s">
        <v>81</v>
      </c>
      <c r="B998" s="2">
        <v>978.44331248197705</v>
      </c>
      <c r="C998" s="2">
        <v>1207.1834546630271</v>
      </c>
      <c r="D998" s="2">
        <v>468.96440461277962</v>
      </c>
      <c r="E998" s="2">
        <v>155.00954758143052</v>
      </c>
      <c r="F998" s="2">
        <v>14.706037699244916</v>
      </c>
      <c r="G998" s="2">
        <v>0.8300744624226355</v>
      </c>
      <c r="H998" s="2">
        <v>13625</v>
      </c>
      <c r="I998" s="2">
        <v>1200</v>
      </c>
      <c r="J998" s="2">
        <f>(IF(A998='Hybrid Calculator'!$B$6,0,1))^2+((B998-'Hybrid Calculator'!$B$7)/1500)^2+((C998-'Hybrid Calculator'!$B$8)/1300)^2+((D998-'Hybrid Calculator'!$B$9)/800)^2+((E998-'Hybrid Calculator'!$B$10)/350)^2+((F998-'Hybrid Calculator'!$B$11)/30)^2+(G998-'Hybrid Calculator'!$B$12)^2+((H998-'Hybrid Calculator'!$E$14)/IF(A998="Lightning",100,30000))^2+((I998-'Hybrid Calculator'!$E$17)/IF(A998="Lightning",100,30000))^2</f>
        <v>1.3882142278397993</v>
      </c>
      <c r="K998" s="2">
        <f t="shared" si="60"/>
        <v>943</v>
      </c>
      <c r="L998" s="2">
        <f t="shared" si="61"/>
        <v>0</v>
      </c>
      <c r="M998" s="2">
        <f t="shared" si="62"/>
        <v>0</v>
      </c>
      <c r="N998" s="2">
        <v>-0.74004402734743735</v>
      </c>
      <c r="O998" s="2">
        <f t="shared" si="63"/>
        <v>0</v>
      </c>
      <c r="P998" s="2">
        <v>41.049099931121873</v>
      </c>
      <c r="Q998" s="2">
        <v>1.164992693420686</v>
      </c>
    </row>
    <row r="999" spans="1:17" ht="15">
      <c r="A999" s="2" t="s">
        <v>81</v>
      </c>
      <c r="B999" s="2">
        <v>964.10515679745004</v>
      </c>
      <c r="C999" s="2">
        <v>1126.6233762726188</v>
      </c>
      <c r="D999" s="2">
        <v>521.59037729725242</v>
      </c>
      <c r="E999" s="2">
        <v>184.49868638534099</v>
      </c>
      <c r="F999" s="2">
        <v>28.677584656979889</v>
      </c>
      <c r="G999" s="2">
        <v>0.8593466290738434</v>
      </c>
      <c r="H999" s="2">
        <v>13615</v>
      </c>
      <c r="I999" s="2">
        <v>1200</v>
      </c>
      <c r="J999" s="2">
        <f>(IF(A999='Hybrid Calculator'!$B$6,0,1))^2+((B999-'Hybrid Calculator'!$B$7)/1500)^2+((C999-'Hybrid Calculator'!$B$8)/1300)^2+((D999-'Hybrid Calculator'!$B$9)/800)^2+((E999-'Hybrid Calculator'!$B$10)/350)^2+((F999-'Hybrid Calculator'!$B$11)/30)^2+(G999-'Hybrid Calculator'!$B$12)^2+((H999-'Hybrid Calculator'!$E$14)/IF(A999="Lightning",100,30000))^2+((I999-'Hybrid Calculator'!$E$17)/IF(A999="Lightning",100,30000))^2</f>
        <v>1.4727623834363079</v>
      </c>
      <c r="K999" s="2">
        <f t="shared" si="60"/>
        <v>1164</v>
      </c>
      <c r="L999" s="2">
        <f t="shared" si="61"/>
        <v>0</v>
      </c>
      <c r="M999" s="2">
        <f t="shared" si="62"/>
        <v>0</v>
      </c>
      <c r="N999" s="2">
        <v>1.3750173278342572</v>
      </c>
      <c r="O999" s="2">
        <f t="shared" si="63"/>
        <v>0</v>
      </c>
      <c r="P999" s="2">
        <v>-8.0959156948324562</v>
      </c>
      <c r="Q999" s="2">
        <v>-16.447226713803616</v>
      </c>
    </row>
    <row r="1000" spans="1:17" ht="15">
      <c r="A1000" s="2" t="s">
        <v>81</v>
      </c>
      <c r="B1000" s="2">
        <v>1079.6504654921591</v>
      </c>
      <c r="C1000" s="2">
        <v>1148.095305764582</v>
      </c>
      <c r="D1000" s="2">
        <v>714.47506044059992</v>
      </c>
      <c r="E1000" s="2">
        <v>295.25442419806495</v>
      </c>
      <c r="F1000" s="2">
        <v>23.792064400389791</v>
      </c>
      <c r="G1000" s="2">
        <v>0.81923949069576341</v>
      </c>
      <c r="H1000" s="2">
        <v>9910</v>
      </c>
      <c r="I1000" s="2">
        <v>1195</v>
      </c>
      <c r="J1000" s="2">
        <f>(IF(A1000='Hybrid Calculator'!$B$6,0,1))^2+((B1000-'Hybrid Calculator'!$B$7)/1500)^2+((C1000-'Hybrid Calculator'!$B$8)/1300)^2+((D1000-'Hybrid Calculator'!$B$9)/800)^2+((E1000-'Hybrid Calculator'!$B$10)/350)^2+((F1000-'Hybrid Calculator'!$B$11)/30)^2+(G1000-'Hybrid Calculator'!$B$12)^2+((H1000-'Hybrid Calculator'!$E$14)/IF(A1000="Lightning",100,30000))^2+((I1000-'Hybrid Calculator'!$E$17)/IF(A1000="Lightning",100,30000))^2</f>
        <v>1.4903584712425617</v>
      </c>
      <c r="K1000" s="2">
        <f t="shared" si="60"/>
        <v>1191</v>
      </c>
      <c r="L1000" s="2">
        <f t="shared" si="61"/>
        <v>0</v>
      </c>
      <c r="M1000" s="2">
        <f t="shared" si="62"/>
        <v>0</v>
      </c>
      <c r="N1000" s="2">
        <v>4.3968995423778665</v>
      </c>
      <c r="O1000" s="2">
        <f t="shared" si="63"/>
        <v>0</v>
      </c>
      <c r="P1000" s="2">
        <v>62.792267677222753</v>
      </c>
      <c r="Q1000" s="2">
        <v>-21.535029581973276</v>
      </c>
    </row>
    <row r="1001" spans="1:17" ht="15">
      <c r="A1001" s="2" t="s">
        <v>81</v>
      </c>
      <c r="B1001" s="2">
        <v>1065.5528735020198</v>
      </c>
      <c r="C1001" s="2">
        <v>739.42996349651366</v>
      </c>
      <c r="D1001" s="2">
        <v>573.65121031180024</v>
      </c>
      <c r="E1001" s="2">
        <v>283.29464902170002</v>
      </c>
      <c r="F1001" s="2">
        <v>15.451825783122331</v>
      </c>
      <c r="G1001" s="2">
        <v>0.79478910441044726</v>
      </c>
      <c r="H1001" s="2">
        <v>13395</v>
      </c>
      <c r="I1001" s="2">
        <v>1200</v>
      </c>
      <c r="J1001" s="2">
        <f>(IF(A1001='Hybrid Calculator'!$B$6,0,1))^2+((B1001-'Hybrid Calculator'!$B$7)/1500)^2+((C1001-'Hybrid Calculator'!$B$8)/1300)^2+((D1001-'Hybrid Calculator'!$B$9)/800)^2+((E1001-'Hybrid Calculator'!$B$10)/350)^2+((F1001-'Hybrid Calculator'!$B$11)/30)^2+(G1001-'Hybrid Calculator'!$B$12)^2+((H1001-'Hybrid Calculator'!$E$14)/IF(A1001="Lightning",100,30000))^2+((I1001-'Hybrid Calculator'!$E$17)/IF(A1001="Lightning",100,30000))^2</f>
        <v>1.4285437298881392</v>
      </c>
      <c r="K1001" s="2">
        <f t="shared" si="60"/>
        <v>1057</v>
      </c>
      <c r="L1001" s="2">
        <f t="shared" si="61"/>
        <v>0</v>
      </c>
      <c r="M1001" s="2">
        <f t="shared" si="62"/>
        <v>0</v>
      </c>
      <c r="N1001" s="2">
        <v>-2.1683280158217713</v>
      </c>
      <c r="O1001" s="2">
        <f t="shared" si="63"/>
        <v>0</v>
      </c>
      <c r="P1001" s="2">
        <v>-21.075827268151897</v>
      </c>
      <c r="Q1001" s="2">
        <v>8.9693697776892805</v>
      </c>
    </row>
    <row r="1002" spans="1:17" ht="15">
      <c r="A1002" s="2" t="s">
        <v>81</v>
      </c>
      <c r="B1002" s="2">
        <v>971.98287413921207</v>
      </c>
      <c r="C1002" s="2">
        <v>942.27599423611537</v>
      </c>
      <c r="D1002" s="2">
        <v>444.00003217160702</v>
      </c>
      <c r="E1002" s="2">
        <v>266.23602081788704</v>
      </c>
      <c r="F1002" s="2">
        <v>14.298062023706734</v>
      </c>
      <c r="G1002" s="2">
        <v>0.7928111549909227</v>
      </c>
      <c r="H1002" s="2">
        <v>12940</v>
      </c>
      <c r="I1002" s="2">
        <v>1200</v>
      </c>
      <c r="J1002" s="2">
        <f>(IF(A1002='Hybrid Calculator'!$B$6,0,1))^2+((B1002-'Hybrid Calculator'!$B$7)/1500)^2+((C1002-'Hybrid Calculator'!$B$8)/1300)^2+((D1002-'Hybrid Calculator'!$B$9)/800)^2+((E1002-'Hybrid Calculator'!$B$10)/350)^2+((F1002-'Hybrid Calculator'!$B$11)/30)^2+(G1002-'Hybrid Calculator'!$B$12)^2+((H1002-'Hybrid Calculator'!$E$14)/IF(A1002="Lightning",100,30000))^2+((I1002-'Hybrid Calculator'!$E$17)/IF(A1002="Lightning",100,30000))^2</f>
        <v>1.4179464133826771</v>
      </c>
      <c r="K1002" s="2">
        <f t="shared" si="60"/>
        <v>1034</v>
      </c>
      <c r="L1002" s="2">
        <f t="shared" si="61"/>
        <v>0</v>
      </c>
      <c r="M1002" s="2">
        <f t="shared" si="62"/>
        <v>0</v>
      </c>
      <c r="N1002" s="2">
        <v>1.2551736309021351</v>
      </c>
      <c r="O1002" s="2">
        <f t="shared" si="63"/>
        <v>0</v>
      </c>
      <c r="P1002" s="2">
        <v>-27.474360027857529</v>
      </c>
      <c r="Q1002" s="2">
        <v>1.8352194644758129</v>
      </c>
    </row>
    <row r="1003" spans="1:17" ht="15">
      <c r="A1003" s="2" t="s">
        <v>81</v>
      </c>
      <c r="B1003" s="2">
        <v>970.42375406017527</v>
      </c>
      <c r="C1003" s="2">
        <v>750.09457306005061</v>
      </c>
      <c r="D1003" s="2">
        <v>579.33351574465632</v>
      </c>
      <c r="E1003" s="2">
        <v>245.45128950383514</v>
      </c>
      <c r="F1003" s="2">
        <v>18.267696067225188</v>
      </c>
      <c r="G1003" s="2">
        <v>0.82178570630028847</v>
      </c>
      <c r="H1003" s="2">
        <v>15845</v>
      </c>
      <c r="I1003" s="2">
        <v>1200</v>
      </c>
      <c r="J1003" s="2">
        <f>(IF(A1003='Hybrid Calculator'!$B$6,0,1))^2+((B1003-'Hybrid Calculator'!$B$7)/1500)^2+((C1003-'Hybrid Calculator'!$B$8)/1300)^2+((D1003-'Hybrid Calculator'!$B$9)/800)^2+((E1003-'Hybrid Calculator'!$B$10)/350)^2+((F1003-'Hybrid Calculator'!$B$11)/30)^2+(G1003-'Hybrid Calculator'!$B$12)^2+((H1003-'Hybrid Calculator'!$E$14)/IF(A1003="Lightning",100,30000))^2+((I1003-'Hybrid Calculator'!$E$17)/IF(A1003="Lightning",100,30000))^2</f>
        <v>1.4607543708546056</v>
      </c>
      <c r="K1003" s="2">
        <f t="shared" si="60"/>
        <v>1134</v>
      </c>
      <c r="L1003" s="2">
        <f t="shared" si="61"/>
        <v>0</v>
      </c>
      <c r="M1003" s="2">
        <f t="shared" si="62"/>
        <v>0</v>
      </c>
      <c r="N1003" s="2">
        <v>-1.336423878603</v>
      </c>
      <c r="O1003" s="2">
        <f t="shared" si="63"/>
        <v>0</v>
      </c>
      <c r="P1003" s="2">
        <v>-14.573068807839718</v>
      </c>
      <c r="Q1003" s="2">
        <v>5.9745591854558597</v>
      </c>
    </row>
    <row r="1004" spans="1:17" ht="15">
      <c r="A1004" s="2" t="s">
        <v>81</v>
      </c>
      <c r="B1004" s="2">
        <v>1039.6527506876737</v>
      </c>
      <c r="C1004" s="2">
        <v>1164.4105825456791</v>
      </c>
      <c r="D1004" s="2">
        <v>428.9883254095912</v>
      </c>
      <c r="E1004" s="2">
        <v>165.48724307911471</v>
      </c>
      <c r="F1004" s="2">
        <v>26.68268658220768</v>
      </c>
      <c r="G1004" s="2">
        <v>0.82842600567499181</v>
      </c>
      <c r="H1004" s="2">
        <v>12160</v>
      </c>
      <c r="I1004" s="2">
        <v>1200</v>
      </c>
      <c r="J1004" s="2">
        <f>(IF(A1004='Hybrid Calculator'!$B$6,0,1))^2+((B1004-'Hybrid Calculator'!$B$7)/1500)^2+((C1004-'Hybrid Calculator'!$B$8)/1300)^2+((D1004-'Hybrid Calculator'!$B$9)/800)^2+((E1004-'Hybrid Calculator'!$B$10)/350)^2+((F1004-'Hybrid Calculator'!$B$11)/30)^2+(G1004-'Hybrid Calculator'!$B$12)^2+((H1004-'Hybrid Calculator'!$E$14)/IF(A1004="Lightning",100,30000))^2+((I1004-'Hybrid Calculator'!$E$17)/IF(A1004="Lightning",100,30000))^2</f>
        <v>1.3732750763573203</v>
      </c>
      <c r="K1004" s="2">
        <f t="shared" si="60"/>
        <v>900</v>
      </c>
      <c r="L1004" s="2">
        <f t="shared" si="61"/>
        <v>0</v>
      </c>
      <c r="M1004" s="2">
        <f t="shared" si="62"/>
        <v>0</v>
      </c>
      <c r="N1004" s="2">
        <v>-0.71772596375751618</v>
      </c>
      <c r="O1004" s="2">
        <f t="shared" si="63"/>
        <v>0</v>
      </c>
      <c r="P1004" s="2">
        <v>51.890789736171882</v>
      </c>
      <c r="Q1004" s="2">
        <v>-14.094961557738543</v>
      </c>
    </row>
    <row r="1005" spans="1:17" ht="15">
      <c r="A1005" s="2" t="s">
        <v>81</v>
      </c>
      <c r="B1005" s="2">
        <v>983.19292563246563</v>
      </c>
      <c r="C1005" s="2">
        <v>989.77716171648353</v>
      </c>
      <c r="D1005" s="2">
        <v>586.03096129372716</v>
      </c>
      <c r="E1005" s="2">
        <v>286.42164396122098</v>
      </c>
      <c r="F1005" s="2">
        <v>12.041975921485573</v>
      </c>
      <c r="G1005" s="2">
        <v>0.79370429237838835</v>
      </c>
      <c r="H1005" s="2">
        <v>11485</v>
      </c>
      <c r="I1005" s="2">
        <v>1195</v>
      </c>
      <c r="J1005" s="2">
        <f>(IF(A1005='Hybrid Calculator'!$B$6,0,1))^2+((B1005-'Hybrid Calculator'!$B$7)/1500)^2+((C1005-'Hybrid Calculator'!$B$8)/1300)^2+((D1005-'Hybrid Calculator'!$B$9)/800)^2+((E1005-'Hybrid Calculator'!$B$10)/350)^2+((F1005-'Hybrid Calculator'!$B$11)/30)^2+(G1005-'Hybrid Calculator'!$B$12)^2+((H1005-'Hybrid Calculator'!$E$14)/IF(A1005="Lightning",100,30000))^2+((I1005-'Hybrid Calculator'!$E$17)/IF(A1005="Lightning",100,30000))^2</f>
        <v>1.4556439810009276</v>
      </c>
      <c r="K1005" s="2">
        <f t="shared" si="60"/>
        <v>1117</v>
      </c>
      <c r="L1005" s="2">
        <f t="shared" si="61"/>
        <v>0</v>
      </c>
      <c r="M1005" s="2">
        <f t="shared" si="62"/>
        <v>0</v>
      </c>
      <c r="N1005" s="2">
        <v>1.75967324737951</v>
      </c>
      <c r="O1005" s="2">
        <f t="shared" si="63"/>
        <v>0</v>
      </c>
      <c r="P1005" s="2">
        <v>-24.195058043238078</v>
      </c>
      <c r="Q1005" s="2">
        <v>-2.4135597640887454</v>
      </c>
    </row>
    <row r="1006" spans="1:17" ht="15">
      <c r="A1006" s="2" t="s">
        <v>81</v>
      </c>
      <c r="B1006" s="2">
        <v>1070.6086960854009</v>
      </c>
      <c r="C1006" s="2">
        <v>1142.8009072435088</v>
      </c>
      <c r="D1006" s="2">
        <v>739.89149779081345</v>
      </c>
      <c r="E1006" s="2">
        <v>229.86715180566534</v>
      </c>
      <c r="F1006" s="2">
        <v>23.829116011969745</v>
      </c>
      <c r="G1006" s="2">
        <v>0.84257419790839783</v>
      </c>
      <c r="H1006" s="2">
        <v>10125</v>
      </c>
      <c r="I1006" s="2">
        <v>1195</v>
      </c>
      <c r="J1006" s="2">
        <f>(IF(A1006='Hybrid Calculator'!$B$6,0,1))^2+((B1006-'Hybrid Calculator'!$B$7)/1500)^2+((C1006-'Hybrid Calculator'!$B$8)/1300)^2+((D1006-'Hybrid Calculator'!$B$9)/800)^2+((E1006-'Hybrid Calculator'!$B$10)/350)^2+((F1006-'Hybrid Calculator'!$B$11)/30)^2+(G1006-'Hybrid Calculator'!$B$12)^2+((H1006-'Hybrid Calculator'!$E$14)/IF(A1006="Lightning",100,30000))^2+((I1006-'Hybrid Calculator'!$E$17)/IF(A1006="Lightning",100,30000))^2</f>
        <v>1.3949081770413256</v>
      </c>
      <c r="K1006" s="2">
        <f t="shared" si="60"/>
        <v>960</v>
      </c>
      <c r="L1006" s="2">
        <f t="shared" si="61"/>
        <v>0</v>
      </c>
      <c r="M1006" s="2">
        <f t="shared" si="62"/>
        <v>0</v>
      </c>
      <c r="N1006" s="2">
        <v>0.26298929515678537</v>
      </c>
      <c r="O1006" s="2">
        <f t="shared" si="63"/>
        <v>0</v>
      </c>
      <c r="P1006" s="2">
        <v>4.5855786820170579</v>
      </c>
      <c r="Q1006" s="2">
        <v>-17.036889469216931</v>
      </c>
    </row>
    <row r="1007" spans="1:17" ht="15">
      <c r="A1007" s="2" t="s">
        <v>81</v>
      </c>
      <c r="B1007" s="2">
        <v>1068.9916218514554</v>
      </c>
      <c r="C1007" s="2">
        <v>880.68078896030784</v>
      </c>
      <c r="D1007" s="2">
        <v>653.80820846185088</v>
      </c>
      <c r="E1007" s="2">
        <v>112.88571967277676</v>
      </c>
      <c r="F1007" s="2">
        <v>22.216868331190199</v>
      </c>
      <c r="G1007" s="2">
        <v>0.84075785835273564</v>
      </c>
      <c r="H1007" s="2">
        <v>12980</v>
      </c>
      <c r="I1007" s="2">
        <v>1200</v>
      </c>
      <c r="J1007" s="2">
        <f>(IF(A1007='Hybrid Calculator'!$B$6,0,1))^2+((B1007-'Hybrid Calculator'!$B$7)/1500)^2+((C1007-'Hybrid Calculator'!$B$8)/1300)^2+((D1007-'Hybrid Calculator'!$B$9)/800)^2+((E1007-'Hybrid Calculator'!$B$10)/350)^2+((F1007-'Hybrid Calculator'!$B$11)/30)^2+(G1007-'Hybrid Calculator'!$B$12)^2+((H1007-'Hybrid Calculator'!$E$14)/IF(A1007="Lightning",100,30000))^2+((I1007-'Hybrid Calculator'!$E$17)/IF(A1007="Lightning",100,30000))^2</f>
        <v>1.3081714491628069</v>
      </c>
      <c r="K1007" s="2">
        <f t="shared" si="60"/>
        <v>745</v>
      </c>
      <c r="L1007" s="2">
        <f t="shared" si="61"/>
        <v>0</v>
      </c>
      <c r="M1007" s="2">
        <f t="shared" si="62"/>
        <v>0</v>
      </c>
      <c r="N1007" s="2">
        <v>0.80411570368659113</v>
      </c>
      <c r="O1007" s="2">
        <f t="shared" si="63"/>
        <v>0</v>
      </c>
      <c r="P1007" s="2">
        <v>-15.744023369162733</v>
      </c>
      <c r="Q1007" s="2">
        <v>-7.2645937839970429</v>
      </c>
    </row>
    <row r="1008" spans="1:17" ht="15">
      <c r="A1008" s="2" t="s">
        <v>81</v>
      </c>
      <c r="B1008" s="2">
        <v>993.90399754047394</v>
      </c>
      <c r="C1008" s="2">
        <v>976.63709766929969</v>
      </c>
      <c r="D1008" s="2">
        <v>515.19518364220858</v>
      </c>
      <c r="E1008" s="2">
        <v>84.674522730056196</v>
      </c>
      <c r="F1008" s="2">
        <v>22.868853120133281</v>
      </c>
      <c r="G1008" s="2">
        <v>0.79296954398276287</v>
      </c>
      <c r="H1008" s="2">
        <v>13565</v>
      </c>
      <c r="I1008" s="2">
        <v>1200</v>
      </c>
      <c r="J1008" s="2">
        <f>(IF(A1008='Hybrid Calculator'!$B$6,0,1))^2+((B1008-'Hybrid Calculator'!$B$7)/1500)^2+((C1008-'Hybrid Calculator'!$B$8)/1300)^2+((D1008-'Hybrid Calculator'!$B$9)/800)^2+((E1008-'Hybrid Calculator'!$B$10)/350)^2+((F1008-'Hybrid Calculator'!$B$11)/30)^2+(G1008-'Hybrid Calculator'!$B$12)^2+((H1008-'Hybrid Calculator'!$E$14)/IF(A1008="Lightning",100,30000))^2+((I1008-'Hybrid Calculator'!$E$17)/IF(A1008="Lightning",100,30000))^2</f>
        <v>1.3537059518408383</v>
      </c>
      <c r="K1008" s="2">
        <f t="shared" si="60"/>
        <v>840</v>
      </c>
      <c r="L1008" s="2">
        <f t="shared" si="61"/>
        <v>0</v>
      </c>
      <c r="M1008" s="2">
        <f t="shared" si="62"/>
        <v>0</v>
      </c>
      <c r="N1008" s="2">
        <v>0.80311495020237089</v>
      </c>
      <c r="O1008" s="2">
        <f t="shared" si="63"/>
        <v>0</v>
      </c>
      <c r="P1008" s="2">
        <v>5.599274529937702</v>
      </c>
      <c r="Q1008" s="2">
        <v>-4.585905982901636</v>
      </c>
    </row>
    <row r="1009" spans="1:17" ht="15">
      <c r="A1009" s="2" t="s">
        <v>81</v>
      </c>
      <c r="B1009" s="2">
        <v>1009.6556714386679</v>
      </c>
      <c r="C1009" s="2">
        <v>781.61712682340294</v>
      </c>
      <c r="D1009" s="2">
        <v>658.59686592593789</v>
      </c>
      <c r="E1009" s="2">
        <v>137.92660056613386</v>
      </c>
      <c r="F1009" s="2">
        <v>15.376541670877486</v>
      </c>
      <c r="G1009" s="2">
        <v>0.79387613147962843</v>
      </c>
      <c r="H1009" s="2">
        <v>13550</v>
      </c>
      <c r="I1009" s="2">
        <v>1200</v>
      </c>
      <c r="J1009" s="2">
        <f>(IF(A1009='Hybrid Calculator'!$B$6,0,1))^2+((B1009-'Hybrid Calculator'!$B$7)/1500)^2+((C1009-'Hybrid Calculator'!$B$8)/1300)^2+((D1009-'Hybrid Calculator'!$B$9)/800)^2+((E1009-'Hybrid Calculator'!$B$10)/350)^2+((F1009-'Hybrid Calculator'!$B$11)/30)^2+(G1009-'Hybrid Calculator'!$B$12)^2+((H1009-'Hybrid Calculator'!$E$14)/IF(A1009="Lightning",100,30000))^2+((I1009-'Hybrid Calculator'!$E$17)/IF(A1009="Lightning",100,30000))^2</f>
        <v>1.3354864276227016</v>
      </c>
      <c r="K1009" s="2">
        <f t="shared" si="60"/>
        <v>788</v>
      </c>
      <c r="L1009" s="2">
        <f t="shared" si="61"/>
        <v>0</v>
      </c>
      <c r="M1009" s="2">
        <f t="shared" si="62"/>
        <v>0</v>
      </c>
      <c r="N1009" s="2">
        <v>0.63988085771731562</v>
      </c>
      <c r="O1009" s="2">
        <f t="shared" si="63"/>
        <v>0</v>
      </c>
      <c r="P1009" s="2">
        <v>-49.350185585066811</v>
      </c>
      <c r="Q1009" s="2">
        <v>4.8845956692244954</v>
      </c>
    </row>
    <row r="1010" spans="1:17" ht="15">
      <c r="A1010" s="2" t="s">
        <v>81</v>
      </c>
      <c r="B1010" s="2">
        <v>978.50640928372741</v>
      </c>
      <c r="C1010" s="2">
        <v>670.73383325478062</v>
      </c>
      <c r="D1010" s="2">
        <v>742.14928988367319</v>
      </c>
      <c r="E1010" s="2">
        <v>324.48175641009584</v>
      </c>
      <c r="F1010" s="2">
        <v>12.805284703150392</v>
      </c>
      <c r="G1010" s="2">
        <v>0.80181729438947513</v>
      </c>
      <c r="H1010" s="2">
        <v>12310</v>
      </c>
      <c r="I1010" s="2">
        <v>1200</v>
      </c>
      <c r="J1010" s="2">
        <f>(IF(A1010='Hybrid Calculator'!$B$6,0,1))^2+((B1010-'Hybrid Calculator'!$B$7)/1500)^2+((C1010-'Hybrid Calculator'!$B$8)/1300)^2+((D1010-'Hybrid Calculator'!$B$9)/800)^2+((E1010-'Hybrid Calculator'!$B$10)/350)^2+((F1010-'Hybrid Calculator'!$B$11)/30)^2+(G1010-'Hybrid Calculator'!$B$12)^2+((H1010-'Hybrid Calculator'!$E$14)/IF(A1010="Lightning",100,30000))^2+((I1010-'Hybrid Calculator'!$E$17)/IF(A1010="Lightning",100,30000))^2</f>
        <v>1.6526653537097682</v>
      </c>
      <c r="K1010" s="2">
        <f t="shared" si="60"/>
        <v>1381</v>
      </c>
      <c r="L1010" s="2">
        <f t="shared" si="61"/>
        <v>0</v>
      </c>
      <c r="M1010" s="2">
        <f t="shared" si="62"/>
        <v>0</v>
      </c>
      <c r="N1010" s="2">
        <v>4.0159974966532843</v>
      </c>
      <c r="O1010" s="2">
        <f t="shared" si="63"/>
        <v>0</v>
      </c>
      <c r="P1010" s="2">
        <v>-57.395798256259695</v>
      </c>
      <c r="Q1010" s="2">
        <v>4.7140673567031399</v>
      </c>
    </row>
    <row r="1011" spans="1:17" ht="15">
      <c r="A1011" s="2" t="s">
        <v>81</v>
      </c>
      <c r="B1011" s="2">
        <v>1003.9310933672823</v>
      </c>
      <c r="C1011" s="2">
        <v>983.92194316256791</v>
      </c>
      <c r="D1011" s="2">
        <v>550.54575735703111</v>
      </c>
      <c r="E1011" s="2">
        <v>280.74493833817542</v>
      </c>
      <c r="F1011" s="2">
        <v>10.420382328797132</v>
      </c>
      <c r="G1011" s="2">
        <v>0.85392061597201974</v>
      </c>
      <c r="H1011" s="2">
        <v>13745</v>
      </c>
      <c r="I1011" s="2">
        <v>1200</v>
      </c>
      <c r="J1011" s="2">
        <f>(IF(A1011='Hybrid Calculator'!$B$6,0,1))^2+((B1011-'Hybrid Calculator'!$B$7)/1500)^2+((C1011-'Hybrid Calculator'!$B$8)/1300)^2+((D1011-'Hybrid Calculator'!$B$9)/800)^2+((E1011-'Hybrid Calculator'!$B$10)/350)^2+((F1011-'Hybrid Calculator'!$B$11)/30)^2+(G1011-'Hybrid Calculator'!$B$12)^2+((H1011-'Hybrid Calculator'!$E$14)/IF(A1011="Lightning",100,30000))^2+((I1011-'Hybrid Calculator'!$E$17)/IF(A1011="Lightning",100,30000))^2</f>
        <v>1.5165593066949972</v>
      </c>
      <c r="K1011" s="2">
        <f t="shared" si="60"/>
        <v>1241</v>
      </c>
      <c r="L1011" s="2">
        <f t="shared" si="61"/>
        <v>0</v>
      </c>
      <c r="M1011" s="2">
        <f t="shared" si="62"/>
        <v>0</v>
      </c>
      <c r="N1011" s="2">
        <v>5.5972740271534178</v>
      </c>
      <c r="O1011" s="2">
        <f t="shared" si="63"/>
        <v>0</v>
      </c>
      <c r="P1011" s="2">
        <v>37.608447442140005</v>
      </c>
      <c r="Q1011" s="2">
        <v>1.1793861798144007</v>
      </c>
    </row>
    <row r="1012" spans="1:17" ht="15">
      <c r="A1012" s="2" t="s">
        <v>81</v>
      </c>
      <c r="B1012" s="2">
        <v>1044.3203463917598</v>
      </c>
      <c r="C1012" s="2">
        <v>859.94773969287053</v>
      </c>
      <c r="D1012" s="2">
        <v>512.98858933150768</v>
      </c>
      <c r="E1012" s="2">
        <v>252.55263560218737</v>
      </c>
      <c r="F1012" s="2">
        <v>28.661759723909199</v>
      </c>
      <c r="G1012" s="2">
        <v>0.83708433978958063</v>
      </c>
      <c r="H1012" s="2">
        <v>13155</v>
      </c>
      <c r="I1012" s="2">
        <v>1200</v>
      </c>
      <c r="J1012" s="2">
        <f>(IF(A1012='Hybrid Calculator'!$B$6,0,1))^2+((B1012-'Hybrid Calculator'!$B$7)/1500)^2+((C1012-'Hybrid Calculator'!$B$8)/1300)^2+((D1012-'Hybrid Calculator'!$B$9)/800)^2+((E1012-'Hybrid Calculator'!$B$10)/350)^2+((F1012-'Hybrid Calculator'!$B$11)/30)^2+(G1012-'Hybrid Calculator'!$B$12)^2+((H1012-'Hybrid Calculator'!$E$14)/IF(A1012="Lightning",100,30000))^2+((I1012-'Hybrid Calculator'!$E$17)/IF(A1012="Lightning",100,30000))^2</f>
        <v>1.4579672304284841</v>
      </c>
      <c r="K1012" s="2">
        <f t="shared" si="60"/>
        <v>1125</v>
      </c>
      <c r="L1012" s="2">
        <f t="shared" si="61"/>
        <v>0</v>
      </c>
      <c r="M1012" s="2">
        <f t="shared" si="62"/>
        <v>0</v>
      </c>
      <c r="N1012" s="2">
        <v>-2.0260227988014208</v>
      </c>
      <c r="O1012" s="2">
        <f t="shared" si="63"/>
        <v>0</v>
      </c>
      <c r="P1012" s="2">
        <v>-8.9653381031744175</v>
      </c>
      <c r="Q1012" s="2">
        <v>-9.0274565972165419</v>
      </c>
    </row>
    <row r="1013" spans="1:17" ht="15">
      <c r="A1013" s="2" t="s">
        <v>81</v>
      </c>
      <c r="B1013" s="2">
        <v>1052.19045834383</v>
      </c>
      <c r="C1013" s="2">
        <v>1068.3681577909738</v>
      </c>
      <c r="D1013" s="2">
        <v>356.94843260571361</v>
      </c>
      <c r="E1013" s="2">
        <v>288.88138411100954</v>
      </c>
      <c r="F1013" s="2">
        <v>16.351584679912776</v>
      </c>
      <c r="G1013" s="2">
        <v>0.79217263204976918</v>
      </c>
      <c r="H1013" s="2">
        <v>12475</v>
      </c>
      <c r="I1013" s="2">
        <v>1200</v>
      </c>
      <c r="J1013" s="2">
        <f>(IF(A1013='Hybrid Calculator'!$B$6,0,1))^2+((B1013-'Hybrid Calculator'!$B$7)/1500)^2+((C1013-'Hybrid Calculator'!$B$8)/1300)^2+((D1013-'Hybrid Calculator'!$B$9)/800)^2+((E1013-'Hybrid Calculator'!$B$10)/350)^2+((F1013-'Hybrid Calculator'!$B$11)/30)^2+(G1013-'Hybrid Calculator'!$B$12)^2+((H1013-'Hybrid Calculator'!$E$14)/IF(A1013="Lightning",100,30000))^2+((I1013-'Hybrid Calculator'!$E$17)/IF(A1013="Lightning",100,30000))^2</f>
        <v>1.4583867001629522</v>
      </c>
      <c r="K1013" s="2">
        <f t="shared" si="60"/>
        <v>1127</v>
      </c>
      <c r="L1013" s="2">
        <f t="shared" si="61"/>
        <v>0</v>
      </c>
      <c r="M1013" s="2">
        <f t="shared" si="62"/>
        <v>0</v>
      </c>
      <c r="N1013" s="2">
        <v>-1.1885533728378732</v>
      </c>
      <c r="O1013" s="2">
        <f t="shared" si="63"/>
        <v>0</v>
      </c>
      <c r="P1013" s="2">
        <v>-6.3182786676647993</v>
      </c>
      <c r="Q1013" s="2">
        <v>3.9434649291692949</v>
      </c>
    </row>
    <row r="1014" spans="1:17" ht="15">
      <c r="A1014" s="2" t="s">
        <v>81</v>
      </c>
      <c r="B1014" s="2">
        <v>964.00224179960787</v>
      </c>
      <c r="C1014" s="2">
        <v>1106.7473156261258</v>
      </c>
      <c r="D1014" s="2">
        <v>613.99185191839933</v>
      </c>
      <c r="E1014" s="2">
        <v>287.33853924321011</v>
      </c>
      <c r="F1014" s="2">
        <v>29.212470181286335</v>
      </c>
      <c r="G1014" s="2">
        <v>0.82857000330695885</v>
      </c>
      <c r="H1014" s="2">
        <v>12425</v>
      </c>
      <c r="I1014" s="2">
        <v>1200</v>
      </c>
      <c r="J1014" s="2">
        <f>(IF(A1014='Hybrid Calculator'!$B$6,0,1))^2+((B1014-'Hybrid Calculator'!$B$7)/1500)^2+((C1014-'Hybrid Calculator'!$B$8)/1300)^2+((D1014-'Hybrid Calculator'!$B$9)/800)^2+((E1014-'Hybrid Calculator'!$B$10)/350)^2+((F1014-'Hybrid Calculator'!$B$11)/30)^2+(G1014-'Hybrid Calculator'!$B$12)^2+((H1014-'Hybrid Calculator'!$E$14)/IF(A1014="Lightning",100,30000))^2+((I1014-'Hybrid Calculator'!$E$17)/IF(A1014="Lightning",100,30000))^2</f>
        <v>1.6070076452697863</v>
      </c>
      <c r="K1014" s="2">
        <f t="shared" si="60"/>
        <v>1357</v>
      </c>
      <c r="L1014" s="2">
        <f t="shared" si="61"/>
        <v>0</v>
      </c>
      <c r="M1014" s="2">
        <f t="shared" si="62"/>
        <v>0</v>
      </c>
      <c r="N1014" s="2">
        <v>1.0508352585802356</v>
      </c>
      <c r="O1014" s="2">
        <f t="shared" si="63"/>
        <v>0</v>
      </c>
      <c r="P1014" s="2">
        <v>-11.075894825222804</v>
      </c>
      <c r="Q1014" s="2">
        <v>-13.625215022669863</v>
      </c>
    </row>
    <row r="1015" spans="1:17" ht="15">
      <c r="A1015" s="2" t="s">
        <v>81</v>
      </c>
      <c r="B1015" s="2">
        <v>1071.445340954233</v>
      </c>
      <c r="C1015" s="2">
        <v>1213.4355090325698</v>
      </c>
      <c r="D1015" s="2">
        <v>592.53330500796437</v>
      </c>
      <c r="E1015" s="2">
        <v>107.4659818969667</v>
      </c>
      <c r="F1015" s="2">
        <v>18.782995669636875</v>
      </c>
      <c r="G1015" s="2">
        <v>0.79973794729914516</v>
      </c>
      <c r="H1015" s="2">
        <v>11175</v>
      </c>
      <c r="I1015" s="2">
        <v>1195</v>
      </c>
      <c r="J1015" s="2">
        <f>(IF(A1015='Hybrid Calculator'!$B$6,0,1))^2+((B1015-'Hybrid Calculator'!$B$7)/1500)^2+((C1015-'Hybrid Calculator'!$B$8)/1300)^2+((D1015-'Hybrid Calculator'!$B$9)/800)^2+((E1015-'Hybrid Calculator'!$B$10)/350)^2+((F1015-'Hybrid Calculator'!$B$11)/30)^2+(G1015-'Hybrid Calculator'!$B$12)^2+((H1015-'Hybrid Calculator'!$E$14)/IF(A1015="Lightning",100,30000))^2+((I1015-'Hybrid Calculator'!$E$17)/IF(A1015="Lightning",100,30000))^2</f>
        <v>1.3013981557392054</v>
      </c>
      <c r="K1015" s="2">
        <f t="shared" si="60"/>
        <v>733</v>
      </c>
      <c r="L1015" s="2">
        <f t="shared" si="61"/>
        <v>0</v>
      </c>
      <c r="M1015" s="2">
        <f t="shared" si="62"/>
        <v>0</v>
      </c>
      <c r="N1015" s="2">
        <v>-0.25117495138670165</v>
      </c>
      <c r="O1015" s="2">
        <f t="shared" si="63"/>
        <v>0</v>
      </c>
      <c r="P1015" s="2">
        <v>6.3168649187177834</v>
      </c>
      <c r="Q1015" s="2">
        <v>-2.6509798158399462</v>
      </c>
    </row>
    <row r="1016" spans="1:17" ht="15">
      <c r="A1016" s="2" t="s">
        <v>81</v>
      </c>
      <c r="B1016" s="2">
        <v>1076.2822325574234</v>
      </c>
      <c r="C1016" s="2">
        <v>680.4173115757294</v>
      </c>
      <c r="D1016" s="2">
        <v>552.45832204818726</v>
      </c>
      <c r="E1016" s="2">
        <v>225.58403001865372</v>
      </c>
      <c r="F1016" s="2">
        <v>13.859373765997589</v>
      </c>
      <c r="G1016" s="2">
        <v>0.84508154444163663</v>
      </c>
      <c r="H1016" s="2">
        <v>14665</v>
      </c>
      <c r="I1016" s="2">
        <v>1200</v>
      </c>
      <c r="J1016" s="2">
        <f>(IF(A1016='Hybrid Calculator'!$B$6,0,1))^2+((B1016-'Hybrid Calculator'!$B$7)/1500)^2+((C1016-'Hybrid Calculator'!$B$8)/1300)^2+((D1016-'Hybrid Calculator'!$B$9)/800)^2+((E1016-'Hybrid Calculator'!$B$10)/350)^2+((F1016-'Hybrid Calculator'!$B$11)/30)^2+(G1016-'Hybrid Calculator'!$B$12)^2+((H1016-'Hybrid Calculator'!$E$14)/IF(A1016="Lightning",100,30000))^2+((I1016-'Hybrid Calculator'!$E$17)/IF(A1016="Lightning",100,30000))^2</f>
        <v>1.385421801211314</v>
      </c>
      <c r="K1016" s="2">
        <f t="shared" si="60"/>
        <v>936</v>
      </c>
      <c r="L1016" s="2">
        <f t="shared" si="61"/>
        <v>0</v>
      </c>
      <c r="M1016" s="2">
        <f t="shared" si="62"/>
        <v>0</v>
      </c>
      <c r="N1016" s="2">
        <v>-0.56774768942088372</v>
      </c>
      <c r="O1016" s="2">
        <f t="shared" si="63"/>
        <v>0</v>
      </c>
      <c r="P1016" s="2">
        <v>-18.119213549450706</v>
      </c>
      <c r="Q1016" s="2">
        <v>3.6890962533250331</v>
      </c>
    </row>
    <row r="1017" spans="1:17" ht="15">
      <c r="A1017" s="2" t="s">
        <v>81</v>
      </c>
      <c r="B1017" s="2">
        <v>971.13916584057733</v>
      </c>
      <c r="C1017" s="2">
        <v>623.53425929322839</v>
      </c>
      <c r="D1017" s="2">
        <v>729.31953435763717</v>
      </c>
      <c r="E1017" s="2">
        <v>168.97114696446806</v>
      </c>
      <c r="F1017" s="2">
        <v>8.6527861482463777</v>
      </c>
      <c r="G1017" s="2">
        <v>0.80290833474136891</v>
      </c>
      <c r="H1017" s="2">
        <v>14055</v>
      </c>
      <c r="I1017" s="2">
        <v>1200</v>
      </c>
      <c r="J1017" s="2">
        <f>(IF(A1017='Hybrid Calculator'!$B$6,0,1))^2+((B1017-'Hybrid Calculator'!$B$7)/1500)^2+((C1017-'Hybrid Calculator'!$B$8)/1300)^2+((D1017-'Hybrid Calculator'!$B$9)/800)^2+((E1017-'Hybrid Calculator'!$B$10)/350)^2+((F1017-'Hybrid Calculator'!$B$11)/30)^2+(G1017-'Hybrid Calculator'!$B$12)^2+((H1017-'Hybrid Calculator'!$E$14)/IF(A1017="Lightning",100,30000))^2+((I1017-'Hybrid Calculator'!$E$17)/IF(A1017="Lightning",100,30000))^2</f>
        <v>1.5345053357746543</v>
      </c>
      <c r="K1017" s="2">
        <f t="shared" si="60"/>
        <v>1274</v>
      </c>
      <c r="L1017" s="2">
        <f t="shared" si="61"/>
        <v>0</v>
      </c>
      <c r="M1017" s="2">
        <f t="shared" si="62"/>
        <v>0</v>
      </c>
      <c r="N1017" s="2">
        <v>1.7001321411887318</v>
      </c>
      <c r="O1017" s="2">
        <f t="shared" si="63"/>
        <v>0</v>
      </c>
      <c r="P1017" s="2">
        <v>0.29702889519012388</v>
      </c>
      <c r="Q1017" s="2">
        <v>10.866713816771835</v>
      </c>
    </row>
    <row r="1018" spans="1:17" ht="15">
      <c r="A1018" s="2" t="s">
        <v>81</v>
      </c>
      <c r="B1018" s="2">
        <v>1020.3876895830035</v>
      </c>
      <c r="C1018" s="2">
        <v>1052.4578277370892</v>
      </c>
      <c r="D1018" s="2">
        <v>638.71277589350939</v>
      </c>
      <c r="E1018" s="2">
        <v>159.82583303237334</v>
      </c>
      <c r="F1018" s="2">
        <v>21.529577990993857</v>
      </c>
      <c r="G1018" s="2">
        <v>0.80272394598694519</v>
      </c>
      <c r="H1018" s="2">
        <v>11555</v>
      </c>
      <c r="I1018" s="2">
        <v>1195</v>
      </c>
      <c r="J1018" s="2">
        <f>(IF(A1018='Hybrid Calculator'!$B$6,0,1))^2+((B1018-'Hybrid Calculator'!$B$7)/1500)^2+((C1018-'Hybrid Calculator'!$B$8)/1300)^2+((D1018-'Hybrid Calculator'!$B$9)/800)^2+((E1018-'Hybrid Calculator'!$B$10)/350)^2+((F1018-'Hybrid Calculator'!$B$11)/30)^2+(G1018-'Hybrid Calculator'!$B$12)^2+((H1018-'Hybrid Calculator'!$E$14)/IF(A1018="Lightning",100,30000))^2+((I1018-'Hybrid Calculator'!$E$17)/IF(A1018="Lightning",100,30000))^2</f>
        <v>1.2869568843647652</v>
      </c>
      <c r="K1018" s="2">
        <f t="shared" si="60"/>
        <v>715</v>
      </c>
      <c r="L1018" s="2">
        <f t="shared" si="61"/>
        <v>0</v>
      </c>
      <c r="M1018" s="2">
        <f t="shared" si="62"/>
        <v>0</v>
      </c>
      <c r="N1018" s="2">
        <v>-2.1079055955175647</v>
      </c>
      <c r="O1018" s="2">
        <f t="shared" si="63"/>
        <v>0</v>
      </c>
      <c r="P1018" s="2">
        <v>15.073350768998807</v>
      </c>
      <c r="Q1018" s="2">
        <v>-3.1950076076072946</v>
      </c>
    </row>
    <row r="1019" spans="1:17" ht="15">
      <c r="A1019" s="2" t="s">
        <v>81</v>
      </c>
      <c r="B1019" s="2">
        <v>1027.5260013178922</v>
      </c>
      <c r="C1019" s="2">
        <v>828.60006208065897</v>
      </c>
      <c r="D1019" s="2">
        <v>363.40245613828301</v>
      </c>
      <c r="E1019" s="2">
        <v>91.081727920100093</v>
      </c>
      <c r="F1019" s="2">
        <v>18.752121408004314</v>
      </c>
      <c r="G1019" s="2">
        <v>0.80298230749089272</v>
      </c>
      <c r="H1019" s="2">
        <v>16665</v>
      </c>
      <c r="I1019" s="2">
        <v>1200</v>
      </c>
      <c r="J1019" s="2">
        <f>(IF(A1019='Hybrid Calculator'!$B$6,0,1))^2+((B1019-'Hybrid Calculator'!$B$7)/1500)^2+((C1019-'Hybrid Calculator'!$B$8)/1300)^2+((D1019-'Hybrid Calculator'!$B$9)/800)^2+((E1019-'Hybrid Calculator'!$B$10)/350)^2+((F1019-'Hybrid Calculator'!$B$11)/30)^2+(G1019-'Hybrid Calculator'!$B$12)^2+((H1019-'Hybrid Calculator'!$E$14)/IF(A1019="Lightning",100,30000))^2+((I1019-'Hybrid Calculator'!$E$17)/IF(A1019="Lightning",100,30000))^2</f>
        <v>1.4366045820287203</v>
      </c>
      <c r="K1019" s="2">
        <f t="shared" si="60"/>
        <v>1074</v>
      </c>
      <c r="L1019" s="2">
        <f t="shared" si="61"/>
        <v>0</v>
      </c>
      <c r="M1019" s="2">
        <f t="shared" si="62"/>
        <v>0</v>
      </c>
      <c r="N1019" s="2">
        <v>-0.99588003960278115</v>
      </c>
      <c r="O1019" s="2">
        <f t="shared" si="63"/>
        <v>0</v>
      </c>
      <c r="P1019" s="2">
        <v>35.843877128864278</v>
      </c>
      <c r="Q1019" s="2">
        <v>6.6285287757536935</v>
      </c>
    </row>
    <row r="1020" spans="1:17" ht="15">
      <c r="A1020" s="2" t="s">
        <v>81</v>
      </c>
      <c r="B1020" s="2">
        <v>1019.5350198773667</v>
      </c>
      <c r="C1020" s="2">
        <v>1095.6101356656291</v>
      </c>
      <c r="D1020" s="2">
        <v>543.54646988213062</v>
      </c>
      <c r="E1020" s="2">
        <v>225.12983913300559</v>
      </c>
      <c r="F1020" s="2">
        <v>12.795987621881068</v>
      </c>
      <c r="G1020" s="2">
        <v>0.84246756768552589</v>
      </c>
      <c r="H1020" s="2">
        <v>11470</v>
      </c>
      <c r="I1020" s="2">
        <v>1195</v>
      </c>
      <c r="J1020" s="2">
        <f>(IF(A1020='Hybrid Calculator'!$B$6,0,1))^2+((B1020-'Hybrid Calculator'!$B$7)/1500)^2+((C1020-'Hybrid Calculator'!$B$8)/1300)^2+((D1020-'Hybrid Calculator'!$B$9)/800)^2+((E1020-'Hybrid Calculator'!$B$10)/350)^2+((F1020-'Hybrid Calculator'!$B$11)/30)^2+(G1020-'Hybrid Calculator'!$B$12)^2+((H1020-'Hybrid Calculator'!$E$14)/IF(A1020="Lightning",100,30000))^2+((I1020-'Hybrid Calculator'!$E$17)/IF(A1020="Lightning",100,30000))^2</f>
        <v>1.3408865606410987</v>
      </c>
      <c r="K1020" s="2">
        <f t="shared" si="60"/>
        <v>803</v>
      </c>
      <c r="L1020" s="2">
        <f t="shared" si="61"/>
        <v>0</v>
      </c>
      <c r="M1020" s="2">
        <f t="shared" si="62"/>
        <v>0</v>
      </c>
      <c r="N1020" s="2">
        <v>4.3218667803312201</v>
      </c>
      <c r="O1020" s="2">
        <f t="shared" si="63"/>
        <v>0</v>
      </c>
      <c r="P1020" s="2">
        <v>-18.32339075885784</v>
      </c>
      <c r="Q1020" s="2">
        <v>4.6500486699785597</v>
      </c>
    </row>
    <row r="1021" spans="1:17" ht="15">
      <c r="A1021" s="2" t="s">
        <v>81</v>
      </c>
      <c r="B1021" s="2">
        <v>966.15566298132762</v>
      </c>
      <c r="C1021" s="2">
        <v>1208.1148245837539</v>
      </c>
      <c r="D1021" s="2">
        <v>492.66735715791583</v>
      </c>
      <c r="E1021" s="2">
        <v>253.18779311608523</v>
      </c>
      <c r="F1021" s="2">
        <v>27.391111958306283</v>
      </c>
      <c r="G1021" s="2">
        <v>0.8021733028069139</v>
      </c>
      <c r="H1021" s="2">
        <v>10945</v>
      </c>
      <c r="I1021" s="2">
        <v>1195</v>
      </c>
      <c r="J1021" s="2">
        <f>(IF(A1021='Hybrid Calculator'!$B$6,0,1))^2+((B1021-'Hybrid Calculator'!$B$7)/1500)^2+((C1021-'Hybrid Calculator'!$B$8)/1300)^2+((D1021-'Hybrid Calculator'!$B$9)/800)^2+((E1021-'Hybrid Calculator'!$B$10)/350)^2+((F1021-'Hybrid Calculator'!$B$11)/30)^2+(G1021-'Hybrid Calculator'!$B$12)^2+((H1021-'Hybrid Calculator'!$E$14)/IF(A1021="Lightning",100,30000))^2+((I1021-'Hybrid Calculator'!$E$17)/IF(A1021="Lightning",100,30000))^2</f>
        <v>1.4780262546343905</v>
      </c>
      <c r="K1021" s="2">
        <f t="shared" si="60"/>
        <v>1173</v>
      </c>
      <c r="L1021" s="2">
        <f t="shared" si="61"/>
        <v>0</v>
      </c>
      <c r="M1021" s="2">
        <f t="shared" si="62"/>
        <v>0</v>
      </c>
      <c r="N1021" s="2">
        <v>-0.70687627159350086</v>
      </c>
      <c r="O1021" s="2">
        <f t="shared" si="63"/>
        <v>0</v>
      </c>
      <c r="P1021" s="2">
        <v>1.7077971564076506</v>
      </c>
      <c r="Q1021" s="2">
        <v>-19.613521052299689</v>
      </c>
    </row>
    <row r="1022" spans="1:17" ht="15">
      <c r="A1022" s="2" t="s">
        <v>81</v>
      </c>
      <c r="B1022" s="2">
        <v>963.37700462900102</v>
      </c>
      <c r="C1022" s="2">
        <v>1007.5078966910951</v>
      </c>
      <c r="D1022" s="2">
        <v>587.03626301139593</v>
      </c>
      <c r="E1022" s="2">
        <v>130.07264559390023</v>
      </c>
      <c r="F1022" s="2">
        <v>28.189327839761972</v>
      </c>
      <c r="G1022" s="2">
        <v>0.81582355745369572</v>
      </c>
      <c r="H1022" s="2">
        <v>14465</v>
      </c>
      <c r="I1022" s="2">
        <v>1200</v>
      </c>
      <c r="J1022" s="2">
        <f>(IF(A1022='Hybrid Calculator'!$B$6,0,1))^2+((B1022-'Hybrid Calculator'!$B$7)/1500)^2+((C1022-'Hybrid Calculator'!$B$8)/1300)^2+((D1022-'Hybrid Calculator'!$B$9)/800)^2+((E1022-'Hybrid Calculator'!$B$10)/350)^2+((F1022-'Hybrid Calculator'!$B$11)/30)^2+(G1022-'Hybrid Calculator'!$B$12)^2+((H1022-'Hybrid Calculator'!$E$14)/IF(A1022="Lightning",100,30000))^2+((I1022-'Hybrid Calculator'!$E$17)/IF(A1022="Lightning",100,30000))^2</f>
        <v>1.4612132651343608</v>
      </c>
      <c r="K1022" s="2">
        <f t="shared" si="60"/>
        <v>1136</v>
      </c>
      <c r="L1022" s="2">
        <f t="shared" si="61"/>
        <v>0</v>
      </c>
      <c r="M1022" s="2">
        <f t="shared" si="62"/>
        <v>0</v>
      </c>
      <c r="N1022" s="2">
        <v>0.75490214802371725</v>
      </c>
      <c r="O1022" s="2">
        <f t="shared" si="63"/>
        <v>0</v>
      </c>
      <c r="P1022" s="2">
        <v>42.229528031733025</v>
      </c>
      <c r="Q1022" s="2">
        <v>-12.653013178493893</v>
      </c>
    </row>
    <row r="1023" spans="1:17" ht="15">
      <c r="A1023" s="2" t="s">
        <v>81</v>
      </c>
      <c r="B1023" s="2">
        <v>985.73683855356649</v>
      </c>
      <c r="C1023" s="2">
        <v>1235.2821417851374</v>
      </c>
      <c r="D1023" s="2">
        <v>602.61482344940305</v>
      </c>
      <c r="E1023" s="2">
        <v>194.64331671595573</v>
      </c>
      <c r="F1023" s="2">
        <v>27.868078509811312</v>
      </c>
      <c r="G1023" s="2">
        <v>0.83001148797106006</v>
      </c>
      <c r="H1023" s="2">
        <v>12275</v>
      </c>
      <c r="I1023" s="2">
        <v>1200</v>
      </c>
      <c r="J1023" s="2">
        <f>(IF(A1023='Hybrid Calculator'!$B$6,0,1))^2+((B1023-'Hybrid Calculator'!$B$7)/1500)^2+((C1023-'Hybrid Calculator'!$B$8)/1300)^2+((D1023-'Hybrid Calculator'!$B$9)/800)^2+((E1023-'Hybrid Calculator'!$B$10)/350)^2+((F1023-'Hybrid Calculator'!$B$11)/30)^2+(G1023-'Hybrid Calculator'!$B$12)^2+((H1023-'Hybrid Calculator'!$E$14)/IF(A1023="Lightning",100,30000))^2+((I1023-'Hybrid Calculator'!$E$17)/IF(A1023="Lightning",100,30000))^2</f>
        <v>1.4715172240772771</v>
      </c>
      <c r="K1023" s="2">
        <f t="shared" si="60"/>
        <v>1161</v>
      </c>
      <c r="L1023" s="2">
        <f t="shared" si="61"/>
        <v>0</v>
      </c>
      <c r="M1023" s="2">
        <f t="shared" si="62"/>
        <v>0</v>
      </c>
      <c r="N1023" s="2">
        <v>0.8956102734982494</v>
      </c>
      <c r="O1023" s="2">
        <f t="shared" si="63"/>
        <v>0</v>
      </c>
      <c r="P1023" s="2">
        <v>-6.3815394504531469</v>
      </c>
      <c r="Q1023" s="2">
        <v>-18.988564457759935</v>
      </c>
    </row>
    <row r="1024" spans="1:17" ht="15">
      <c r="A1024" s="2" t="s">
        <v>81</v>
      </c>
      <c r="B1024" s="2">
        <v>972.78928202576935</v>
      </c>
      <c r="C1024" s="2">
        <v>665.32127185491845</v>
      </c>
      <c r="D1024" s="2">
        <v>530.60214798897505</v>
      </c>
      <c r="E1024" s="2">
        <v>133.00533614354208</v>
      </c>
      <c r="F1024" s="2">
        <v>9.4221963882446289</v>
      </c>
      <c r="G1024" s="2">
        <v>0.85566203093389048</v>
      </c>
      <c r="H1024" s="2">
        <v>18775</v>
      </c>
      <c r="I1024" s="2">
        <v>1200</v>
      </c>
      <c r="J1024" s="2">
        <f>(IF(A1024='Hybrid Calculator'!$B$6,0,1))^2+((B1024-'Hybrid Calculator'!$B$7)/1500)^2+((C1024-'Hybrid Calculator'!$B$8)/1300)^2+((D1024-'Hybrid Calculator'!$B$9)/800)^2+((E1024-'Hybrid Calculator'!$B$10)/350)^2+((F1024-'Hybrid Calculator'!$B$11)/30)^2+(G1024-'Hybrid Calculator'!$B$12)^2+((H1024-'Hybrid Calculator'!$E$14)/IF(A1024="Lightning",100,30000))^2+((I1024-'Hybrid Calculator'!$E$17)/IF(A1024="Lightning",100,30000))^2</f>
        <v>1.5988412670563756</v>
      </c>
      <c r="K1024" s="2">
        <f t="shared" si="60"/>
        <v>1352</v>
      </c>
      <c r="L1024" s="2">
        <f t="shared" si="61"/>
        <v>0</v>
      </c>
      <c r="M1024" s="2">
        <f t="shared" si="62"/>
        <v>0</v>
      </c>
      <c r="N1024" s="2">
        <v>2.9748659815533642</v>
      </c>
      <c r="O1024" s="2">
        <f t="shared" si="63"/>
        <v>0</v>
      </c>
      <c r="P1024" s="2">
        <v>-43.208615628293046</v>
      </c>
      <c r="Q1024" s="2">
        <v>14.182451177552821</v>
      </c>
    </row>
    <row r="1025" spans="1:17" ht="15">
      <c r="A1025" s="2" t="s">
        <v>81</v>
      </c>
      <c r="B1025" s="2">
        <v>995.79035948263481</v>
      </c>
      <c r="C1025" s="2">
        <v>745.28812409844249</v>
      </c>
      <c r="D1025" s="2">
        <v>422.7440875954926</v>
      </c>
      <c r="E1025" s="2">
        <v>109.27004778757691</v>
      </c>
      <c r="F1025" s="2">
        <v>11.107333651278168</v>
      </c>
      <c r="G1025" s="2">
        <v>0.84644351107534022</v>
      </c>
      <c r="H1025" s="2">
        <v>19535</v>
      </c>
      <c r="I1025" s="2">
        <v>1200</v>
      </c>
      <c r="J1025" s="2">
        <f>(IF(A1025='Hybrid Calculator'!$B$6,0,1))^2+((B1025-'Hybrid Calculator'!$B$7)/1500)^2+((C1025-'Hybrid Calculator'!$B$8)/1300)^2+((D1025-'Hybrid Calculator'!$B$9)/800)^2+((E1025-'Hybrid Calculator'!$B$10)/350)^2+((F1025-'Hybrid Calculator'!$B$11)/30)^2+(G1025-'Hybrid Calculator'!$B$12)^2+((H1025-'Hybrid Calculator'!$E$14)/IF(A1025="Lightning",100,30000))^2+((I1025-'Hybrid Calculator'!$E$17)/IF(A1025="Lightning",100,30000))^2</f>
        <v>1.5960393426078698</v>
      </c>
      <c r="K1025" s="2">
        <f t="shared" si="60"/>
        <v>1349</v>
      </c>
      <c r="L1025" s="2">
        <f t="shared" si="61"/>
        <v>0</v>
      </c>
      <c r="M1025" s="2">
        <f t="shared" si="62"/>
        <v>0</v>
      </c>
      <c r="N1025" s="2">
        <v>-0.47050457922179589</v>
      </c>
      <c r="O1025" s="2">
        <f t="shared" si="63"/>
        <v>0</v>
      </c>
      <c r="P1025" s="2">
        <v>-37.986942059647845</v>
      </c>
      <c r="Q1025" s="2">
        <v>18.5884175764254</v>
      </c>
    </row>
    <row r="1026" spans="1:17" ht="15">
      <c r="A1026" s="2" t="s">
        <v>81</v>
      </c>
      <c r="B1026" s="2">
        <v>1000.3077888162807</v>
      </c>
      <c r="C1026" s="2">
        <v>849.55500048818067</v>
      </c>
      <c r="D1026" s="2">
        <v>590.38878232240677</v>
      </c>
      <c r="E1026" s="2">
        <v>100.20149579038844</v>
      </c>
      <c r="F1026" s="2">
        <v>25.934179077856243</v>
      </c>
      <c r="G1026" s="2">
        <v>0.81107338566100229</v>
      </c>
      <c r="H1026" s="2">
        <v>13885</v>
      </c>
      <c r="I1026" s="2">
        <v>1200</v>
      </c>
      <c r="J1026" s="2">
        <f>(IF(A1026='Hybrid Calculator'!$B$6,0,1))^2+((B1026-'Hybrid Calculator'!$B$7)/1500)^2+((C1026-'Hybrid Calculator'!$B$8)/1300)^2+((D1026-'Hybrid Calculator'!$B$9)/800)^2+((E1026-'Hybrid Calculator'!$B$10)/350)^2+((F1026-'Hybrid Calculator'!$B$11)/30)^2+(G1026-'Hybrid Calculator'!$B$12)^2+((H1026-'Hybrid Calculator'!$E$14)/IF(A1026="Lightning",100,30000))^2+((I1026-'Hybrid Calculator'!$E$17)/IF(A1026="Lightning",100,30000))^2</f>
        <v>1.388867705890209</v>
      </c>
      <c r="K1026" s="2">
        <f t="shared" ref="K1026:K1089" si="64">RANK(J1026,$J$2:$J$1401,1)</f>
        <v>946</v>
      </c>
      <c r="L1026" s="2">
        <f t="shared" ref="L1026:L1089" si="65">IF(K1026&lt;=7,1,0)</f>
        <v>0</v>
      </c>
      <c r="M1026" s="2">
        <f t="shared" ref="M1026:M1089" si="66">IF(L1026=1,1/(J1026+0.000001),0)</f>
        <v>0</v>
      </c>
      <c r="N1026" s="2">
        <v>-0.10073025339590913</v>
      </c>
      <c r="O1026" s="2">
        <f t="shared" ref="O1026:O1089" si="67">M1026</f>
        <v>0</v>
      </c>
      <c r="P1026" s="2">
        <v>7.079520351363044</v>
      </c>
      <c r="Q1026" s="2">
        <v>0.7580318215348143</v>
      </c>
    </row>
    <row r="1027" spans="1:17" ht="15">
      <c r="A1027" s="2" t="s">
        <v>81</v>
      </c>
      <c r="B1027" s="2">
        <v>1034.9079347099178</v>
      </c>
      <c r="C1027" s="2">
        <v>883.54396102949977</v>
      </c>
      <c r="D1027" s="2">
        <v>667.03188335523009</v>
      </c>
      <c r="E1027" s="2">
        <v>323.79315844271332</v>
      </c>
      <c r="F1027" s="2">
        <v>18.214498852845281</v>
      </c>
      <c r="G1027" s="2">
        <v>0.82785258811898532</v>
      </c>
      <c r="H1027" s="2">
        <v>11410</v>
      </c>
      <c r="I1027" s="2">
        <v>1195</v>
      </c>
      <c r="J1027" s="2">
        <f>(IF(A1027='Hybrid Calculator'!$B$6,0,1))^2+((B1027-'Hybrid Calculator'!$B$7)/1500)^2+((C1027-'Hybrid Calculator'!$B$8)/1300)^2+((D1027-'Hybrid Calculator'!$B$9)/800)^2+((E1027-'Hybrid Calculator'!$B$10)/350)^2+((F1027-'Hybrid Calculator'!$B$11)/30)^2+(G1027-'Hybrid Calculator'!$B$12)^2+((H1027-'Hybrid Calculator'!$E$14)/IF(A1027="Lightning",100,30000))^2+((I1027-'Hybrid Calculator'!$E$17)/IF(A1027="Lightning",100,30000))^2</f>
        <v>1.5035163662249698</v>
      </c>
      <c r="K1027" s="2">
        <f t="shared" si="64"/>
        <v>1218</v>
      </c>
      <c r="L1027" s="2">
        <f t="shared" si="65"/>
        <v>0</v>
      </c>
      <c r="M1027" s="2">
        <f t="shared" si="66"/>
        <v>0</v>
      </c>
      <c r="N1027" s="2">
        <v>-7.2802779061447609E-2</v>
      </c>
      <c r="O1027" s="2">
        <f t="shared" si="67"/>
        <v>0</v>
      </c>
      <c r="P1027" s="2">
        <v>12.975290434547787</v>
      </c>
      <c r="Q1027" s="2">
        <v>-3.4904413573374313</v>
      </c>
    </row>
    <row r="1028" spans="1:17" ht="15">
      <c r="A1028" s="2" t="s">
        <v>81</v>
      </c>
      <c r="B1028" s="2">
        <v>1040.6837400048971</v>
      </c>
      <c r="C1028" s="2">
        <v>980.2146716392599</v>
      </c>
      <c r="D1028" s="2">
        <v>706.77201319485903</v>
      </c>
      <c r="E1028" s="2">
        <v>98.55647616321221</v>
      </c>
      <c r="F1028" s="2">
        <v>10.420225633308291</v>
      </c>
      <c r="G1028" s="2">
        <v>0.79402747509302574</v>
      </c>
      <c r="H1028" s="2">
        <v>11975</v>
      </c>
      <c r="I1028" s="2">
        <v>1200</v>
      </c>
      <c r="J1028" s="2">
        <f>(IF(A1028='Hybrid Calculator'!$B$6,0,1))^2+((B1028-'Hybrid Calculator'!$B$7)/1500)^2+((C1028-'Hybrid Calculator'!$B$8)/1300)^2+((D1028-'Hybrid Calculator'!$B$9)/800)^2+((E1028-'Hybrid Calculator'!$B$10)/350)^2+((F1028-'Hybrid Calculator'!$B$11)/30)^2+(G1028-'Hybrid Calculator'!$B$12)^2+((H1028-'Hybrid Calculator'!$E$14)/IF(A1028="Lightning",100,30000))^2+((I1028-'Hybrid Calculator'!$E$17)/IF(A1028="Lightning",100,30000))^2</f>
        <v>1.3968360162801887</v>
      </c>
      <c r="K1028" s="2">
        <f t="shared" si="64"/>
        <v>967</v>
      </c>
      <c r="L1028" s="2">
        <f t="shared" si="65"/>
        <v>0</v>
      </c>
      <c r="M1028" s="2">
        <f t="shared" si="66"/>
        <v>0</v>
      </c>
      <c r="N1028" s="2">
        <v>1.1354628954682653</v>
      </c>
      <c r="O1028" s="2">
        <f t="shared" si="67"/>
        <v>0</v>
      </c>
      <c r="P1028" s="2">
        <v>45.24311821457286</v>
      </c>
      <c r="Q1028" s="2">
        <v>-2.7634778961969459</v>
      </c>
    </row>
    <row r="1029" spans="1:17" ht="15">
      <c r="A1029" s="2" t="s">
        <v>81</v>
      </c>
      <c r="B1029" s="2">
        <v>1063.9266403974034</v>
      </c>
      <c r="C1029" s="2">
        <v>714.90996314678341</v>
      </c>
      <c r="D1029" s="2">
        <v>571.4468196965754</v>
      </c>
      <c r="E1029" s="2">
        <v>243.73914456926286</v>
      </c>
      <c r="F1029" s="2">
        <v>26.359540801960975</v>
      </c>
      <c r="G1029" s="2">
        <v>0.80860370748210697</v>
      </c>
      <c r="H1029" s="2">
        <v>13975</v>
      </c>
      <c r="I1029" s="2">
        <v>1200</v>
      </c>
      <c r="J1029" s="2">
        <f>(IF(A1029='Hybrid Calculator'!$B$6,0,1))^2+((B1029-'Hybrid Calculator'!$B$7)/1500)^2+((C1029-'Hybrid Calculator'!$B$8)/1300)^2+((D1029-'Hybrid Calculator'!$B$9)/800)^2+((E1029-'Hybrid Calculator'!$B$10)/350)^2+((F1029-'Hybrid Calculator'!$B$11)/30)^2+(G1029-'Hybrid Calculator'!$B$12)^2+((H1029-'Hybrid Calculator'!$E$14)/IF(A1029="Lightning",100,30000))^2+((I1029-'Hybrid Calculator'!$E$17)/IF(A1029="Lightning",100,30000))^2</f>
        <v>1.4341998245059882</v>
      </c>
      <c r="K1029" s="2">
        <f t="shared" si="64"/>
        <v>1067</v>
      </c>
      <c r="L1029" s="2">
        <f t="shared" si="65"/>
        <v>0</v>
      </c>
      <c r="M1029" s="2">
        <f t="shared" si="66"/>
        <v>0</v>
      </c>
      <c r="N1029" s="2">
        <v>-1.9977923917836051</v>
      </c>
      <c r="O1029" s="2">
        <f t="shared" si="67"/>
        <v>0</v>
      </c>
      <c r="P1029" s="2">
        <v>-32.064842892018078</v>
      </c>
      <c r="Q1029" s="2">
        <v>-7.0429389244775393</v>
      </c>
    </row>
    <row r="1030" spans="1:17" ht="15">
      <c r="A1030" s="2" t="s">
        <v>81</v>
      </c>
      <c r="B1030" s="2">
        <v>1044.2563262535259</v>
      </c>
      <c r="C1030" s="2">
        <v>1236.4251666353084</v>
      </c>
      <c r="D1030" s="2">
        <v>629.34635020792484</v>
      </c>
      <c r="E1030" s="2">
        <v>253.75439702300355</v>
      </c>
      <c r="F1030" s="2">
        <v>16.511510320939124</v>
      </c>
      <c r="G1030" s="2">
        <v>0.79289690735517071</v>
      </c>
      <c r="H1030" s="2">
        <v>10090</v>
      </c>
      <c r="I1030" s="2">
        <v>1195</v>
      </c>
      <c r="J1030" s="2">
        <f>(IF(A1030='Hybrid Calculator'!$B$6,0,1))^2+((B1030-'Hybrid Calculator'!$B$7)/1500)^2+((C1030-'Hybrid Calculator'!$B$8)/1300)^2+((D1030-'Hybrid Calculator'!$B$9)/800)^2+((E1030-'Hybrid Calculator'!$B$10)/350)^2+((F1030-'Hybrid Calculator'!$B$11)/30)^2+(G1030-'Hybrid Calculator'!$B$12)^2+((H1030-'Hybrid Calculator'!$E$14)/IF(A1030="Lightning",100,30000))^2+((I1030-'Hybrid Calculator'!$E$17)/IF(A1030="Lightning",100,30000))^2</f>
        <v>1.3854563673249094</v>
      </c>
      <c r="K1030" s="2">
        <f t="shared" si="64"/>
        <v>937</v>
      </c>
      <c r="L1030" s="2">
        <f t="shared" si="65"/>
        <v>0</v>
      </c>
      <c r="M1030" s="2">
        <f t="shared" si="66"/>
        <v>0</v>
      </c>
      <c r="N1030" s="2">
        <v>3.5004478850723331</v>
      </c>
      <c r="O1030" s="2">
        <f t="shared" si="67"/>
        <v>0</v>
      </c>
      <c r="P1030" s="2">
        <v>4.3329521990626745</v>
      </c>
      <c r="Q1030" s="2">
        <v>-9.7397414752792884</v>
      </c>
    </row>
    <row r="1031" spans="1:17" ht="15">
      <c r="A1031" s="2" t="s">
        <v>81</v>
      </c>
      <c r="B1031" s="2">
        <v>950.75993578648195</v>
      </c>
      <c r="C1031" s="2">
        <v>675.94248908571899</v>
      </c>
      <c r="D1031" s="2">
        <v>488.51666999980807</v>
      </c>
      <c r="E1031" s="2">
        <v>176.59913729410619</v>
      </c>
      <c r="F1031" s="2">
        <v>28.945888947229832</v>
      </c>
      <c r="G1031" s="2">
        <v>0.85679712817072873</v>
      </c>
      <c r="H1031" s="2">
        <v>18605</v>
      </c>
      <c r="I1031" s="2">
        <v>1200</v>
      </c>
      <c r="J1031" s="2">
        <f>(IF(A1031='Hybrid Calculator'!$B$6,0,1))^2+((B1031-'Hybrid Calculator'!$B$7)/1500)^2+((C1031-'Hybrid Calculator'!$B$8)/1300)^2+((D1031-'Hybrid Calculator'!$B$9)/800)^2+((E1031-'Hybrid Calculator'!$B$10)/350)^2+((F1031-'Hybrid Calculator'!$B$11)/30)^2+(G1031-'Hybrid Calculator'!$B$12)^2+((H1031-'Hybrid Calculator'!$E$14)/IF(A1031="Lightning",100,30000))^2+((I1031-'Hybrid Calculator'!$E$17)/IF(A1031="Lightning",100,30000))^2</f>
        <v>1.6305364458640681</v>
      </c>
      <c r="K1031" s="2">
        <f t="shared" si="64"/>
        <v>1367</v>
      </c>
      <c r="L1031" s="2">
        <f t="shared" si="65"/>
        <v>0</v>
      </c>
      <c r="M1031" s="2">
        <f t="shared" si="66"/>
        <v>0</v>
      </c>
      <c r="N1031" s="2">
        <v>-3.5818082113802916</v>
      </c>
      <c r="O1031" s="2">
        <f t="shared" si="67"/>
        <v>0</v>
      </c>
      <c r="P1031" s="2">
        <v>16.503530725731707</v>
      </c>
      <c r="Q1031" s="2">
        <v>-4.7307370485656293</v>
      </c>
    </row>
    <row r="1032" spans="1:17" ht="15">
      <c r="A1032" s="2" t="s">
        <v>81</v>
      </c>
      <c r="B1032" s="2">
        <v>1019.4568436127156</v>
      </c>
      <c r="C1032" s="2">
        <v>764.77348924381658</v>
      </c>
      <c r="D1032" s="2">
        <v>531.92476686090231</v>
      </c>
      <c r="E1032" s="2">
        <v>90.616457846481353</v>
      </c>
      <c r="F1032" s="2">
        <v>22.829223867505789</v>
      </c>
      <c r="G1032" s="2">
        <v>0.83789131287718199</v>
      </c>
      <c r="H1032" s="2">
        <v>15415</v>
      </c>
      <c r="I1032" s="2">
        <v>1200</v>
      </c>
      <c r="J1032" s="2">
        <f>(IF(A1032='Hybrid Calculator'!$B$6,0,1))^2+((B1032-'Hybrid Calculator'!$B$7)/1500)^2+((C1032-'Hybrid Calculator'!$B$8)/1300)^2+((D1032-'Hybrid Calculator'!$B$9)/800)^2+((E1032-'Hybrid Calculator'!$B$10)/350)^2+((F1032-'Hybrid Calculator'!$B$11)/30)^2+(G1032-'Hybrid Calculator'!$B$12)^2+((H1032-'Hybrid Calculator'!$E$14)/IF(A1032="Lightning",100,30000))^2+((I1032-'Hybrid Calculator'!$E$17)/IF(A1032="Lightning",100,30000))^2</f>
        <v>1.3927665615367433</v>
      </c>
      <c r="K1032" s="2">
        <f t="shared" si="64"/>
        <v>956</v>
      </c>
      <c r="L1032" s="2">
        <f t="shared" si="65"/>
        <v>0</v>
      </c>
      <c r="M1032" s="2">
        <f t="shared" si="66"/>
        <v>0</v>
      </c>
      <c r="N1032" s="2">
        <v>-2.9788693638575126</v>
      </c>
      <c r="O1032" s="2">
        <f t="shared" si="67"/>
        <v>0</v>
      </c>
      <c r="P1032" s="2">
        <v>16.496780780528752</v>
      </c>
      <c r="Q1032" s="2">
        <v>2.8235648108980058</v>
      </c>
    </row>
    <row r="1033" spans="1:17" ht="15">
      <c r="A1033" s="2" t="s">
        <v>81</v>
      </c>
      <c r="B1033" s="2">
        <v>1083.741962548811</v>
      </c>
      <c r="C1033" s="2">
        <v>927.69427399616688</v>
      </c>
      <c r="D1033" s="2">
        <v>451.45701663568616</v>
      </c>
      <c r="E1033" s="2">
        <v>226.90169040113688</v>
      </c>
      <c r="F1033" s="2">
        <v>16.38041121000424</v>
      </c>
      <c r="G1033" s="2">
        <v>0.79369990635197618</v>
      </c>
      <c r="H1033" s="2">
        <v>13315</v>
      </c>
      <c r="I1033" s="2">
        <v>1200</v>
      </c>
      <c r="J1033" s="2">
        <f>(IF(A1033='Hybrid Calculator'!$B$6,0,1))^2+((B1033-'Hybrid Calculator'!$B$7)/1500)^2+((C1033-'Hybrid Calculator'!$B$8)/1300)^2+((D1033-'Hybrid Calculator'!$B$9)/800)^2+((E1033-'Hybrid Calculator'!$B$10)/350)^2+((F1033-'Hybrid Calculator'!$B$11)/30)^2+(G1033-'Hybrid Calculator'!$B$12)^2+((H1033-'Hybrid Calculator'!$E$14)/IF(A1033="Lightning",100,30000))^2+((I1033-'Hybrid Calculator'!$E$17)/IF(A1033="Lightning",100,30000))^2</f>
        <v>1.3100178448889648</v>
      </c>
      <c r="K1033" s="2">
        <f t="shared" si="64"/>
        <v>748</v>
      </c>
      <c r="L1033" s="2">
        <f t="shared" si="65"/>
        <v>0</v>
      </c>
      <c r="M1033" s="2">
        <f t="shared" si="66"/>
        <v>0</v>
      </c>
      <c r="N1033" s="2">
        <v>-2.0975362571886933</v>
      </c>
      <c r="O1033" s="2">
        <f t="shared" si="67"/>
        <v>0</v>
      </c>
      <c r="P1033" s="2">
        <v>16.62893572876601</v>
      </c>
      <c r="Q1033" s="2">
        <v>-2.0658049827816285</v>
      </c>
    </row>
    <row r="1034" spans="1:17" ht="15">
      <c r="A1034" s="2" t="s">
        <v>81</v>
      </c>
      <c r="B1034" s="2">
        <v>988.36928235832602</v>
      </c>
      <c r="C1034" s="2">
        <v>1098.8866503466852</v>
      </c>
      <c r="D1034" s="2">
        <v>353.14615294337273</v>
      </c>
      <c r="E1034" s="2">
        <v>170.40953539079055</v>
      </c>
      <c r="F1034" s="2">
        <v>29.20037469919771</v>
      </c>
      <c r="G1034" s="2">
        <v>0.81828533740481368</v>
      </c>
      <c r="H1034" s="2">
        <v>13180</v>
      </c>
      <c r="I1034" s="2">
        <v>1200</v>
      </c>
      <c r="J1034" s="2">
        <f>(IF(A1034='Hybrid Calculator'!$B$6,0,1))^2+((B1034-'Hybrid Calculator'!$B$7)/1500)^2+((C1034-'Hybrid Calculator'!$B$8)/1300)^2+((D1034-'Hybrid Calculator'!$B$9)/800)^2+((E1034-'Hybrid Calculator'!$B$10)/350)^2+((F1034-'Hybrid Calculator'!$B$11)/30)^2+(G1034-'Hybrid Calculator'!$B$12)^2+((H1034-'Hybrid Calculator'!$E$14)/IF(A1034="Lightning",100,30000))^2+((I1034-'Hybrid Calculator'!$E$17)/IF(A1034="Lightning",100,30000))^2</f>
        <v>1.4787917723381616</v>
      </c>
      <c r="K1034" s="2">
        <f t="shared" si="64"/>
        <v>1174</v>
      </c>
      <c r="L1034" s="2">
        <f t="shared" si="65"/>
        <v>0</v>
      </c>
      <c r="M1034" s="2">
        <f t="shared" si="66"/>
        <v>0</v>
      </c>
      <c r="N1034" s="2">
        <v>-2.8373669085758308</v>
      </c>
      <c r="O1034" s="2">
        <f t="shared" si="67"/>
        <v>0</v>
      </c>
      <c r="P1034" s="2">
        <v>-0.9126113663387514</v>
      </c>
      <c r="Q1034" s="2">
        <v>-13.738631473603505</v>
      </c>
    </row>
    <row r="1035" spans="1:17" ht="15">
      <c r="A1035" s="2" t="s">
        <v>81</v>
      </c>
      <c r="B1035" s="2">
        <v>1056.7783588427119</v>
      </c>
      <c r="C1035" s="2">
        <v>1177.0390640944242</v>
      </c>
      <c r="D1035" s="2">
        <v>474.06520238146186</v>
      </c>
      <c r="E1035" s="2">
        <v>158.38824496138841</v>
      </c>
      <c r="F1035" s="2">
        <v>8.2165986462496221</v>
      </c>
      <c r="G1035" s="2">
        <v>0.79972091290168468</v>
      </c>
      <c r="H1035" s="2">
        <v>11820</v>
      </c>
      <c r="I1035" s="2">
        <v>1195</v>
      </c>
      <c r="J1035" s="2">
        <f>(IF(A1035='Hybrid Calculator'!$B$6,0,1))^2+((B1035-'Hybrid Calculator'!$B$7)/1500)^2+((C1035-'Hybrid Calculator'!$B$8)/1300)^2+((D1035-'Hybrid Calculator'!$B$9)/800)^2+((E1035-'Hybrid Calculator'!$B$10)/350)^2+((F1035-'Hybrid Calculator'!$B$11)/30)^2+(G1035-'Hybrid Calculator'!$B$12)^2+((H1035-'Hybrid Calculator'!$E$14)/IF(A1035="Lightning",100,30000))^2+((I1035-'Hybrid Calculator'!$E$17)/IF(A1035="Lightning",100,30000))^2</f>
        <v>1.3985288763216714</v>
      </c>
      <c r="K1035" s="2">
        <f t="shared" si="64"/>
        <v>971</v>
      </c>
      <c r="L1035" s="2">
        <f t="shared" si="65"/>
        <v>0</v>
      </c>
      <c r="M1035" s="2">
        <f t="shared" si="66"/>
        <v>0</v>
      </c>
      <c r="N1035" s="2">
        <v>0.35179576820002012</v>
      </c>
      <c r="O1035" s="2">
        <f t="shared" si="67"/>
        <v>0</v>
      </c>
      <c r="P1035" s="2">
        <v>-16.095486888945743</v>
      </c>
      <c r="Q1035" s="2">
        <v>-0.13068379504125005</v>
      </c>
    </row>
    <row r="1036" spans="1:17" ht="15">
      <c r="A1036" s="2" t="s">
        <v>81</v>
      </c>
      <c r="B1036" s="2">
        <v>994.79869781062007</v>
      </c>
      <c r="C1036" s="2">
        <v>1197.4948126240633</v>
      </c>
      <c r="D1036" s="2">
        <v>569.33984700590372</v>
      </c>
      <c r="E1036" s="2">
        <v>300.79043189296499</v>
      </c>
      <c r="F1036" s="2">
        <v>8.2343995068222284</v>
      </c>
      <c r="G1036" s="2">
        <v>0.85692187304841361</v>
      </c>
      <c r="H1036" s="2">
        <v>12065</v>
      </c>
      <c r="I1036" s="2">
        <v>1200</v>
      </c>
      <c r="J1036" s="2">
        <f>(IF(A1036='Hybrid Calculator'!$B$6,0,1))^2+((B1036-'Hybrid Calculator'!$B$7)/1500)^2+((C1036-'Hybrid Calculator'!$B$8)/1300)^2+((D1036-'Hybrid Calculator'!$B$9)/800)^2+((E1036-'Hybrid Calculator'!$B$10)/350)^2+((F1036-'Hybrid Calculator'!$B$11)/30)^2+(G1036-'Hybrid Calculator'!$B$12)^2+((H1036-'Hybrid Calculator'!$E$14)/IF(A1036="Lightning",100,30000))^2+((I1036-'Hybrid Calculator'!$E$17)/IF(A1036="Lightning",100,30000))^2</f>
        <v>1.6272220793544188</v>
      </c>
      <c r="K1036" s="2">
        <f t="shared" si="64"/>
        <v>1366</v>
      </c>
      <c r="L1036" s="2">
        <f t="shared" si="65"/>
        <v>0</v>
      </c>
      <c r="M1036" s="2">
        <f t="shared" si="66"/>
        <v>0</v>
      </c>
      <c r="N1036" s="2">
        <v>4.7394985532581586</v>
      </c>
      <c r="O1036" s="2">
        <f t="shared" si="67"/>
        <v>0</v>
      </c>
      <c r="P1036" s="2">
        <v>11.363736136412172</v>
      </c>
      <c r="Q1036" s="2">
        <v>-6.9076359881589724</v>
      </c>
    </row>
    <row r="1037" spans="1:17" ht="15">
      <c r="A1037" s="2" t="s">
        <v>81</v>
      </c>
      <c r="B1037" s="2">
        <v>976.03866882855073</v>
      </c>
      <c r="C1037" s="2">
        <v>602.78217040468007</v>
      </c>
      <c r="D1037" s="2">
        <v>685.77663535252213</v>
      </c>
      <c r="E1037" s="2">
        <v>266.49209127761424</v>
      </c>
      <c r="F1037" s="2">
        <v>13.038076036144048</v>
      </c>
      <c r="G1037" s="2">
        <v>0.80497859387192883</v>
      </c>
      <c r="H1037" s="2">
        <v>13750</v>
      </c>
      <c r="I1037" s="2">
        <v>1200</v>
      </c>
      <c r="J1037" s="2">
        <f>(IF(A1037='Hybrid Calculator'!$B$6,0,1))^2+((B1037-'Hybrid Calculator'!$B$7)/1500)^2+((C1037-'Hybrid Calculator'!$B$8)/1300)^2+((D1037-'Hybrid Calculator'!$B$9)/800)^2+((E1037-'Hybrid Calculator'!$B$10)/350)^2+((F1037-'Hybrid Calculator'!$B$11)/30)^2+(G1037-'Hybrid Calculator'!$B$12)^2+((H1037-'Hybrid Calculator'!$E$14)/IF(A1037="Lightning",100,30000))^2+((I1037-'Hybrid Calculator'!$E$17)/IF(A1037="Lightning",100,30000))^2</f>
        <v>1.5339055089683455</v>
      </c>
      <c r="K1037" s="2">
        <f t="shared" si="64"/>
        <v>1272</v>
      </c>
      <c r="L1037" s="2">
        <f t="shared" si="65"/>
        <v>0</v>
      </c>
      <c r="M1037" s="2">
        <f t="shared" si="66"/>
        <v>0</v>
      </c>
      <c r="N1037" s="2">
        <v>-1.10845734806</v>
      </c>
      <c r="O1037" s="2">
        <f t="shared" si="67"/>
        <v>0</v>
      </c>
      <c r="P1037" s="2">
        <v>-15.817023103111751</v>
      </c>
      <c r="Q1037" s="2">
        <v>8.5644810821316923</v>
      </c>
    </row>
    <row r="1038" spans="1:17" ht="15">
      <c r="A1038" s="2" t="s">
        <v>81</v>
      </c>
      <c r="B1038" s="2">
        <v>1040.2100870385766</v>
      </c>
      <c r="C1038" s="2">
        <v>948.99835813557729</v>
      </c>
      <c r="D1038" s="2">
        <v>716.4737256243825</v>
      </c>
      <c r="E1038" s="2">
        <v>312.85757150733843</v>
      </c>
      <c r="F1038" s="2">
        <v>13.124261623248458</v>
      </c>
      <c r="G1038" s="2">
        <v>0.79245615058811381</v>
      </c>
      <c r="H1038" s="2">
        <v>10810</v>
      </c>
      <c r="I1038" s="2">
        <v>1195</v>
      </c>
      <c r="J1038" s="2">
        <f>(IF(A1038='Hybrid Calculator'!$B$6,0,1))^2+((B1038-'Hybrid Calculator'!$B$7)/1500)^2+((C1038-'Hybrid Calculator'!$B$8)/1300)^2+((D1038-'Hybrid Calculator'!$B$9)/800)^2+((E1038-'Hybrid Calculator'!$B$10)/350)^2+((F1038-'Hybrid Calculator'!$B$11)/30)^2+(G1038-'Hybrid Calculator'!$B$12)^2+((H1038-'Hybrid Calculator'!$E$14)/IF(A1038="Lightning",100,30000))^2+((I1038-'Hybrid Calculator'!$E$17)/IF(A1038="Lightning",100,30000))^2</f>
        <v>1.5243671156055534</v>
      </c>
      <c r="K1038" s="2">
        <f t="shared" si="64"/>
        <v>1252</v>
      </c>
      <c r="L1038" s="2">
        <f t="shared" si="65"/>
        <v>0</v>
      </c>
      <c r="M1038" s="2">
        <f t="shared" si="66"/>
        <v>0</v>
      </c>
      <c r="N1038" s="2">
        <v>5.2912797287965532</v>
      </c>
      <c r="O1038" s="2">
        <f t="shared" si="67"/>
        <v>0</v>
      </c>
      <c r="P1038" s="2">
        <v>24.075607634721564</v>
      </c>
      <c r="Q1038" s="2">
        <v>-7.3822958800171818</v>
      </c>
    </row>
    <row r="1039" spans="1:17" ht="15">
      <c r="A1039" s="2" t="s">
        <v>81</v>
      </c>
      <c r="B1039" s="2">
        <v>1058.8562153861858</v>
      </c>
      <c r="C1039" s="2">
        <v>935.07884296122938</v>
      </c>
      <c r="D1039" s="2">
        <v>635.86106011644006</v>
      </c>
      <c r="E1039" s="2">
        <v>189.69844157807529</v>
      </c>
      <c r="F1039" s="2">
        <v>17.458657030481845</v>
      </c>
      <c r="G1039" s="2">
        <v>0.81636823062319308</v>
      </c>
      <c r="H1039" s="2">
        <v>12145</v>
      </c>
      <c r="I1039" s="2">
        <v>1200</v>
      </c>
      <c r="J1039" s="2">
        <f>(IF(A1039='Hybrid Calculator'!$B$6,0,1))^2+((B1039-'Hybrid Calculator'!$B$7)/1500)^2+((C1039-'Hybrid Calculator'!$B$8)/1300)^2+((D1039-'Hybrid Calculator'!$B$9)/800)^2+((E1039-'Hybrid Calculator'!$B$10)/350)^2+((F1039-'Hybrid Calculator'!$B$11)/30)^2+(G1039-'Hybrid Calculator'!$B$12)^2+((H1039-'Hybrid Calculator'!$E$14)/IF(A1039="Lightning",100,30000))^2+((I1039-'Hybrid Calculator'!$E$17)/IF(A1039="Lightning",100,30000))^2</f>
        <v>1.2708673432800972</v>
      </c>
      <c r="K1039" s="2">
        <f t="shared" si="64"/>
        <v>703</v>
      </c>
      <c r="L1039" s="2">
        <f t="shared" si="65"/>
        <v>0</v>
      </c>
      <c r="M1039" s="2">
        <f t="shared" si="66"/>
        <v>0</v>
      </c>
      <c r="N1039" s="2">
        <v>1.2533342614916307</v>
      </c>
      <c r="O1039" s="2">
        <f t="shared" si="67"/>
        <v>0</v>
      </c>
      <c r="P1039" s="2">
        <v>-9.3275286737857641</v>
      </c>
      <c r="Q1039" s="2">
        <v>-1.3637108304237699</v>
      </c>
    </row>
    <row r="1040" spans="1:17" ht="15">
      <c r="A1040" s="2" t="s">
        <v>81</v>
      </c>
      <c r="B1040" s="2">
        <v>1035.6609130976722</v>
      </c>
      <c r="C1040" s="2">
        <v>672.73109430680051</v>
      </c>
      <c r="D1040" s="2">
        <v>582.73551352322102</v>
      </c>
      <c r="E1040" s="2">
        <v>189.42151787457988</v>
      </c>
      <c r="F1040" s="2">
        <v>22.173031688667834</v>
      </c>
      <c r="G1040" s="2">
        <v>0.79243433027295396</v>
      </c>
      <c r="H1040" s="2">
        <v>14800</v>
      </c>
      <c r="I1040" s="2">
        <v>1200</v>
      </c>
      <c r="J1040" s="2">
        <f>(IF(A1040='Hybrid Calculator'!$B$6,0,1))^2+((B1040-'Hybrid Calculator'!$B$7)/1500)^2+((C1040-'Hybrid Calculator'!$B$8)/1300)^2+((D1040-'Hybrid Calculator'!$B$9)/800)^2+((E1040-'Hybrid Calculator'!$B$10)/350)^2+((F1040-'Hybrid Calculator'!$B$11)/30)^2+(G1040-'Hybrid Calculator'!$B$12)^2+((H1040-'Hybrid Calculator'!$E$14)/IF(A1040="Lightning",100,30000))^2+((I1040-'Hybrid Calculator'!$E$17)/IF(A1040="Lightning",100,30000))^2</f>
        <v>1.3683672446294139</v>
      </c>
      <c r="K1040" s="2">
        <f t="shared" si="64"/>
        <v>878</v>
      </c>
      <c r="L1040" s="2">
        <f t="shared" si="65"/>
        <v>0</v>
      </c>
      <c r="M1040" s="2">
        <f t="shared" si="66"/>
        <v>0</v>
      </c>
      <c r="N1040" s="2">
        <v>-4.6070609560416358</v>
      </c>
      <c r="O1040" s="2">
        <f t="shared" si="67"/>
        <v>0</v>
      </c>
      <c r="P1040" s="2">
        <v>-22.371730045710137</v>
      </c>
      <c r="Q1040" s="2">
        <v>2.0271848858619705</v>
      </c>
    </row>
    <row r="1041" spans="1:17" ht="15">
      <c r="A1041" s="2" t="s">
        <v>81</v>
      </c>
      <c r="B1041" s="2">
        <v>1010.1001719362102</v>
      </c>
      <c r="C1041" s="2">
        <v>1137.7767038997263</v>
      </c>
      <c r="D1041" s="2">
        <v>732.46330721303821</v>
      </c>
      <c r="E1041" s="2">
        <v>224.2912322236225</v>
      </c>
      <c r="F1041" s="2">
        <v>23.165393623989075</v>
      </c>
      <c r="G1041" s="2">
        <v>0.81550375487655402</v>
      </c>
      <c r="H1041" s="2">
        <v>10210</v>
      </c>
      <c r="I1041" s="2">
        <v>1195</v>
      </c>
      <c r="J1041" s="2">
        <f>(IF(A1041='Hybrid Calculator'!$B$6,0,1))^2+((B1041-'Hybrid Calculator'!$B$7)/1500)^2+((C1041-'Hybrid Calculator'!$B$8)/1300)^2+((D1041-'Hybrid Calculator'!$B$9)/800)^2+((E1041-'Hybrid Calculator'!$B$10)/350)^2+((F1041-'Hybrid Calculator'!$B$11)/30)^2+(G1041-'Hybrid Calculator'!$B$12)^2+((H1041-'Hybrid Calculator'!$E$14)/IF(A1041="Lightning",100,30000))^2+((I1041-'Hybrid Calculator'!$E$17)/IF(A1041="Lightning",100,30000))^2</f>
        <v>1.3954221908469087</v>
      </c>
      <c r="K1041" s="2">
        <f t="shared" si="64"/>
        <v>964</v>
      </c>
      <c r="L1041" s="2">
        <f t="shared" si="65"/>
        <v>0</v>
      </c>
      <c r="M1041" s="2">
        <f t="shared" si="66"/>
        <v>0</v>
      </c>
      <c r="N1041" s="2">
        <v>-0.46665988804647895</v>
      </c>
      <c r="O1041" s="2">
        <f t="shared" si="67"/>
        <v>0</v>
      </c>
      <c r="P1041" s="2">
        <v>21.970044766351748</v>
      </c>
      <c r="Q1041" s="2">
        <v>-8.4117368273125521</v>
      </c>
    </row>
    <row r="1042" spans="1:17" ht="15">
      <c r="A1042" s="2" t="s">
        <v>81</v>
      </c>
      <c r="B1042" s="2">
        <v>988.24762343429029</v>
      </c>
      <c r="C1042" s="2">
        <v>1080.1643512095325</v>
      </c>
      <c r="D1042" s="2">
        <v>670.08691038936377</v>
      </c>
      <c r="E1042" s="2">
        <v>304.33940303744748</v>
      </c>
      <c r="F1042" s="2">
        <v>17.139495242387056</v>
      </c>
      <c r="G1042" s="2">
        <v>0.82662854910129679</v>
      </c>
      <c r="H1042" s="2">
        <v>12145</v>
      </c>
      <c r="I1042" s="2">
        <v>1200</v>
      </c>
      <c r="J1042" s="2">
        <f>(IF(A1042='Hybrid Calculator'!$B$6,0,1))^2+((B1042-'Hybrid Calculator'!$B$7)/1500)^2+((C1042-'Hybrid Calculator'!$B$8)/1300)^2+((D1042-'Hybrid Calculator'!$B$9)/800)^2+((E1042-'Hybrid Calculator'!$B$10)/350)^2+((F1042-'Hybrid Calculator'!$B$11)/30)^2+(G1042-'Hybrid Calculator'!$B$12)^2+((H1042-'Hybrid Calculator'!$E$14)/IF(A1042="Lightning",100,30000))^2+((I1042-'Hybrid Calculator'!$E$17)/IF(A1042="Lightning",100,30000))^2</f>
        <v>1.5219601691491966</v>
      </c>
      <c r="K1042" s="2">
        <f t="shared" si="64"/>
        <v>1250</v>
      </c>
      <c r="L1042" s="2">
        <f t="shared" si="65"/>
        <v>0</v>
      </c>
      <c r="M1042" s="2">
        <f t="shared" si="66"/>
        <v>0</v>
      </c>
      <c r="N1042" s="2">
        <v>4.9255368420851369</v>
      </c>
      <c r="O1042" s="2">
        <f t="shared" si="67"/>
        <v>0</v>
      </c>
      <c r="P1042" s="2">
        <v>60.749705786408867</v>
      </c>
      <c r="Q1042" s="2">
        <v>-10.146563119761822</v>
      </c>
    </row>
    <row r="1043" spans="1:17" ht="15">
      <c r="A1043" s="2" t="s">
        <v>81</v>
      </c>
      <c r="B1043" s="2">
        <v>1065.6794266891666</v>
      </c>
      <c r="C1043" s="2">
        <v>960.18658399116248</v>
      </c>
      <c r="D1043" s="2">
        <v>674.40742896869779</v>
      </c>
      <c r="E1043" s="2">
        <v>311.33206926286221</v>
      </c>
      <c r="F1043" s="2">
        <v>14.301394785288721</v>
      </c>
      <c r="G1043" s="2">
        <v>0.80383606671821328</v>
      </c>
      <c r="H1043" s="2">
        <v>10990</v>
      </c>
      <c r="I1043" s="2">
        <v>1195</v>
      </c>
      <c r="J1043" s="2">
        <f>(IF(A1043='Hybrid Calculator'!$B$6,0,1))^2+((B1043-'Hybrid Calculator'!$B$7)/1500)^2+((C1043-'Hybrid Calculator'!$B$8)/1300)^2+((D1043-'Hybrid Calculator'!$B$9)/800)^2+((E1043-'Hybrid Calculator'!$B$10)/350)^2+((F1043-'Hybrid Calculator'!$B$11)/30)^2+(G1043-'Hybrid Calculator'!$B$12)^2+((H1043-'Hybrid Calculator'!$E$14)/IF(A1043="Lightning",100,30000))^2+((I1043-'Hybrid Calculator'!$E$17)/IF(A1043="Lightning",100,30000))^2</f>
        <v>1.4789197130743634</v>
      </c>
      <c r="K1043" s="2">
        <f t="shared" si="64"/>
        <v>1175</v>
      </c>
      <c r="L1043" s="2">
        <f t="shared" si="65"/>
        <v>0</v>
      </c>
      <c r="M1043" s="2">
        <f t="shared" si="66"/>
        <v>0</v>
      </c>
      <c r="N1043" s="2">
        <v>0.23945992991377807</v>
      </c>
      <c r="O1043" s="2">
        <f t="shared" si="67"/>
        <v>0</v>
      </c>
      <c r="P1043" s="2">
        <v>-0.7728289177566694</v>
      </c>
      <c r="Q1043" s="2">
        <v>0.58824515663991406</v>
      </c>
    </row>
    <row r="1044" spans="1:17" ht="15">
      <c r="A1044" s="2" t="s">
        <v>81</v>
      </c>
      <c r="B1044" s="2">
        <v>1011.2867942312732</v>
      </c>
      <c r="C1044" s="2">
        <v>975.17135936068371</v>
      </c>
      <c r="D1044" s="2">
        <v>725.62093809247017</v>
      </c>
      <c r="E1044" s="2">
        <v>165.25347377872095</v>
      </c>
      <c r="F1044" s="2">
        <v>16.57634964492172</v>
      </c>
      <c r="G1044" s="2">
        <v>0.84595611868193377</v>
      </c>
      <c r="H1044" s="2">
        <v>13370</v>
      </c>
      <c r="I1044" s="2">
        <v>1200</v>
      </c>
      <c r="J1044" s="2">
        <f>(IF(A1044='Hybrid Calculator'!$B$6,0,1))^2+((B1044-'Hybrid Calculator'!$B$7)/1500)^2+((C1044-'Hybrid Calculator'!$B$8)/1300)^2+((D1044-'Hybrid Calculator'!$B$9)/800)^2+((E1044-'Hybrid Calculator'!$B$10)/350)^2+((F1044-'Hybrid Calculator'!$B$11)/30)^2+(G1044-'Hybrid Calculator'!$B$12)^2+((H1044-'Hybrid Calculator'!$E$14)/IF(A1044="Lightning",100,30000))^2+((I1044-'Hybrid Calculator'!$E$17)/IF(A1044="Lightning",100,30000))^2</f>
        <v>1.3702348587573248</v>
      </c>
      <c r="K1044" s="2">
        <f t="shared" si="64"/>
        <v>887</v>
      </c>
      <c r="L1044" s="2">
        <f t="shared" si="65"/>
        <v>0</v>
      </c>
      <c r="M1044" s="2">
        <f t="shared" si="66"/>
        <v>0</v>
      </c>
      <c r="N1044" s="2">
        <v>3.6453475603548497</v>
      </c>
      <c r="O1044" s="2">
        <f t="shared" si="67"/>
        <v>0</v>
      </c>
      <c r="P1044" s="2">
        <v>-1.6085547423249409</v>
      </c>
      <c r="Q1044" s="2">
        <v>1.3491524253068974</v>
      </c>
    </row>
    <row r="1045" spans="1:17" ht="15">
      <c r="A1045" s="2" t="s">
        <v>81</v>
      </c>
      <c r="B1045" s="2">
        <v>975.12467502383515</v>
      </c>
      <c r="C1045" s="2">
        <v>968.78506224602461</v>
      </c>
      <c r="D1045" s="2">
        <v>694.11030551418662</v>
      </c>
      <c r="E1045" s="2">
        <v>267.94574413914233</v>
      </c>
      <c r="F1045" s="2">
        <v>25.492657521273941</v>
      </c>
      <c r="G1045" s="2">
        <v>0.83758120789192625</v>
      </c>
      <c r="H1045" s="2">
        <v>12920</v>
      </c>
      <c r="I1045" s="2">
        <v>1200</v>
      </c>
      <c r="J1045" s="2">
        <f>(IF(A1045='Hybrid Calculator'!$B$6,0,1))^2+((B1045-'Hybrid Calculator'!$B$7)/1500)^2+((C1045-'Hybrid Calculator'!$B$8)/1300)^2+((D1045-'Hybrid Calculator'!$B$9)/800)^2+((E1045-'Hybrid Calculator'!$B$10)/350)^2+((F1045-'Hybrid Calculator'!$B$11)/30)^2+(G1045-'Hybrid Calculator'!$B$12)^2+((H1045-'Hybrid Calculator'!$E$14)/IF(A1045="Lightning",100,30000))^2+((I1045-'Hybrid Calculator'!$E$17)/IF(A1045="Lightning",100,30000))^2</f>
        <v>1.5109475458002464</v>
      </c>
      <c r="K1045" s="2">
        <f t="shared" si="64"/>
        <v>1229</v>
      </c>
      <c r="L1045" s="2">
        <f t="shared" si="65"/>
        <v>0</v>
      </c>
      <c r="M1045" s="2">
        <f t="shared" si="66"/>
        <v>0</v>
      </c>
      <c r="N1045" s="2">
        <v>-0.38920637559860438</v>
      </c>
      <c r="O1045" s="2">
        <f t="shared" si="67"/>
        <v>0</v>
      </c>
      <c r="P1045" s="2">
        <v>-9.8368313544515331</v>
      </c>
      <c r="Q1045" s="2">
        <v>-9.2049249429771862</v>
      </c>
    </row>
    <row r="1046" spans="1:17" ht="15">
      <c r="A1046" s="2" t="s">
        <v>81</v>
      </c>
      <c r="B1046" s="2">
        <v>963.5396690107882</v>
      </c>
      <c r="C1046" s="2">
        <v>1046.2049720226787</v>
      </c>
      <c r="D1046" s="2">
        <v>494.30783484131098</v>
      </c>
      <c r="E1046" s="2">
        <v>138.2602639333345</v>
      </c>
      <c r="F1046" s="2">
        <v>27.785975160077214</v>
      </c>
      <c r="G1046" s="2">
        <v>0.83294443658785899</v>
      </c>
      <c r="H1046" s="2">
        <v>14860</v>
      </c>
      <c r="I1046" s="2">
        <v>1200</v>
      </c>
      <c r="J1046" s="2">
        <f>(IF(A1046='Hybrid Calculator'!$B$6,0,1))^2+((B1046-'Hybrid Calculator'!$B$7)/1500)^2+((C1046-'Hybrid Calculator'!$B$8)/1300)^2+((D1046-'Hybrid Calculator'!$B$9)/800)^2+((E1046-'Hybrid Calculator'!$B$10)/350)^2+((F1046-'Hybrid Calculator'!$B$11)/30)^2+(G1046-'Hybrid Calculator'!$B$12)^2+((H1046-'Hybrid Calculator'!$E$14)/IF(A1046="Lightning",100,30000))^2+((I1046-'Hybrid Calculator'!$E$17)/IF(A1046="Lightning",100,30000))^2</f>
        <v>1.4598158696739922</v>
      </c>
      <c r="K1046" s="2">
        <f t="shared" si="64"/>
        <v>1131</v>
      </c>
      <c r="L1046" s="2">
        <f t="shared" si="65"/>
        <v>0</v>
      </c>
      <c r="M1046" s="2">
        <f t="shared" si="66"/>
        <v>0</v>
      </c>
      <c r="N1046" s="2">
        <v>1.4881806115027416</v>
      </c>
      <c r="O1046" s="2">
        <f t="shared" si="67"/>
        <v>0</v>
      </c>
      <c r="P1046" s="2">
        <v>38.040455594597006</v>
      </c>
      <c r="Q1046" s="2">
        <v>-10.957431270793791</v>
      </c>
    </row>
    <row r="1047" spans="1:17" ht="15">
      <c r="A1047" s="2" t="s">
        <v>81</v>
      </c>
      <c r="B1047" s="2">
        <v>1060.8590278425254</v>
      </c>
      <c r="C1047" s="2">
        <v>854.49569385964423</v>
      </c>
      <c r="D1047" s="2">
        <v>656.6251733340323</v>
      </c>
      <c r="E1047" s="2">
        <v>180.66938702948391</v>
      </c>
      <c r="F1047" s="2">
        <v>9.8006775532849133</v>
      </c>
      <c r="G1047" s="2">
        <v>0.85362960855010905</v>
      </c>
      <c r="H1047" s="2">
        <v>12640</v>
      </c>
      <c r="I1047" s="2">
        <v>1200</v>
      </c>
      <c r="J1047" s="2">
        <f>(IF(A1047='Hybrid Calculator'!$B$6,0,1))^2+((B1047-'Hybrid Calculator'!$B$7)/1500)^2+((C1047-'Hybrid Calculator'!$B$8)/1300)^2+((D1047-'Hybrid Calculator'!$B$9)/800)^2+((E1047-'Hybrid Calculator'!$B$10)/350)^2+((F1047-'Hybrid Calculator'!$B$11)/30)^2+(G1047-'Hybrid Calculator'!$B$12)^2+((H1047-'Hybrid Calculator'!$E$14)/IF(A1047="Lightning",100,30000))^2+((I1047-'Hybrid Calculator'!$E$17)/IF(A1047="Lightning",100,30000))^2</f>
        <v>1.367825524491006</v>
      </c>
      <c r="K1047" s="2">
        <f t="shared" si="64"/>
        <v>876</v>
      </c>
      <c r="L1047" s="2">
        <f t="shared" si="65"/>
        <v>0</v>
      </c>
      <c r="M1047" s="2">
        <f t="shared" si="66"/>
        <v>0</v>
      </c>
      <c r="N1047" s="2">
        <v>-9.0635488596063851E-2</v>
      </c>
      <c r="O1047" s="2">
        <f t="shared" si="67"/>
        <v>0</v>
      </c>
      <c r="P1047" s="2">
        <v>3.5340160952127917</v>
      </c>
      <c r="Q1047" s="2">
        <v>3.6858403765415915</v>
      </c>
    </row>
    <row r="1048" spans="1:17" ht="15">
      <c r="A1048" s="2" t="s">
        <v>81</v>
      </c>
      <c r="B1048" s="2">
        <v>985.31321377959102</v>
      </c>
      <c r="C1048" s="2">
        <v>654.49890192830935</v>
      </c>
      <c r="D1048" s="2">
        <v>527.3393239825964</v>
      </c>
      <c r="E1048" s="2">
        <v>225.42457525385544</v>
      </c>
      <c r="F1048" s="2">
        <v>21.212444690056145</v>
      </c>
      <c r="G1048" s="2">
        <v>0.84629021716071295</v>
      </c>
      <c r="H1048" s="2">
        <v>17730</v>
      </c>
      <c r="I1048" s="2">
        <v>1200</v>
      </c>
      <c r="J1048" s="2">
        <f>(IF(A1048='Hybrid Calculator'!$B$6,0,1))^2+((B1048-'Hybrid Calculator'!$B$7)/1500)^2+((C1048-'Hybrid Calculator'!$B$8)/1300)^2+((D1048-'Hybrid Calculator'!$B$9)/800)^2+((E1048-'Hybrid Calculator'!$B$10)/350)^2+((F1048-'Hybrid Calculator'!$B$11)/30)^2+(G1048-'Hybrid Calculator'!$B$12)^2+((H1048-'Hybrid Calculator'!$E$14)/IF(A1048="Lightning",100,30000))^2+((I1048-'Hybrid Calculator'!$E$17)/IF(A1048="Lightning",100,30000))^2</f>
        <v>1.5138591943701525</v>
      </c>
      <c r="K1048" s="2">
        <f t="shared" si="64"/>
        <v>1236</v>
      </c>
      <c r="L1048" s="2">
        <f t="shared" si="65"/>
        <v>0</v>
      </c>
      <c r="M1048" s="2">
        <f t="shared" si="66"/>
        <v>0</v>
      </c>
      <c r="N1048" s="2">
        <v>-2.8609797198423621</v>
      </c>
      <c r="O1048" s="2">
        <f t="shared" si="67"/>
        <v>0</v>
      </c>
      <c r="P1048" s="2">
        <v>-27.359774343016397</v>
      </c>
      <c r="Q1048" s="2">
        <v>2.1183611672890947</v>
      </c>
    </row>
    <row r="1049" spans="1:17" ht="15">
      <c r="A1049" s="2" t="s">
        <v>81</v>
      </c>
      <c r="B1049" s="2">
        <v>952.865122014191</v>
      </c>
      <c r="C1049" s="2">
        <v>611.4004245493561</v>
      </c>
      <c r="D1049" s="2">
        <v>562.37981496378779</v>
      </c>
      <c r="E1049" s="2">
        <v>83.706117509864271</v>
      </c>
      <c r="F1049" s="2">
        <v>28.615328803192824</v>
      </c>
      <c r="G1049" s="2">
        <v>0.83890336798503995</v>
      </c>
      <c r="H1049" s="2">
        <v>19840</v>
      </c>
      <c r="I1049" s="2">
        <v>1200</v>
      </c>
      <c r="J1049" s="2">
        <f>(IF(A1049='Hybrid Calculator'!$B$6,0,1))^2+((B1049-'Hybrid Calculator'!$B$7)/1500)^2+((C1049-'Hybrid Calculator'!$B$8)/1300)^2+((D1049-'Hybrid Calculator'!$B$9)/800)^2+((E1049-'Hybrid Calculator'!$B$10)/350)^2+((F1049-'Hybrid Calculator'!$B$11)/30)^2+(G1049-'Hybrid Calculator'!$B$12)^2+((H1049-'Hybrid Calculator'!$E$14)/IF(A1049="Lightning",100,30000))^2+((I1049-'Hybrid Calculator'!$E$17)/IF(A1049="Lightning",100,30000))^2</f>
        <v>1.7254548098377058</v>
      </c>
      <c r="K1049" s="2">
        <f t="shared" si="64"/>
        <v>1393</v>
      </c>
      <c r="L1049" s="2">
        <f t="shared" si="65"/>
        <v>0</v>
      </c>
      <c r="M1049" s="2">
        <f t="shared" si="66"/>
        <v>0</v>
      </c>
      <c r="N1049" s="2">
        <v>-0.63978532630702034</v>
      </c>
      <c r="O1049" s="2">
        <f t="shared" si="67"/>
        <v>0</v>
      </c>
      <c r="P1049" s="2">
        <v>-36.428289004322323</v>
      </c>
      <c r="Q1049" s="2">
        <v>-4.2665390106919858</v>
      </c>
    </row>
    <row r="1050" spans="1:17" ht="15">
      <c r="A1050" s="2" t="s">
        <v>81</v>
      </c>
      <c r="B1050" s="2">
        <v>1043.5508877504617</v>
      </c>
      <c r="C1050" s="2">
        <v>1149.6531437966041</v>
      </c>
      <c r="D1050" s="2">
        <v>443.92136912792921</v>
      </c>
      <c r="E1050" s="2">
        <v>180.85928469197825</v>
      </c>
      <c r="F1050" s="2">
        <v>17.668463930487633</v>
      </c>
      <c r="G1050" s="2">
        <v>0.81900987832108518</v>
      </c>
      <c r="H1050" s="2">
        <v>12050</v>
      </c>
      <c r="I1050" s="2">
        <v>1200</v>
      </c>
      <c r="J1050" s="2">
        <f>(IF(A1050='Hybrid Calculator'!$B$6,0,1))^2+((B1050-'Hybrid Calculator'!$B$7)/1500)^2+((C1050-'Hybrid Calculator'!$B$8)/1300)^2+((D1050-'Hybrid Calculator'!$B$9)/800)^2+((E1050-'Hybrid Calculator'!$B$10)/350)^2+((F1050-'Hybrid Calculator'!$B$11)/30)^2+(G1050-'Hybrid Calculator'!$B$12)^2+((H1050-'Hybrid Calculator'!$E$14)/IF(A1050="Lightning",100,30000))^2+((I1050-'Hybrid Calculator'!$E$17)/IF(A1050="Lightning",100,30000))^2</f>
        <v>1.2927904527032723</v>
      </c>
      <c r="K1050" s="2">
        <f t="shared" si="64"/>
        <v>720</v>
      </c>
      <c r="L1050" s="2">
        <f t="shared" si="65"/>
        <v>0</v>
      </c>
      <c r="M1050" s="2">
        <f t="shared" si="66"/>
        <v>0</v>
      </c>
      <c r="N1050" s="2">
        <v>-1.4156438615501656</v>
      </c>
      <c r="O1050" s="2">
        <f t="shared" si="67"/>
        <v>0</v>
      </c>
      <c r="P1050" s="2">
        <v>17.840199183650839</v>
      </c>
      <c r="Q1050" s="2">
        <v>-3.4384246916265511</v>
      </c>
    </row>
    <row r="1051" spans="1:17" ht="15">
      <c r="A1051" s="2" t="s">
        <v>81</v>
      </c>
      <c r="B1051" s="2">
        <v>1081.8933379952796</v>
      </c>
      <c r="C1051" s="2">
        <v>1006.6260842373595</v>
      </c>
      <c r="D1051" s="2">
        <v>526.19038345292211</v>
      </c>
      <c r="E1051" s="2">
        <v>200.27760269120336</v>
      </c>
      <c r="F1051" s="2">
        <v>19.936018025968224</v>
      </c>
      <c r="G1051" s="2">
        <v>0.79508508687373258</v>
      </c>
      <c r="H1051" s="2">
        <v>12340</v>
      </c>
      <c r="I1051" s="2">
        <v>1200</v>
      </c>
      <c r="J1051" s="2">
        <f>(IF(A1051='Hybrid Calculator'!$B$6,0,1))^2+((B1051-'Hybrid Calculator'!$B$7)/1500)^2+((C1051-'Hybrid Calculator'!$B$8)/1300)^2+((D1051-'Hybrid Calculator'!$B$9)/800)^2+((E1051-'Hybrid Calculator'!$B$10)/350)^2+((F1051-'Hybrid Calculator'!$B$11)/30)^2+(G1051-'Hybrid Calculator'!$B$12)^2+((H1051-'Hybrid Calculator'!$E$14)/IF(A1051="Lightning",100,30000))^2+((I1051-'Hybrid Calculator'!$E$17)/IF(A1051="Lightning",100,30000))^2</f>
        <v>1.26081680212213</v>
      </c>
      <c r="K1051" s="2">
        <f t="shared" si="64"/>
        <v>701</v>
      </c>
      <c r="L1051" s="2">
        <f t="shared" si="65"/>
        <v>0</v>
      </c>
      <c r="M1051" s="2">
        <f t="shared" si="66"/>
        <v>0</v>
      </c>
      <c r="N1051" s="2">
        <v>-1.6344975890257274</v>
      </c>
      <c r="O1051" s="2">
        <f t="shared" si="67"/>
        <v>0</v>
      </c>
      <c r="P1051" s="2">
        <v>-16.989856871859502</v>
      </c>
      <c r="Q1051" s="2">
        <v>-3.9871775504777816</v>
      </c>
    </row>
    <row r="1052" spans="1:17" ht="15">
      <c r="A1052" s="2" t="s">
        <v>81</v>
      </c>
      <c r="B1052" s="2">
        <v>1044.461715919897</v>
      </c>
      <c r="C1052" s="2">
        <v>700.10763712925836</v>
      </c>
      <c r="D1052" s="2">
        <v>607.3149299249053</v>
      </c>
      <c r="E1052" s="2">
        <v>97.600276332814246</v>
      </c>
      <c r="F1052" s="2">
        <v>21.99022863432765</v>
      </c>
      <c r="G1052" s="2">
        <v>0.79798970338189978</v>
      </c>
      <c r="H1052" s="2">
        <v>15220</v>
      </c>
      <c r="I1052" s="2">
        <v>1200</v>
      </c>
      <c r="J1052" s="2">
        <f>(IF(A1052='Hybrid Calculator'!$B$6,0,1))^2+((B1052-'Hybrid Calculator'!$B$7)/1500)^2+((C1052-'Hybrid Calculator'!$B$8)/1300)^2+((D1052-'Hybrid Calculator'!$B$9)/800)^2+((E1052-'Hybrid Calculator'!$B$10)/350)^2+((F1052-'Hybrid Calculator'!$B$11)/30)^2+(G1052-'Hybrid Calculator'!$B$12)^2+((H1052-'Hybrid Calculator'!$E$14)/IF(A1052="Lightning",100,30000))^2+((I1052-'Hybrid Calculator'!$E$17)/IF(A1052="Lightning",100,30000))^2</f>
        <v>1.3893153656033355</v>
      </c>
      <c r="K1052" s="2">
        <f t="shared" si="64"/>
        <v>949</v>
      </c>
      <c r="L1052" s="2">
        <f t="shared" si="65"/>
        <v>0</v>
      </c>
      <c r="M1052" s="2">
        <f t="shared" si="66"/>
        <v>0</v>
      </c>
      <c r="N1052" s="2">
        <v>0.15085936908138819</v>
      </c>
      <c r="O1052" s="2">
        <f t="shared" si="67"/>
        <v>0</v>
      </c>
      <c r="P1052" s="2">
        <v>-2.8563721413088388</v>
      </c>
      <c r="Q1052" s="2">
        <v>1.6918922572131123E-3</v>
      </c>
    </row>
    <row r="1053" spans="1:17" ht="15">
      <c r="A1053" s="2" t="s">
        <v>81</v>
      </c>
      <c r="B1053" s="2">
        <v>985.10986940236762</v>
      </c>
      <c r="C1053" s="2">
        <v>993.36774486582726</v>
      </c>
      <c r="D1053" s="2">
        <v>503.21044521406293</v>
      </c>
      <c r="E1053" s="2">
        <v>274.21695452183485</v>
      </c>
      <c r="F1053" s="2">
        <v>11.10133563214913</v>
      </c>
      <c r="G1053" s="2">
        <v>0.85963917683344337</v>
      </c>
      <c r="H1053" s="2">
        <v>14090</v>
      </c>
      <c r="I1053" s="2">
        <v>1200</v>
      </c>
      <c r="J1053" s="2">
        <f>(IF(A1053='Hybrid Calculator'!$B$6,0,1))^2+((B1053-'Hybrid Calculator'!$B$7)/1500)^2+((C1053-'Hybrid Calculator'!$B$8)/1300)^2+((D1053-'Hybrid Calculator'!$B$9)/800)^2+((E1053-'Hybrid Calculator'!$B$10)/350)^2+((F1053-'Hybrid Calculator'!$B$11)/30)^2+(G1053-'Hybrid Calculator'!$B$12)^2+((H1053-'Hybrid Calculator'!$E$14)/IF(A1053="Lightning",100,30000))^2+((I1053-'Hybrid Calculator'!$E$17)/IF(A1053="Lightning",100,30000))^2</f>
        <v>1.5070896456732046</v>
      </c>
      <c r="K1053" s="2">
        <f t="shared" si="64"/>
        <v>1223</v>
      </c>
      <c r="L1053" s="2">
        <f t="shared" si="65"/>
        <v>0</v>
      </c>
      <c r="M1053" s="2">
        <f t="shared" si="66"/>
        <v>0</v>
      </c>
      <c r="N1053" s="2">
        <v>0.8376042257428935</v>
      </c>
      <c r="O1053" s="2">
        <f t="shared" si="67"/>
        <v>0</v>
      </c>
      <c r="P1053" s="2">
        <v>35.798912186727193</v>
      </c>
      <c r="Q1053" s="2">
        <v>-3.7906206766838295</v>
      </c>
    </row>
    <row r="1054" spans="1:17" ht="15">
      <c r="A1054" s="2" t="s">
        <v>81</v>
      </c>
      <c r="B1054" s="2">
        <v>1051.1689204955474</v>
      </c>
      <c r="C1054" s="2">
        <v>1175.4582031746395</v>
      </c>
      <c r="D1054" s="2">
        <v>361.74366101622581</v>
      </c>
      <c r="E1054" s="2">
        <v>149.86263900762424</v>
      </c>
      <c r="F1054" s="2">
        <v>22.802581987343729</v>
      </c>
      <c r="G1054" s="2">
        <v>0.85674175048014156</v>
      </c>
      <c r="H1054" s="2">
        <v>12675</v>
      </c>
      <c r="I1054" s="2">
        <v>1200</v>
      </c>
      <c r="J1054" s="2">
        <f>(IF(A1054='Hybrid Calculator'!$B$6,0,1))^2+((B1054-'Hybrid Calculator'!$B$7)/1500)^2+((C1054-'Hybrid Calculator'!$B$8)/1300)^2+((D1054-'Hybrid Calculator'!$B$9)/800)^2+((E1054-'Hybrid Calculator'!$B$10)/350)^2+((F1054-'Hybrid Calculator'!$B$11)/30)^2+(G1054-'Hybrid Calculator'!$B$12)^2+((H1054-'Hybrid Calculator'!$E$14)/IF(A1054="Lightning",100,30000))^2+((I1054-'Hybrid Calculator'!$E$17)/IF(A1054="Lightning",100,30000))^2</f>
        <v>1.3552081788426247</v>
      </c>
      <c r="K1054" s="2">
        <f t="shared" si="64"/>
        <v>845</v>
      </c>
      <c r="L1054" s="2">
        <f t="shared" si="65"/>
        <v>0</v>
      </c>
      <c r="M1054" s="2">
        <f t="shared" si="66"/>
        <v>0</v>
      </c>
      <c r="N1054" s="2">
        <v>-0.12727946358788245</v>
      </c>
      <c r="O1054" s="2">
        <f t="shared" si="67"/>
        <v>0</v>
      </c>
      <c r="P1054" s="2">
        <v>27.864671585185533</v>
      </c>
      <c r="Q1054" s="2">
        <v>-2.2344355633388204</v>
      </c>
    </row>
    <row r="1055" spans="1:17" ht="15">
      <c r="A1055" s="2" t="s">
        <v>81</v>
      </c>
      <c r="B1055" s="2">
        <v>1038.2156139123254</v>
      </c>
      <c r="C1055" s="2">
        <v>730.68297356367111</v>
      </c>
      <c r="D1055" s="2">
        <v>430.00938585028052</v>
      </c>
      <c r="E1055" s="2">
        <v>153.38101707864553</v>
      </c>
      <c r="F1055" s="2">
        <v>16.489344657864422</v>
      </c>
      <c r="G1055" s="2">
        <v>0.85875949556939313</v>
      </c>
      <c r="H1055" s="2">
        <v>16275</v>
      </c>
      <c r="I1055" s="2">
        <v>1200</v>
      </c>
      <c r="J1055" s="2">
        <f>(IF(A1055='Hybrid Calculator'!$B$6,0,1))^2+((B1055-'Hybrid Calculator'!$B$7)/1500)^2+((C1055-'Hybrid Calculator'!$B$8)/1300)^2+((D1055-'Hybrid Calculator'!$B$9)/800)^2+((E1055-'Hybrid Calculator'!$B$10)/350)^2+((F1055-'Hybrid Calculator'!$B$11)/30)^2+(G1055-'Hybrid Calculator'!$B$12)^2+((H1055-'Hybrid Calculator'!$E$14)/IF(A1055="Lightning",100,30000))^2+((I1055-'Hybrid Calculator'!$E$17)/IF(A1055="Lightning",100,30000))^2</f>
        <v>1.3826903071310497</v>
      </c>
      <c r="K1055" s="2">
        <f t="shared" si="64"/>
        <v>924</v>
      </c>
      <c r="L1055" s="2">
        <f t="shared" si="65"/>
        <v>0</v>
      </c>
      <c r="M1055" s="2">
        <f t="shared" si="66"/>
        <v>0</v>
      </c>
      <c r="N1055" s="2">
        <v>-1.67737273340353</v>
      </c>
      <c r="O1055" s="2">
        <f t="shared" si="67"/>
        <v>0</v>
      </c>
      <c r="P1055" s="2">
        <v>19.877619413607135</v>
      </c>
      <c r="Q1055" s="2">
        <v>16.041599255781875</v>
      </c>
    </row>
    <row r="1056" spans="1:17" ht="15">
      <c r="A1056" s="2" t="s">
        <v>81</v>
      </c>
      <c r="B1056" s="2">
        <v>1035.444728937</v>
      </c>
      <c r="C1056" s="2">
        <v>698.99090895196423</v>
      </c>
      <c r="D1056" s="2">
        <v>716.87227729707956</v>
      </c>
      <c r="E1056" s="2">
        <v>187.3719440610148</v>
      </c>
      <c r="F1056" s="2">
        <v>16.290053540840745</v>
      </c>
      <c r="G1056" s="2">
        <v>0.82997497427510103</v>
      </c>
      <c r="H1056" s="2">
        <v>13340</v>
      </c>
      <c r="I1056" s="2">
        <v>1200</v>
      </c>
      <c r="J1056" s="2">
        <f>(IF(A1056='Hybrid Calculator'!$B$6,0,1))^2+((B1056-'Hybrid Calculator'!$B$7)/1500)^2+((C1056-'Hybrid Calculator'!$B$8)/1300)^2+((D1056-'Hybrid Calculator'!$B$9)/800)^2+((E1056-'Hybrid Calculator'!$B$10)/350)^2+((F1056-'Hybrid Calculator'!$B$11)/30)^2+(G1056-'Hybrid Calculator'!$B$12)^2+((H1056-'Hybrid Calculator'!$E$14)/IF(A1056="Lightning",100,30000))^2+((I1056-'Hybrid Calculator'!$E$17)/IF(A1056="Lightning",100,30000))^2</f>
        <v>1.369139598647243</v>
      </c>
      <c r="K1056" s="2">
        <f t="shared" si="64"/>
        <v>883</v>
      </c>
      <c r="L1056" s="2">
        <f t="shared" si="65"/>
        <v>0</v>
      </c>
      <c r="M1056" s="2">
        <f t="shared" si="66"/>
        <v>0</v>
      </c>
      <c r="N1056" s="2">
        <v>-0.59779157221458945</v>
      </c>
      <c r="O1056" s="2">
        <f t="shared" si="67"/>
        <v>0</v>
      </c>
      <c r="P1056" s="2">
        <v>-59.263490543788976</v>
      </c>
      <c r="Q1056" s="2">
        <v>8.8994560938308496</v>
      </c>
    </row>
    <row r="1057" spans="1:17" ht="15">
      <c r="A1057" s="2" t="s">
        <v>81</v>
      </c>
      <c r="B1057" s="2">
        <v>1024.7348272823729</v>
      </c>
      <c r="C1057" s="2">
        <v>703.10034633148462</v>
      </c>
      <c r="D1057" s="2">
        <v>508.41329032555223</v>
      </c>
      <c r="E1057" s="2">
        <v>190.31645559705794</v>
      </c>
      <c r="F1057" s="2">
        <v>13.03973237471655</v>
      </c>
      <c r="G1057" s="2">
        <v>0.8273052923986689</v>
      </c>
      <c r="H1057" s="2">
        <v>15255</v>
      </c>
      <c r="I1057" s="2">
        <v>1200</v>
      </c>
      <c r="J1057" s="2">
        <f>(IF(A1057='Hybrid Calculator'!$B$6,0,1))^2+((B1057-'Hybrid Calculator'!$B$7)/1500)^2+((C1057-'Hybrid Calculator'!$B$8)/1300)^2+((D1057-'Hybrid Calculator'!$B$9)/800)^2+((E1057-'Hybrid Calculator'!$B$10)/350)^2+((F1057-'Hybrid Calculator'!$B$11)/30)^2+(G1057-'Hybrid Calculator'!$B$12)^2+((H1057-'Hybrid Calculator'!$E$14)/IF(A1057="Lightning",100,30000))^2+((I1057-'Hybrid Calculator'!$E$17)/IF(A1057="Lightning",100,30000))^2</f>
        <v>1.3889483419262336</v>
      </c>
      <c r="K1057" s="2">
        <f t="shared" si="64"/>
        <v>947</v>
      </c>
      <c r="L1057" s="2">
        <f t="shared" si="65"/>
        <v>0</v>
      </c>
      <c r="M1057" s="2">
        <f t="shared" si="66"/>
        <v>0</v>
      </c>
      <c r="N1057" s="2">
        <v>-2.0959305899491483</v>
      </c>
      <c r="O1057" s="2">
        <f t="shared" si="67"/>
        <v>0</v>
      </c>
      <c r="P1057" s="2">
        <v>16.92252120268131</v>
      </c>
      <c r="Q1057" s="2">
        <v>7.7404926981489552</v>
      </c>
    </row>
    <row r="1058" spans="1:17" ht="15">
      <c r="A1058" s="2" t="s">
        <v>81</v>
      </c>
      <c r="B1058" s="2">
        <v>1089.691425091587</v>
      </c>
      <c r="C1058" s="2">
        <v>1053.9633357548155</v>
      </c>
      <c r="D1058" s="2">
        <v>365.31782560050488</v>
      </c>
      <c r="E1058" s="2">
        <v>203.80304344696924</v>
      </c>
      <c r="F1058" s="2">
        <v>14.152129252441227</v>
      </c>
      <c r="G1058" s="2">
        <v>0.84134632088942451</v>
      </c>
      <c r="H1058" s="2">
        <v>13175</v>
      </c>
      <c r="I1058" s="2">
        <v>1200</v>
      </c>
      <c r="J1058" s="2">
        <f>(IF(A1058='Hybrid Calculator'!$B$6,0,1))^2+((B1058-'Hybrid Calculator'!$B$7)/1500)^2+((C1058-'Hybrid Calculator'!$B$8)/1300)^2+((D1058-'Hybrid Calculator'!$B$9)/800)^2+((E1058-'Hybrid Calculator'!$B$10)/350)^2+((F1058-'Hybrid Calculator'!$B$11)/30)^2+(G1058-'Hybrid Calculator'!$B$12)^2+((H1058-'Hybrid Calculator'!$E$14)/IF(A1058="Lightning",100,30000))^2+((I1058-'Hybrid Calculator'!$E$17)/IF(A1058="Lightning",100,30000))^2</f>
        <v>1.3409594663152602</v>
      </c>
      <c r="K1058" s="2">
        <f t="shared" si="64"/>
        <v>804</v>
      </c>
      <c r="L1058" s="2">
        <f t="shared" si="65"/>
        <v>0</v>
      </c>
      <c r="M1058" s="2">
        <f t="shared" si="66"/>
        <v>0</v>
      </c>
      <c r="N1058" s="2">
        <v>2.5807002335286029</v>
      </c>
      <c r="O1058" s="2">
        <f t="shared" si="67"/>
        <v>0</v>
      </c>
      <c r="P1058" s="2">
        <v>-27.000731812239792</v>
      </c>
      <c r="Q1058" s="2">
        <v>-1.6353112198460167</v>
      </c>
    </row>
    <row r="1059" spans="1:17" ht="15">
      <c r="A1059" s="2" t="s">
        <v>81</v>
      </c>
      <c r="B1059" s="2">
        <v>963.04345311364159</v>
      </c>
      <c r="C1059" s="2">
        <v>769.88478084094822</v>
      </c>
      <c r="D1059" s="2">
        <v>545.86059181019664</v>
      </c>
      <c r="E1059" s="2">
        <v>171.25628543552011</v>
      </c>
      <c r="F1059" s="2">
        <v>23.622776604723185</v>
      </c>
      <c r="G1059" s="2">
        <v>0.79452286629006275</v>
      </c>
      <c r="H1059" s="2">
        <v>14380</v>
      </c>
      <c r="I1059" s="2">
        <v>1200</v>
      </c>
      <c r="J1059" s="2">
        <f>(IF(A1059='Hybrid Calculator'!$B$6,0,1))^2+((B1059-'Hybrid Calculator'!$B$7)/1500)^2+((C1059-'Hybrid Calculator'!$B$8)/1300)^2+((D1059-'Hybrid Calculator'!$B$9)/800)^2+((E1059-'Hybrid Calculator'!$B$10)/350)^2+((F1059-'Hybrid Calculator'!$B$11)/30)^2+(G1059-'Hybrid Calculator'!$B$12)^2+((H1059-'Hybrid Calculator'!$E$14)/IF(A1059="Lightning",100,30000))^2+((I1059-'Hybrid Calculator'!$E$17)/IF(A1059="Lightning",100,30000))^2</f>
        <v>1.3651259682664443</v>
      </c>
      <c r="K1059" s="2">
        <f t="shared" si="64"/>
        <v>870</v>
      </c>
      <c r="L1059" s="2">
        <f t="shared" si="65"/>
        <v>0</v>
      </c>
      <c r="M1059" s="2">
        <f t="shared" si="66"/>
        <v>0</v>
      </c>
      <c r="N1059" s="2">
        <v>-3.7764004122147412</v>
      </c>
      <c r="O1059" s="2">
        <f t="shared" si="67"/>
        <v>0</v>
      </c>
      <c r="P1059" s="2">
        <v>-25.731741377030175</v>
      </c>
      <c r="Q1059" s="2">
        <v>-2.0950685366207153</v>
      </c>
    </row>
    <row r="1060" spans="1:17" ht="15">
      <c r="A1060" s="2" t="s">
        <v>81</v>
      </c>
      <c r="B1060" s="2">
        <v>1072.9189469013363</v>
      </c>
      <c r="C1060" s="2">
        <v>797.17161859152839</v>
      </c>
      <c r="D1060" s="2">
        <v>683.46476685255766</v>
      </c>
      <c r="E1060" s="2">
        <v>164.67027667211369</v>
      </c>
      <c r="F1060" s="2">
        <v>16.913928605616093</v>
      </c>
      <c r="G1060" s="2">
        <v>0.79701832259306693</v>
      </c>
      <c r="H1060" s="2">
        <v>13000</v>
      </c>
      <c r="I1060" s="2">
        <v>1200</v>
      </c>
      <c r="J1060" s="2">
        <f>(IF(A1060='Hybrid Calculator'!$B$6,0,1))^2+((B1060-'Hybrid Calculator'!$B$7)/1500)^2+((C1060-'Hybrid Calculator'!$B$8)/1300)^2+((D1060-'Hybrid Calculator'!$B$9)/800)^2+((E1060-'Hybrid Calculator'!$B$10)/350)^2+((F1060-'Hybrid Calculator'!$B$11)/30)^2+(G1060-'Hybrid Calculator'!$B$12)^2+((H1060-'Hybrid Calculator'!$E$14)/IF(A1060="Lightning",100,30000))^2+((I1060-'Hybrid Calculator'!$E$17)/IF(A1060="Lightning",100,30000))^2</f>
        <v>1.3022881859715145</v>
      </c>
      <c r="K1060" s="2">
        <f t="shared" si="64"/>
        <v>735</v>
      </c>
      <c r="L1060" s="2">
        <f t="shared" si="65"/>
        <v>0</v>
      </c>
      <c r="M1060" s="2">
        <f t="shared" si="66"/>
        <v>0</v>
      </c>
      <c r="N1060" s="2">
        <v>0.28736283563966936</v>
      </c>
      <c r="O1060" s="2">
        <f t="shared" si="67"/>
        <v>0</v>
      </c>
      <c r="P1060" s="2">
        <v>-41.142862921695269</v>
      </c>
      <c r="Q1060" s="2">
        <v>5.2419979286362377</v>
      </c>
    </row>
    <row r="1061" spans="1:17" ht="15">
      <c r="A1061" s="2" t="s">
        <v>81</v>
      </c>
      <c r="B1061" s="2">
        <v>959.36632483499125</v>
      </c>
      <c r="C1061" s="2">
        <v>1108.11002550181</v>
      </c>
      <c r="D1061" s="2">
        <v>469.16466625407338</v>
      </c>
      <c r="E1061" s="2">
        <v>242.82734414562583</v>
      </c>
      <c r="F1061" s="2">
        <v>29.474727211985737</v>
      </c>
      <c r="G1061" s="2">
        <v>0.85842826442327358</v>
      </c>
      <c r="H1061" s="2">
        <v>13710</v>
      </c>
      <c r="I1061" s="2">
        <v>1200</v>
      </c>
      <c r="J1061" s="2">
        <f>(IF(A1061='Hybrid Calculator'!$B$6,0,1))^2+((B1061-'Hybrid Calculator'!$B$7)/1500)^2+((C1061-'Hybrid Calculator'!$B$8)/1300)^2+((D1061-'Hybrid Calculator'!$B$9)/800)^2+((E1061-'Hybrid Calculator'!$B$10)/350)^2+((F1061-'Hybrid Calculator'!$B$11)/30)^2+(G1061-'Hybrid Calculator'!$B$12)^2+((H1061-'Hybrid Calculator'!$E$14)/IF(A1061="Lightning",100,30000))^2+((I1061-'Hybrid Calculator'!$E$17)/IF(A1061="Lightning",100,30000))^2</f>
        <v>1.5517770819139654</v>
      </c>
      <c r="K1061" s="2">
        <f t="shared" si="64"/>
        <v>1306</v>
      </c>
      <c r="L1061" s="2">
        <f t="shared" si="65"/>
        <v>0</v>
      </c>
      <c r="M1061" s="2">
        <f t="shared" si="66"/>
        <v>0</v>
      </c>
      <c r="N1061" s="2">
        <v>-3.0247852677711649</v>
      </c>
      <c r="O1061" s="2">
        <f t="shared" si="67"/>
        <v>0</v>
      </c>
      <c r="P1061" s="2">
        <v>8.2024889870704101</v>
      </c>
      <c r="Q1061" s="2">
        <v>-18.411849515080007</v>
      </c>
    </row>
    <row r="1062" spans="1:17" ht="15">
      <c r="A1062" s="2" t="s">
        <v>81</v>
      </c>
      <c r="B1062" s="2">
        <v>951.09246254432946</v>
      </c>
      <c r="C1062" s="2">
        <v>672.049449023325</v>
      </c>
      <c r="D1062" s="2">
        <v>357.74137377738953</v>
      </c>
      <c r="E1062" s="2">
        <v>207.88374902447686</v>
      </c>
      <c r="F1062" s="2">
        <v>8.559852528385818</v>
      </c>
      <c r="G1062" s="2">
        <v>0.84639233983820306</v>
      </c>
      <c r="H1062" s="2">
        <v>20160</v>
      </c>
      <c r="I1062" s="2">
        <v>1200</v>
      </c>
      <c r="J1062" s="2">
        <f>(IF(A1062='Hybrid Calculator'!$B$6,0,1))^2+((B1062-'Hybrid Calculator'!$B$7)/1500)^2+((C1062-'Hybrid Calculator'!$B$8)/1300)^2+((D1062-'Hybrid Calculator'!$B$9)/800)^2+((E1062-'Hybrid Calculator'!$B$10)/350)^2+((F1062-'Hybrid Calculator'!$B$11)/30)^2+(G1062-'Hybrid Calculator'!$B$12)^2+((H1062-'Hybrid Calculator'!$E$14)/IF(A1062="Lightning",100,30000))^2+((I1062-'Hybrid Calculator'!$E$17)/IF(A1062="Lightning",100,30000))^2</f>
        <v>1.7388893288038672</v>
      </c>
      <c r="K1062" s="2">
        <f t="shared" si="64"/>
        <v>1397</v>
      </c>
      <c r="L1062" s="2">
        <f t="shared" si="65"/>
        <v>0</v>
      </c>
      <c r="M1062" s="2">
        <f t="shared" si="66"/>
        <v>0</v>
      </c>
      <c r="N1062" s="2">
        <v>0.61854367518904496</v>
      </c>
      <c r="O1062" s="2">
        <f t="shared" si="67"/>
        <v>0</v>
      </c>
      <c r="P1062" s="2">
        <v>14.494247744958102</v>
      </c>
      <c r="Q1062" s="2">
        <v>12.269502520127276</v>
      </c>
    </row>
    <row r="1063" spans="1:17" ht="15">
      <c r="A1063" s="2" t="s">
        <v>81</v>
      </c>
      <c r="B1063" s="2">
        <v>974.3580334703438</v>
      </c>
      <c r="C1063" s="2">
        <v>777.98048639670014</v>
      </c>
      <c r="D1063" s="2">
        <v>363.88532286509871</v>
      </c>
      <c r="E1063" s="2">
        <v>180.91826098505408</v>
      </c>
      <c r="F1063" s="2">
        <v>10.40971635049209</v>
      </c>
      <c r="G1063" s="2">
        <v>0.85459663079120218</v>
      </c>
      <c r="H1063" s="2">
        <v>18860</v>
      </c>
      <c r="I1063" s="2">
        <v>1200</v>
      </c>
      <c r="J1063" s="2">
        <f>(IF(A1063='Hybrid Calculator'!$B$6,0,1))^2+((B1063-'Hybrid Calculator'!$B$7)/1500)^2+((C1063-'Hybrid Calculator'!$B$8)/1300)^2+((D1063-'Hybrid Calculator'!$B$9)/800)^2+((E1063-'Hybrid Calculator'!$B$10)/350)^2+((F1063-'Hybrid Calculator'!$B$11)/30)^2+(G1063-'Hybrid Calculator'!$B$12)^2+((H1063-'Hybrid Calculator'!$E$14)/IF(A1063="Lightning",100,30000))^2+((I1063-'Hybrid Calculator'!$E$17)/IF(A1063="Lightning",100,30000))^2</f>
        <v>1.5986635944293885</v>
      </c>
      <c r="K1063" s="2">
        <f t="shared" si="64"/>
        <v>1350</v>
      </c>
      <c r="L1063" s="2">
        <f t="shared" si="65"/>
        <v>0</v>
      </c>
      <c r="M1063" s="2">
        <f t="shared" si="66"/>
        <v>0</v>
      </c>
      <c r="N1063" s="2">
        <v>2.4826214945704521</v>
      </c>
      <c r="O1063" s="2">
        <f t="shared" si="67"/>
        <v>0</v>
      </c>
      <c r="P1063" s="2">
        <v>-5.6761598286739172</v>
      </c>
      <c r="Q1063" s="2">
        <v>9.0110113031130368</v>
      </c>
    </row>
    <row r="1064" spans="1:17" ht="15">
      <c r="A1064" s="2" t="s">
        <v>81</v>
      </c>
      <c r="B1064" s="2">
        <v>990.25628324598074</v>
      </c>
      <c r="C1064" s="2">
        <v>926.21425207471475</v>
      </c>
      <c r="D1064" s="2">
        <v>430.84852118045092</v>
      </c>
      <c r="E1064" s="2">
        <v>129.46567449951544</v>
      </c>
      <c r="F1064" s="2">
        <v>22.155970325693488</v>
      </c>
      <c r="G1064" s="2">
        <v>0.80177231476875022</v>
      </c>
      <c r="H1064" s="2">
        <v>14385</v>
      </c>
      <c r="I1064" s="2">
        <v>1200</v>
      </c>
      <c r="J1064" s="2">
        <f>(IF(A1064='Hybrid Calculator'!$B$6,0,1))^2+((B1064-'Hybrid Calculator'!$B$7)/1500)^2+((C1064-'Hybrid Calculator'!$B$8)/1300)^2+((D1064-'Hybrid Calculator'!$B$9)/800)^2+((E1064-'Hybrid Calculator'!$B$10)/350)^2+((F1064-'Hybrid Calculator'!$B$11)/30)^2+(G1064-'Hybrid Calculator'!$B$12)^2+((H1064-'Hybrid Calculator'!$E$14)/IF(A1064="Lightning",100,30000))^2+((I1064-'Hybrid Calculator'!$E$17)/IF(A1064="Lightning",100,30000))^2</f>
        <v>1.3433940671142817</v>
      </c>
      <c r="K1064" s="2">
        <f t="shared" si="64"/>
        <v>813</v>
      </c>
      <c r="L1064" s="2">
        <f t="shared" si="65"/>
        <v>0</v>
      </c>
      <c r="M1064" s="2">
        <f t="shared" si="66"/>
        <v>0</v>
      </c>
      <c r="N1064" s="2">
        <v>-2.7875998278422571</v>
      </c>
      <c r="O1064" s="2">
        <f t="shared" si="67"/>
        <v>0</v>
      </c>
      <c r="P1064" s="2">
        <v>36.475164575900635</v>
      </c>
      <c r="Q1064" s="2">
        <v>3.6713635153922723</v>
      </c>
    </row>
    <row r="1065" spans="1:17" ht="15">
      <c r="A1065" s="2" t="s">
        <v>81</v>
      </c>
      <c r="B1065" s="2">
        <v>1038.9353518025018</v>
      </c>
      <c r="C1065" s="2">
        <v>608.10010621789843</v>
      </c>
      <c r="D1065" s="2">
        <v>370.15171060338616</v>
      </c>
      <c r="E1065" s="2">
        <v>280.32455655746162</v>
      </c>
      <c r="F1065" s="2">
        <v>11.653830577153713</v>
      </c>
      <c r="G1065" s="2">
        <v>0.85215660240966828</v>
      </c>
      <c r="H1065" s="2">
        <v>16990</v>
      </c>
      <c r="I1065" s="2">
        <v>1200</v>
      </c>
      <c r="J1065" s="2">
        <f>(IF(A1065='Hybrid Calculator'!$B$6,0,1))^2+((B1065-'Hybrid Calculator'!$B$7)/1500)^2+((C1065-'Hybrid Calculator'!$B$8)/1300)^2+((D1065-'Hybrid Calculator'!$B$9)/800)^2+((E1065-'Hybrid Calculator'!$B$10)/350)^2+((F1065-'Hybrid Calculator'!$B$11)/30)^2+(G1065-'Hybrid Calculator'!$B$12)^2+((H1065-'Hybrid Calculator'!$E$14)/IF(A1065="Lightning",100,30000))^2+((I1065-'Hybrid Calculator'!$E$17)/IF(A1065="Lightning",100,30000))^2</f>
        <v>1.6393551073615193</v>
      </c>
      <c r="K1065" s="2">
        <f t="shared" si="64"/>
        <v>1371</v>
      </c>
      <c r="L1065" s="2">
        <f t="shared" si="65"/>
        <v>0</v>
      </c>
      <c r="M1065" s="2">
        <f t="shared" si="66"/>
        <v>0</v>
      </c>
      <c r="N1065" s="2">
        <v>0.5485084366427202</v>
      </c>
      <c r="O1065" s="2">
        <f t="shared" si="67"/>
        <v>0</v>
      </c>
      <c r="P1065" s="2">
        <v>-4.4227717684325398</v>
      </c>
      <c r="Q1065" s="2">
        <v>18.361076313037302</v>
      </c>
    </row>
    <row r="1066" spans="1:17" ht="15">
      <c r="A1066" s="2" t="s">
        <v>81</v>
      </c>
      <c r="B1066" s="2">
        <v>986.82537050917745</v>
      </c>
      <c r="C1066" s="2">
        <v>752.78026623418555</v>
      </c>
      <c r="D1066" s="2">
        <v>396.82931695133448</v>
      </c>
      <c r="E1066" s="2">
        <v>244.51600572327152</v>
      </c>
      <c r="F1066" s="2">
        <v>13.583029912784696</v>
      </c>
      <c r="G1066" s="2">
        <v>0.82836977883474905</v>
      </c>
      <c r="H1066" s="2">
        <v>17895</v>
      </c>
      <c r="I1066" s="2">
        <v>1200</v>
      </c>
      <c r="J1066" s="2">
        <f>(IF(A1066='Hybrid Calculator'!$B$6,0,1))^2+((B1066-'Hybrid Calculator'!$B$7)/1500)^2+((C1066-'Hybrid Calculator'!$B$8)/1300)^2+((D1066-'Hybrid Calculator'!$B$9)/800)^2+((E1066-'Hybrid Calculator'!$B$10)/350)^2+((F1066-'Hybrid Calculator'!$B$11)/30)^2+(G1066-'Hybrid Calculator'!$B$12)^2+((H1066-'Hybrid Calculator'!$E$14)/IF(A1066="Lightning",100,30000))^2+((I1066-'Hybrid Calculator'!$E$17)/IF(A1066="Lightning",100,30000))^2</f>
        <v>1.5627746125382915</v>
      </c>
      <c r="K1066" s="2">
        <f t="shared" si="64"/>
        <v>1321</v>
      </c>
      <c r="L1066" s="2">
        <f t="shared" si="65"/>
        <v>0</v>
      </c>
      <c r="M1066" s="2">
        <f t="shared" si="66"/>
        <v>0</v>
      </c>
      <c r="N1066" s="2">
        <v>-0.13481240782491</v>
      </c>
      <c r="O1066" s="2">
        <f t="shared" si="67"/>
        <v>0</v>
      </c>
      <c r="P1066" s="2">
        <v>-7.9400234118706976</v>
      </c>
      <c r="Q1066" s="2">
        <v>11.621600601440832</v>
      </c>
    </row>
    <row r="1067" spans="1:17" ht="15">
      <c r="A1067" s="2" t="s">
        <v>81</v>
      </c>
      <c r="B1067" s="2">
        <v>1063.4996547945775</v>
      </c>
      <c r="C1067" s="2">
        <v>1242.6642735721543</v>
      </c>
      <c r="D1067" s="2">
        <v>690.56115234270692</v>
      </c>
      <c r="E1067" s="2">
        <v>234.08152085728943</v>
      </c>
      <c r="F1067" s="2">
        <v>17.021933615673333</v>
      </c>
      <c r="G1067" s="2">
        <v>0.8448708492750302</v>
      </c>
      <c r="H1067" s="2">
        <v>9865</v>
      </c>
      <c r="I1067" s="2">
        <v>1195</v>
      </c>
      <c r="J1067" s="2">
        <f>(IF(A1067='Hybrid Calculator'!$B$6,0,1))^2+((B1067-'Hybrid Calculator'!$B$7)/1500)^2+((C1067-'Hybrid Calculator'!$B$8)/1300)^2+((D1067-'Hybrid Calculator'!$B$9)/800)^2+((E1067-'Hybrid Calculator'!$B$10)/350)^2+((F1067-'Hybrid Calculator'!$B$11)/30)^2+(G1067-'Hybrid Calculator'!$B$12)^2+((H1067-'Hybrid Calculator'!$E$14)/IF(A1067="Lightning",100,30000))^2+((I1067-'Hybrid Calculator'!$E$17)/IF(A1067="Lightning",100,30000))^2</f>
        <v>1.3753717657725719</v>
      </c>
      <c r="K1067" s="2">
        <f t="shared" si="64"/>
        <v>905</v>
      </c>
      <c r="L1067" s="2">
        <f t="shared" si="65"/>
        <v>0</v>
      </c>
      <c r="M1067" s="2">
        <f t="shared" si="66"/>
        <v>0</v>
      </c>
      <c r="N1067" s="2">
        <v>1.4450298924188019</v>
      </c>
      <c r="O1067" s="2">
        <f t="shared" si="67"/>
        <v>0</v>
      </c>
      <c r="P1067" s="2">
        <v>45.159770775118432</v>
      </c>
      <c r="Q1067" s="2">
        <v>-10.75828349533549</v>
      </c>
    </row>
    <row r="1068" spans="1:17" ht="15">
      <c r="A1068" s="2" t="s">
        <v>81</v>
      </c>
      <c r="B1068" s="2">
        <v>955.20901733543724</v>
      </c>
      <c r="C1068" s="2">
        <v>1141.6253465809859</v>
      </c>
      <c r="D1068" s="2">
        <v>585.97655259072781</v>
      </c>
      <c r="E1068" s="2">
        <v>183.51766896201298</v>
      </c>
      <c r="F1068" s="2">
        <v>13.011246931739151</v>
      </c>
      <c r="G1068" s="2">
        <v>0.81224901799811056</v>
      </c>
      <c r="H1068" s="2">
        <v>13055</v>
      </c>
      <c r="I1068" s="2">
        <v>1200</v>
      </c>
      <c r="J1068" s="2">
        <f>(IF(A1068='Hybrid Calculator'!$B$6,0,1))^2+((B1068-'Hybrid Calculator'!$B$7)/1500)^2+((C1068-'Hybrid Calculator'!$B$8)/1300)^2+((D1068-'Hybrid Calculator'!$B$9)/800)^2+((E1068-'Hybrid Calculator'!$B$10)/350)^2+((F1068-'Hybrid Calculator'!$B$11)/30)^2+(G1068-'Hybrid Calculator'!$B$12)^2+((H1068-'Hybrid Calculator'!$E$14)/IF(A1068="Lightning",100,30000))^2+((I1068-'Hybrid Calculator'!$E$17)/IF(A1068="Lightning",100,30000))^2</f>
        <v>1.3921241473322417</v>
      </c>
      <c r="K1068" s="2">
        <f t="shared" si="64"/>
        <v>954</v>
      </c>
      <c r="L1068" s="2">
        <f t="shared" si="65"/>
        <v>0</v>
      </c>
      <c r="M1068" s="2">
        <f t="shared" si="66"/>
        <v>0</v>
      </c>
      <c r="N1068" s="2">
        <v>0.10074733235552458</v>
      </c>
      <c r="O1068" s="2">
        <f t="shared" si="67"/>
        <v>0</v>
      </c>
      <c r="P1068" s="2">
        <v>27.982025407207857</v>
      </c>
      <c r="Q1068" s="2">
        <v>3.2585920673819828</v>
      </c>
    </row>
    <row r="1069" spans="1:17" ht="15">
      <c r="A1069" s="2" t="s">
        <v>81</v>
      </c>
      <c r="B1069" s="2">
        <v>963.57015905668959</v>
      </c>
      <c r="C1069" s="2">
        <v>619.12747272290289</v>
      </c>
      <c r="D1069" s="2">
        <v>356.14047525450587</v>
      </c>
      <c r="E1069" s="2">
        <v>248.12512220349163</v>
      </c>
      <c r="F1069" s="2">
        <v>10.468642889987677</v>
      </c>
      <c r="G1069" s="2">
        <v>0.81227257499471306</v>
      </c>
      <c r="H1069" s="2">
        <v>20395</v>
      </c>
      <c r="I1069" s="2">
        <v>1200</v>
      </c>
      <c r="J1069" s="2">
        <f>(IF(A1069='Hybrid Calculator'!$B$6,0,1))^2+((B1069-'Hybrid Calculator'!$B$7)/1500)^2+((C1069-'Hybrid Calculator'!$B$8)/1300)^2+((D1069-'Hybrid Calculator'!$B$9)/800)^2+((E1069-'Hybrid Calculator'!$B$10)/350)^2+((F1069-'Hybrid Calculator'!$B$11)/30)^2+(G1069-'Hybrid Calculator'!$B$12)^2+((H1069-'Hybrid Calculator'!$E$14)/IF(A1069="Lightning",100,30000))^2+((I1069-'Hybrid Calculator'!$E$17)/IF(A1069="Lightning",100,30000))^2</f>
        <v>1.7702802897292265</v>
      </c>
      <c r="K1069" s="2">
        <f t="shared" si="64"/>
        <v>1400</v>
      </c>
      <c r="L1069" s="2">
        <f t="shared" si="65"/>
        <v>0</v>
      </c>
      <c r="M1069" s="2">
        <f t="shared" si="66"/>
        <v>0</v>
      </c>
      <c r="N1069" s="2">
        <v>-2.1544538941667213</v>
      </c>
      <c r="O1069" s="2">
        <f t="shared" si="67"/>
        <v>0</v>
      </c>
      <c r="P1069" s="2">
        <v>3.8506455357951381</v>
      </c>
      <c r="Q1069" s="2">
        <v>17.068945242898053</v>
      </c>
    </row>
    <row r="1070" spans="1:17" ht="15">
      <c r="A1070" s="2" t="s">
        <v>81</v>
      </c>
      <c r="B1070" s="2">
        <v>1065.2615424711257</v>
      </c>
      <c r="C1070" s="2">
        <v>835.69843469886109</v>
      </c>
      <c r="D1070" s="2">
        <v>590.28387945145369</v>
      </c>
      <c r="E1070" s="2">
        <v>216.7944500525482</v>
      </c>
      <c r="F1070" s="2">
        <v>16.007182568311691</v>
      </c>
      <c r="G1070" s="2">
        <v>0.82423004588345072</v>
      </c>
      <c r="H1070" s="2">
        <v>13020</v>
      </c>
      <c r="I1070" s="2">
        <v>1200</v>
      </c>
      <c r="J1070" s="2">
        <f>(IF(A1070='Hybrid Calculator'!$B$6,0,1))^2+((B1070-'Hybrid Calculator'!$B$7)/1500)^2+((C1070-'Hybrid Calculator'!$B$8)/1300)^2+((D1070-'Hybrid Calculator'!$B$9)/800)^2+((E1070-'Hybrid Calculator'!$B$10)/350)^2+((F1070-'Hybrid Calculator'!$B$11)/30)^2+(G1070-'Hybrid Calculator'!$B$12)^2+((H1070-'Hybrid Calculator'!$E$14)/IF(A1070="Lightning",100,30000))^2+((I1070-'Hybrid Calculator'!$E$17)/IF(A1070="Lightning",100,30000))^2</f>
        <v>1.3021626074921819</v>
      </c>
      <c r="K1070" s="2">
        <f t="shared" si="64"/>
        <v>734</v>
      </c>
      <c r="L1070" s="2">
        <f t="shared" si="65"/>
        <v>0</v>
      </c>
      <c r="M1070" s="2">
        <f t="shared" si="66"/>
        <v>0</v>
      </c>
      <c r="N1070" s="2">
        <v>-1.770996763126675</v>
      </c>
      <c r="O1070" s="2">
        <f t="shared" si="67"/>
        <v>0</v>
      </c>
      <c r="P1070" s="2">
        <v>-18.024693971376564</v>
      </c>
      <c r="Q1070" s="2">
        <v>8.6885522041714012</v>
      </c>
    </row>
    <row r="1071" spans="1:17" ht="15">
      <c r="A1071" s="2" t="s">
        <v>81</v>
      </c>
      <c r="B1071" s="2">
        <v>1023.1119685922749</v>
      </c>
      <c r="C1071" s="2">
        <v>968.03542689885944</v>
      </c>
      <c r="D1071" s="2">
        <v>425.32492699101567</v>
      </c>
      <c r="E1071" s="2">
        <v>279.07931843772531</v>
      </c>
      <c r="F1071" s="2">
        <v>13.415480217430741</v>
      </c>
      <c r="G1071" s="2">
        <v>0.83900768188294028</v>
      </c>
      <c r="H1071" s="2">
        <v>12785</v>
      </c>
      <c r="I1071" s="2">
        <v>1200</v>
      </c>
      <c r="J1071" s="2">
        <f>(IF(A1071='Hybrid Calculator'!$B$6,0,1))^2+((B1071-'Hybrid Calculator'!$B$7)/1500)^2+((C1071-'Hybrid Calculator'!$B$8)/1300)^2+((D1071-'Hybrid Calculator'!$B$9)/800)^2+((E1071-'Hybrid Calculator'!$B$10)/350)^2+((F1071-'Hybrid Calculator'!$B$11)/30)^2+(G1071-'Hybrid Calculator'!$B$12)^2+((H1071-'Hybrid Calculator'!$E$14)/IF(A1071="Lightning",100,30000))^2+((I1071-'Hybrid Calculator'!$E$17)/IF(A1071="Lightning",100,30000))^2</f>
        <v>1.4355734665559901</v>
      </c>
      <c r="K1071" s="2">
        <f t="shared" si="64"/>
        <v>1072</v>
      </c>
      <c r="L1071" s="2">
        <f t="shared" si="65"/>
        <v>0</v>
      </c>
      <c r="M1071" s="2">
        <f t="shared" si="66"/>
        <v>0</v>
      </c>
      <c r="N1071" s="2">
        <v>0.99019519980393511</v>
      </c>
      <c r="O1071" s="2">
        <f t="shared" si="67"/>
        <v>0</v>
      </c>
      <c r="P1071" s="2">
        <v>18.200189320368281</v>
      </c>
      <c r="Q1071" s="2">
        <v>4.4806472792765817</v>
      </c>
    </row>
    <row r="1072" spans="1:17" ht="15">
      <c r="A1072" s="2" t="s">
        <v>81</v>
      </c>
      <c r="B1072" s="2">
        <v>1020.3934685559943</v>
      </c>
      <c r="C1072" s="2">
        <v>1135.8529036981054</v>
      </c>
      <c r="D1072" s="2">
        <v>539.52139765024185</v>
      </c>
      <c r="E1072" s="2">
        <v>329.28184872260317</v>
      </c>
      <c r="F1072" s="2">
        <v>23.687054614536464</v>
      </c>
      <c r="G1072" s="2">
        <v>0.81474104407941927</v>
      </c>
      <c r="H1072" s="2">
        <v>10670</v>
      </c>
      <c r="I1072" s="2">
        <v>1195</v>
      </c>
      <c r="J1072" s="2">
        <f>(IF(A1072='Hybrid Calculator'!$B$6,0,1))^2+((B1072-'Hybrid Calculator'!$B$7)/1500)^2+((C1072-'Hybrid Calculator'!$B$8)/1300)^2+((D1072-'Hybrid Calculator'!$B$9)/800)^2+((E1072-'Hybrid Calculator'!$B$10)/350)^2+((F1072-'Hybrid Calculator'!$B$11)/30)^2+(G1072-'Hybrid Calculator'!$B$12)^2+((H1072-'Hybrid Calculator'!$E$14)/IF(A1072="Lightning",100,30000))^2+((I1072-'Hybrid Calculator'!$E$17)/IF(A1072="Lightning",100,30000))^2</f>
        <v>1.5426923959116767</v>
      </c>
      <c r="K1072" s="2">
        <f t="shared" si="64"/>
        <v>1286</v>
      </c>
      <c r="L1072" s="2">
        <f t="shared" si="65"/>
        <v>0</v>
      </c>
      <c r="M1072" s="2">
        <f t="shared" si="66"/>
        <v>0</v>
      </c>
      <c r="N1072" s="2">
        <v>2.4343668341987836</v>
      </c>
      <c r="O1072" s="2">
        <f t="shared" si="67"/>
        <v>0</v>
      </c>
      <c r="P1072" s="2">
        <v>-4.2233971208429466</v>
      </c>
      <c r="Q1072" s="2">
        <v>-10.447563209555938</v>
      </c>
    </row>
    <row r="1073" spans="1:17" ht="15">
      <c r="A1073" s="2" t="s">
        <v>81</v>
      </c>
      <c r="B1073" s="2">
        <v>1041.494941606652</v>
      </c>
      <c r="C1073" s="2">
        <v>830.0480361096561</v>
      </c>
      <c r="D1073" s="2">
        <v>356.6151431761682</v>
      </c>
      <c r="E1073" s="2">
        <v>308.5140628227964</v>
      </c>
      <c r="F1073" s="2">
        <v>23.790465538855642</v>
      </c>
      <c r="G1073" s="2">
        <v>0.82132359710521996</v>
      </c>
      <c r="H1073" s="2">
        <v>14305</v>
      </c>
      <c r="I1073" s="2">
        <v>1200</v>
      </c>
      <c r="J1073" s="2">
        <f>(IF(A1073='Hybrid Calculator'!$B$6,0,1))^2+((B1073-'Hybrid Calculator'!$B$7)/1500)^2+((C1073-'Hybrid Calculator'!$B$8)/1300)^2+((D1073-'Hybrid Calculator'!$B$9)/800)^2+((E1073-'Hybrid Calculator'!$B$10)/350)^2+((F1073-'Hybrid Calculator'!$B$11)/30)^2+(G1073-'Hybrid Calculator'!$B$12)^2+((H1073-'Hybrid Calculator'!$E$14)/IF(A1073="Lightning",100,30000))^2+((I1073-'Hybrid Calculator'!$E$17)/IF(A1073="Lightning",100,30000))^2</f>
        <v>1.5612605391788326</v>
      </c>
      <c r="K1073" s="2">
        <f t="shared" si="64"/>
        <v>1318</v>
      </c>
      <c r="L1073" s="2">
        <f t="shared" si="65"/>
        <v>0</v>
      </c>
      <c r="M1073" s="2">
        <f t="shared" si="66"/>
        <v>0</v>
      </c>
      <c r="N1073" s="2">
        <v>0.22029865743380128</v>
      </c>
      <c r="O1073" s="2">
        <f t="shared" si="67"/>
        <v>0</v>
      </c>
      <c r="P1073" s="2">
        <v>15.908196770858922</v>
      </c>
      <c r="Q1073" s="2">
        <v>1.3750705206475686</v>
      </c>
    </row>
    <row r="1074" spans="1:17" ht="15">
      <c r="A1074" s="2" t="s">
        <v>81</v>
      </c>
      <c r="B1074" s="2">
        <v>1048.8678682595491</v>
      </c>
      <c r="C1074" s="2">
        <v>919.90799516206607</v>
      </c>
      <c r="D1074" s="2">
        <v>386.36388946324587</v>
      </c>
      <c r="E1074" s="2">
        <v>265.95999904209748</v>
      </c>
      <c r="F1074" s="2">
        <v>19.125183565542102</v>
      </c>
      <c r="G1074" s="2">
        <v>0.80071613890351734</v>
      </c>
      <c r="H1074" s="2">
        <v>13600</v>
      </c>
      <c r="I1074" s="2">
        <v>1200</v>
      </c>
      <c r="J1074" s="2">
        <f>(IF(A1074='Hybrid Calculator'!$B$6,0,1))^2+((B1074-'Hybrid Calculator'!$B$7)/1500)^2+((C1074-'Hybrid Calculator'!$B$8)/1300)^2+((D1074-'Hybrid Calculator'!$B$9)/800)^2+((E1074-'Hybrid Calculator'!$B$10)/350)^2+((F1074-'Hybrid Calculator'!$B$11)/30)^2+(G1074-'Hybrid Calculator'!$B$12)^2+((H1074-'Hybrid Calculator'!$E$14)/IF(A1074="Lightning",100,30000))^2+((I1074-'Hybrid Calculator'!$E$17)/IF(A1074="Lightning",100,30000))^2</f>
        <v>1.4020586694959956</v>
      </c>
      <c r="K1074" s="2">
        <f t="shared" si="64"/>
        <v>980</v>
      </c>
      <c r="L1074" s="2">
        <f t="shared" si="65"/>
        <v>0</v>
      </c>
      <c r="M1074" s="2">
        <f t="shared" si="66"/>
        <v>0</v>
      </c>
      <c r="N1074" s="2">
        <v>6.1524408849891188E-3</v>
      </c>
      <c r="O1074" s="2">
        <f t="shared" si="67"/>
        <v>0</v>
      </c>
      <c r="P1074" s="2">
        <v>35.465493075604627</v>
      </c>
      <c r="Q1074" s="2">
        <v>-0.18072553122010504</v>
      </c>
    </row>
    <row r="1075" spans="1:17" ht="15">
      <c r="A1075" s="2" t="s">
        <v>81</v>
      </c>
      <c r="B1075" s="2">
        <v>1061.8458385230042</v>
      </c>
      <c r="C1075" s="2">
        <v>1162.3700311640278</v>
      </c>
      <c r="D1075" s="2">
        <v>645.11845270171762</v>
      </c>
      <c r="E1075" s="2">
        <v>165.56907228194177</v>
      </c>
      <c r="F1075" s="2">
        <v>22.87702412577346</v>
      </c>
      <c r="G1075" s="2">
        <v>0.80837960876990111</v>
      </c>
      <c r="H1075" s="2">
        <v>10840</v>
      </c>
      <c r="I1075" s="2">
        <v>1195</v>
      </c>
      <c r="J1075" s="2">
        <f>(IF(A1075='Hybrid Calculator'!$B$6,0,1))^2+((B1075-'Hybrid Calculator'!$B$7)/1500)^2+((C1075-'Hybrid Calculator'!$B$8)/1300)^2+((D1075-'Hybrid Calculator'!$B$9)/800)^2+((E1075-'Hybrid Calculator'!$B$10)/350)^2+((F1075-'Hybrid Calculator'!$B$11)/30)^2+(G1075-'Hybrid Calculator'!$B$12)^2+((H1075-'Hybrid Calculator'!$E$14)/IF(A1075="Lightning",100,30000))^2+((I1075-'Hybrid Calculator'!$E$17)/IF(A1075="Lightning",100,30000))^2</f>
        <v>1.3035376517676116</v>
      </c>
      <c r="K1075" s="2">
        <f t="shared" si="64"/>
        <v>738</v>
      </c>
      <c r="L1075" s="2">
        <f t="shared" si="65"/>
        <v>0</v>
      </c>
      <c r="M1075" s="2">
        <f t="shared" si="66"/>
        <v>0</v>
      </c>
      <c r="N1075" s="2">
        <v>1.7611018741348232</v>
      </c>
      <c r="O1075" s="2">
        <f t="shared" si="67"/>
        <v>0</v>
      </c>
      <c r="P1075" s="2">
        <v>66.338427755766588</v>
      </c>
      <c r="Q1075" s="2">
        <v>-11.019112522124487</v>
      </c>
    </row>
    <row r="1076" spans="1:17" ht="15">
      <c r="A1076" s="2" t="s">
        <v>81</v>
      </c>
      <c r="B1076" s="2">
        <v>1006.084891106002</v>
      </c>
      <c r="C1076" s="2">
        <v>1201.3731271610595</v>
      </c>
      <c r="D1076" s="2">
        <v>416.41965843737125</v>
      </c>
      <c r="E1076" s="2">
        <v>127.74228407768533</v>
      </c>
      <c r="F1076" s="2">
        <v>11.02908340934664</v>
      </c>
      <c r="G1076" s="2">
        <v>0.81626730310497808</v>
      </c>
      <c r="H1076" s="2">
        <v>12250</v>
      </c>
      <c r="I1076" s="2">
        <v>1200</v>
      </c>
      <c r="J1076" s="2">
        <f>(IF(A1076='Hybrid Calculator'!$B$6,0,1))^2+((B1076-'Hybrid Calculator'!$B$7)/1500)^2+((C1076-'Hybrid Calculator'!$B$8)/1300)^2+((D1076-'Hybrid Calculator'!$B$9)/800)^2+((E1076-'Hybrid Calculator'!$B$10)/350)^2+((F1076-'Hybrid Calculator'!$B$11)/30)^2+(G1076-'Hybrid Calculator'!$B$12)^2+((H1076-'Hybrid Calculator'!$E$14)/IF(A1076="Lightning",100,30000))^2+((I1076-'Hybrid Calculator'!$E$17)/IF(A1076="Lightning",100,30000))^2</f>
        <v>1.3949517704570338</v>
      </c>
      <c r="K1076" s="2">
        <f t="shared" si="64"/>
        <v>961</v>
      </c>
      <c r="L1076" s="2">
        <f t="shared" si="65"/>
        <v>0</v>
      </c>
      <c r="M1076" s="2">
        <f t="shared" si="66"/>
        <v>0</v>
      </c>
      <c r="N1076" s="2">
        <v>2.5877473931522843</v>
      </c>
      <c r="O1076" s="2">
        <f t="shared" si="67"/>
        <v>0</v>
      </c>
      <c r="P1076" s="2">
        <v>11.968492289547612</v>
      </c>
      <c r="Q1076" s="2">
        <v>5.8417246916221757</v>
      </c>
    </row>
    <row r="1077" spans="1:17" ht="15">
      <c r="A1077" s="2" t="s">
        <v>81</v>
      </c>
      <c r="B1077" s="2">
        <v>1081.2372830114327</v>
      </c>
      <c r="C1077" s="2">
        <v>920.29747101478279</v>
      </c>
      <c r="D1077" s="2">
        <v>535.46773148700595</v>
      </c>
      <c r="E1077" s="2">
        <v>186.36287357192487</v>
      </c>
      <c r="F1077" s="2">
        <v>27.461138527374715</v>
      </c>
      <c r="G1077" s="2">
        <v>0.8180024620890618</v>
      </c>
      <c r="H1077" s="2">
        <v>13025</v>
      </c>
      <c r="I1077" s="2">
        <v>1200</v>
      </c>
      <c r="J1077" s="2">
        <f>(IF(A1077='Hybrid Calculator'!$B$6,0,1))^2+((B1077-'Hybrid Calculator'!$B$7)/1500)^2+((C1077-'Hybrid Calculator'!$B$8)/1300)^2+((D1077-'Hybrid Calculator'!$B$9)/800)^2+((E1077-'Hybrid Calculator'!$B$10)/350)^2+((F1077-'Hybrid Calculator'!$B$11)/30)^2+(G1077-'Hybrid Calculator'!$B$12)^2+((H1077-'Hybrid Calculator'!$E$14)/IF(A1077="Lightning",100,30000))^2+((I1077-'Hybrid Calculator'!$E$17)/IF(A1077="Lightning",100,30000))^2</f>
        <v>1.3460235766517312</v>
      </c>
      <c r="K1077" s="2">
        <f t="shared" si="64"/>
        <v>821</v>
      </c>
      <c r="L1077" s="2">
        <f t="shared" si="65"/>
        <v>0</v>
      </c>
      <c r="M1077" s="2">
        <f t="shared" si="66"/>
        <v>0</v>
      </c>
      <c r="N1077" s="2">
        <v>0.43362273917830407</v>
      </c>
      <c r="O1077" s="2">
        <f t="shared" si="67"/>
        <v>0</v>
      </c>
      <c r="P1077" s="2">
        <v>1.986115304766372</v>
      </c>
      <c r="Q1077" s="2">
        <v>-9.7016885948580693</v>
      </c>
    </row>
    <row r="1078" spans="1:17" ht="15">
      <c r="A1078" s="2" t="s">
        <v>81</v>
      </c>
      <c r="B1078" s="2">
        <v>1095.1089355628937</v>
      </c>
      <c r="C1078" s="2">
        <v>1190.9714271198027</v>
      </c>
      <c r="D1078" s="2">
        <v>515.0281673297286</v>
      </c>
      <c r="E1078" s="2">
        <v>82.907316025812179</v>
      </c>
      <c r="F1078" s="2">
        <v>17.611787524074316</v>
      </c>
      <c r="G1078" s="2">
        <v>0.80852456201100731</v>
      </c>
      <c r="H1078" s="2">
        <v>11955</v>
      </c>
      <c r="I1078" s="2">
        <v>1200</v>
      </c>
      <c r="J1078" s="2">
        <f>(IF(A1078='Hybrid Calculator'!$B$6,0,1))^2+((B1078-'Hybrid Calculator'!$B$7)/1500)^2+((C1078-'Hybrid Calculator'!$B$8)/1300)^2+((D1078-'Hybrid Calculator'!$B$9)/800)^2+((E1078-'Hybrid Calculator'!$B$10)/350)^2+((F1078-'Hybrid Calculator'!$B$11)/30)^2+(G1078-'Hybrid Calculator'!$B$12)^2+((H1078-'Hybrid Calculator'!$E$14)/IF(A1078="Lightning",100,30000))^2+((I1078-'Hybrid Calculator'!$E$17)/IF(A1078="Lightning",100,30000))^2</f>
        <v>1.3142800704964903</v>
      </c>
      <c r="K1078" s="2">
        <f t="shared" si="64"/>
        <v>751</v>
      </c>
      <c r="L1078" s="2">
        <f t="shared" si="65"/>
        <v>0</v>
      </c>
      <c r="M1078" s="2">
        <f t="shared" si="66"/>
        <v>0</v>
      </c>
      <c r="N1078" s="2">
        <v>1.1462243290424112</v>
      </c>
      <c r="O1078" s="2">
        <f t="shared" si="67"/>
        <v>0</v>
      </c>
      <c r="P1078" s="2">
        <v>31.886722182736321</v>
      </c>
      <c r="Q1078" s="2">
        <v>-1.7088923837650327</v>
      </c>
    </row>
    <row r="1079" spans="1:17" ht="15">
      <c r="A1079" s="2" t="s">
        <v>81</v>
      </c>
      <c r="B1079" s="2">
        <v>1001.4246661332436</v>
      </c>
      <c r="C1079" s="2">
        <v>720.4910772619769</v>
      </c>
      <c r="D1079" s="2">
        <v>635.42995350435376</v>
      </c>
      <c r="E1079" s="2">
        <v>197.36501473933458</v>
      </c>
      <c r="F1079" s="2">
        <v>13.295486601535231</v>
      </c>
      <c r="G1079" s="2">
        <v>0.85691018674056985</v>
      </c>
      <c r="H1079" s="2">
        <v>16065</v>
      </c>
      <c r="I1079" s="2">
        <v>1200</v>
      </c>
      <c r="J1079" s="2">
        <f>(IF(A1079='Hybrid Calculator'!$B$6,0,1))^2+((B1079-'Hybrid Calculator'!$B$7)/1500)^2+((C1079-'Hybrid Calculator'!$B$8)/1300)^2+((D1079-'Hybrid Calculator'!$B$9)/800)^2+((E1079-'Hybrid Calculator'!$B$10)/350)^2+((F1079-'Hybrid Calculator'!$B$11)/30)^2+(G1079-'Hybrid Calculator'!$B$12)^2+((H1079-'Hybrid Calculator'!$E$14)/IF(A1079="Lightning",100,30000))^2+((I1079-'Hybrid Calculator'!$E$17)/IF(A1079="Lightning",100,30000))^2</f>
        <v>1.4546081759648712</v>
      </c>
      <c r="K1079" s="2">
        <f t="shared" si="64"/>
        <v>1115</v>
      </c>
      <c r="L1079" s="2">
        <f t="shared" si="65"/>
        <v>0</v>
      </c>
      <c r="M1079" s="2">
        <f t="shared" si="66"/>
        <v>0</v>
      </c>
      <c r="N1079" s="2">
        <v>2.668966447348339</v>
      </c>
      <c r="O1079" s="2">
        <f t="shared" si="67"/>
        <v>0</v>
      </c>
      <c r="P1079" s="2">
        <v>-0.27271120980003616</v>
      </c>
      <c r="Q1079" s="2">
        <v>9.926821223678985</v>
      </c>
    </row>
    <row r="1080" spans="1:17" ht="15">
      <c r="A1080" s="2" t="s">
        <v>81</v>
      </c>
      <c r="B1080" s="2">
        <v>1095.1689759735018</v>
      </c>
      <c r="C1080" s="2">
        <v>708.95078572211787</v>
      </c>
      <c r="D1080" s="2">
        <v>448.49125575274229</v>
      </c>
      <c r="E1080" s="2">
        <v>112.44313906179741</v>
      </c>
      <c r="F1080" s="2">
        <v>27.805617175996304</v>
      </c>
      <c r="G1080" s="2">
        <v>0.84130163388559598</v>
      </c>
      <c r="H1080" s="2">
        <v>16840</v>
      </c>
      <c r="I1080" s="2">
        <v>1200</v>
      </c>
      <c r="J1080" s="2">
        <f>(IF(A1080='Hybrid Calculator'!$B$6,0,1))^2+((B1080-'Hybrid Calculator'!$B$7)/1500)^2+((C1080-'Hybrid Calculator'!$B$8)/1300)^2+((D1080-'Hybrid Calculator'!$B$9)/800)^2+((E1080-'Hybrid Calculator'!$B$10)/350)^2+((F1080-'Hybrid Calculator'!$B$11)/30)^2+(G1080-'Hybrid Calculator'!$B$12)^2+((H1080-'Hybrid Calculator'!$E$14)/IF(A1080="Lightning",100,30000))^2+((I1080-'Hybrid Calculator'!$E$17)/IF(A1080="Lightning",100,30000))^2</f>
        <v>1.4872132328450145</v>
      </c>
      <c r="K1080" s="2">
        <f t="shared" si="64"/>
        <v>1188</v>
      </c>
      <c r="L1080" s="2">
        <f t="shared" si="65"/>
        <v>0</v>
      </c>
      <c r="M1080" s="2">
        <f t="shared" si="66"/>
        <v>0</v>
      </c>
      <c r="N1080" s="2">
        <v>-5.4224822958360903</v>
      </c>
      <c r="O1080" s="2">
        <f t="shared" si="67"/>
        <v>0</v>
      </c>
      <c r="P1080" s="2">
        <v>-41.482820831601202</v>
      </c>
      <c r="Q1080" s="2">
        <v>-2.7083466987326119</v>
      </c>
    </row>
    <row r="1081" spans="1:17" ht="15">
      <c r="A1081" s="2" t="s">
        <v>81</v>
      </c>
      <c r="B1081" s="2">
        <v>1086.822743632365</v>
      </c>
      <c r="C1081" s="2">
        <v>871.93771933671087</v>
      </c>
      <c r="D1081" s="2">
        <v>525.82961292937398</v>
      </c>
      <c r="E1081" s="2">
        <v>130.55528460070491</v>
      </c>
      <c r="F1081" s="2">
        <v>16.282294376287609</v>
      </c>
      <c r="G1081" s="2">
        <v>0.82576422670390459</v>
      </c>
      <c r="H1081" s="2">
        <v>13995</v>
      </c>
      <c r="I1081" s="2">
        <v>1200</v>
      </c>
      <c r="J1081" s="2">
        <f>(IF(A1081='Hybrid Calculator'!$B$6,0,1))^2+((B1081-'Hybrid Calculator'!$B$7)/1500)^2+((C1081-'Hybrid Calculator'!$B$8)/1300)^2+((D1081-'Hybrid Calculator'!$B$9)/800)^2+((E1081-'Hybrid Calculator'!$B$10)/350)^2+((F1081-'Hybrid Calculator'!$B$11)/30)^2+(G1081-'Hybrid Calculator'!$B$12)^2+((H1081-'Hybrid Calculator'!$E$14)/IF(A1081="Lightning",100,30000))^2+((I1081-'Hybrid Calculator'!$E$17)/IF(A1081="Lightning",100,30000))^2</f>
        <v>1.2783440780605468</v>
      </c>
      <c r="K1081" s="2">
        <f t="shared" si="64"/>
        <v>707</v>
      </c>
      <c r="L1081" s="2">
        <f t="shared" si="65"/>
        <v>0</v>
      </c>
      <c r="M1081" s="2">
        <f t="shared" si="66"/>
        <v>0</v>
      </c>
      <c r="N1081" s="2">
        <v>-1.3957064704401034</v>
      </c>
      <c r="O1081" s="2">
        <f t="shared" si="67"/>
        <v>0</v>
      </c>
      <c r="P1081" s="2">
        <v>-1.6784451420789992</v>
      </c>
      <c r="Q1081" s="2">
        <v>11.375863353540581</v>
      </c>
    </row>
    <row r="1082" spans="1:17" ht="15">
      <c r="A1082" s="2" t="s">
        <v>81</v>
      </c>
      <c r="B1082" s="2">
        <v>1061.3141640322283</v>
      </c>
      <c r="C1082" s="2">
        <v>1225.2824097988196</v>
      </c>
      <c r="D1082" s="2">
        <v>446.37819230556488</v>
      </c>
      <c r="E1082" s="2">
        <v>83.109130950178951</v>
      </c>
      <c r="F1082" s="2">
        <v>11.098641905002296</v>
      </c>
      <c r="G1082" s="2">
        <v>0.80307860702043399</v>
      </c>
      <c r="H1082" s="2">
        <v>12185</v>
      </c>
      <c r="I1082" s="2">
        <v>1200</v>
      </c>
      <c r="J1082" s="2">
        <f>(IF(A1082='Hybrid Calculator'!$B$6,0,1))^2+((B1082-'Hybrid Calculator'!$B$7)/1500)^2+((C1082-'Hybrid Calculator'!$B$8)/1300)^2+((D1082-'Hybrid Calculator'!$B$9)/800)^2+((E1082-'Hybrid Calculator'!$B$10)/350)^2+((F1082-'Hybrid Calculator'!$B$11)/30)^2+(G1082-'Hybrid Calculator'!$B$12)^2+((H1082-'Hybrid Calculator'!$E$14)/IF(A1082="Lightning",100,30000))^2+((I1082-'Hybrid Calculator'!$E$17)/IF(A1082="Lightning",100,30000))^2</f>
        <v>1.4094466053610106</v>
      </c>
      <c r="K1082" s="2">
        <f t="shared" si="64"/>
        <v>1006</v>
      </c>
      <c r="L1082" s="2">
        <f t="shared" si="65"/>
        <v>0</v>
      </c>
      <c r="M1082" s="2">
        <f t="shared" si="66"/>
        <v>0</v>
      </c>
      <c r="N1082" s="2">
        <v>2.2580806231297856</v>
      </c>
      <c r="O1082" s="2">
        <f t="shared" si="67"/>
        <v>0</v>
      </c>
      <c r="P1082" s="2">
        <v>74.227003621402673</v>
      </c>
      <c r="Q1082" s="2">
        <v>4.5184245134626053</v>
      </c>
    </row>
    <row r="1083" spans="1:17" ht="15">
      <c r="A1083" s="2" t="s">
        <v>81</v>
      </c>
      <c r="B1083" s="2">
        <v>959.97399137122557</v>
      </c>
      <c r="C1083" s="2">
        <v>1221.3886690326035</v>
      </c>
      <c r="D1083" s="2">
        <v>397.85580104216933</v>
      </c>
      <c r="E1083" s="2">
        <v>124.78556627873331</v>
      </c>
      <c r="F1083" s="2">
        <v>8.3279849565587938</v>
      </c>
      <c r="G1083" s="2">
        <v>0.83566962727345528</v>
      </c>
      <c r="H1083" s="2">
        <v>14305</v>
      </c>
      <c r="I1083" s="2">
        <v>1200</v>
      </c>
      <c r="J1083" s="2">
        <f>(IF(A1083='Hybrid Calculator'!$B$6,0,1))^2+((B1083-'Hybrid Calculator'!$B$7)/1500)^2+((C1083-'Hybrid Calculator'!$B$8)/1300)^2+((D1083-'Hybrid Calculator'!$B$9)/800)^2+((E1083-'Hybrid Calculator'!$B$10)/350)^2+((F1083-'Hybrid Calculator'!$B$11)/30)^2+(G1083-'Hybrid Calculator'!$B$12)^2+((H1083-'Hybrid Calculator'!$E$14)/IF(A1083="Lightning",100,30000))^2+((I1083-'Hybrid Calculator'!$E$17)/IF(A1083="Lightning",100,30000))^2</f>
        <v>1.5417475216770142</v>
      </c>
      <c r="K1083" s="2">
        <f t="shared" si="64"/>
        <v>1284</v>
      </c>
      <c r="L1083" s="2">
        <f t="shared" si="65"/>
        <v>0</v>
      </c>
      <c r="M1083" s="2">
        <f t="shared" si="66"/>
        <v>0</v>
      </c>
      <c r="N1083" s="2">
        <v>-0.50864127575218276</v>
      </c>
      <c r="O1083" s="2">
        <f t="shared" si="67"/>
        <v>0</v>
      </c>
      <c r="P1083" s="2">
        <v>-8.8386167960161401</v>
      </c>
      <c r="Q1083" s="2">
        <v>-2.909935199405254</v>
      </c>
    </row>
    <row r="1084" spans="1:17" ht="15">
      <c r="A1084" s="2" t="s">
        <v>81</v>
      </c>
      <c r="B1084" s="2">
        <v>1096.6432215645909</v>
      </c>
      <c r="C1084" s="2">
        <v>1006.4016521326266</v>
      </c>
      <c r="D1084" s="2">
        <v>635.20630318671465</v>
      </c>
      <c r="E1084" s="2">
        <v>277.64940958702937</v>
      </c>
      <c r="F1084" s="2">
        <v>24.940866207703948</v>
      </c>
      <c r="G1084" s="2">
        <v>0.79164778032572947</v>
      </c>
      <c r="H1084" s="2">
        <v>11145</v>
      </c>
      <c r="I1084" s="2">
        <v>1195</v>
      </c>
      <c r="J1084" s="2">
        <f>(IF(A1084='Hybrid Calculator'!$B$6,0,1))^2+((B1084-'Hybrid Calculator'!$B$7)/1500)^2+((C1084-'Hybrid Calculator'!$B$8)/1300)^2+((D1084-'Hybrid Calculator'!$B$9)/800)^2+((E1084-'Hybrid Calculator'!$B$10)/350)^2+((F1084-'Hybrid Calculator'!$B$11)/30)^2+(G1084-'Hybrid Calculator'!$B$12)^2+((H1084-'Hybrid Calculator'!$E$14)/IF(A1084="Lightning",100,30000))^2+((I1084-'Hybrid Calculator'!$E$17)/IF(A1084="Lightning",100,30000))^2</f>
        <v>1.4091680957485873</v>
      </c>
      <c r="K1084" s="2">
        <f t="shared" si="64"/>
        <v>1003</v>
      </c>
      <c r="L1084" s="2">
        <f t="shared" si="65"/>
        <v>0</v>
      </c>
      <c r="M1084" s="2">
        <f t="shared" si="66"/>
        <v>0</v>
      </c>
      <c r="N1084" s="2">
        <v>1.4681807261847837</v>
      </c>
      <c r="O1084" s="2">
        <f t="shared" si="67"/>
        <v>0</v>
      </c>
      <c r="P1084" s="2">
        <v>24.257792939526098</v>
      </c>
      <c r="Q1084" s="2">
        <v>-10.047945142593107</v>
      </c>
    </row>
    <row r="1085" spans="1:17" ht="15">
      <c r="A1085" s="2" t="s">
        <v>81</v>
      </c>
      <c r="B1085" s="2">
        <v>987.55711173871532</v>
      </c>
      <c r="C1085" s="2">
        <v>759.58401786629111</v>
      </c>
      <c r="D1085" s="2">
        <v>436.63573572412133</v>
      </c>
      <c r="E1085" s="2">
        <v>231.52086387388408</v>
      </c>
      <c r="F1085" s="2">
        <v>14.596186969894916</v>
      </c>
      <c r="G1085" s="2">
        <v>0.80689405370969325</v>
      </c>
      <c r="H1085" s="2">
        <v>14980</v>
      </c>
      <c r="I1085" s="2">
        <v>1200</v>
      </c>
      <c r="J1085" s="2">
        <f>(IF(A1085='Hybrid Calculator'!$B$6,0,1))^2+((B1085-'Hybrid Calculator'!$B$7)/1500)^2+((C1085-'Hybrid Calculator'!$B$8)/1300)^2+((D1085-'Hybrid Calculator'!$B$9)/800)^2+((E1085-'Hybrid Calculator'!$B$10)/350)^2+((F1085-'Hybrid Calculator'!$B$11)/30)^2+(G1085-'Hybrid Calculator'!$B$12)^2+((H1085-'Hybrid Calculator'!$E$14)/IF(A1085="Lightning",100,30000))^2+((I1085-'Hybrid Calculator'!$E$17)/IF(A1085="Lightning",100,30000))^2</f>
        <v>1.4167192091091807</v>
      </c>
      <c r="K1085" s="2">
        <f t="shared" si="64"/>
        <v>1029</v>
      </c>
      <c r="L1085" s="2">
        <f t="shared" si="65"/>
        <v>0</v>
      </c>
      <c r="M1085" s="2">
        <f t="shared" si="66"/>
        <v>0</v>
      </c>
      <c r="N1085" s="2">
        <v>1.4548763904657562</v>
      </c>
      <c r="O1085" s="2">
        <f t="shared" si="67"/>
        <v>0</v>
      </c>
      <c r="P1085" s="2">
        <v>16.369502720838227</v>
      </c>
      <c r="Q1085" s="2">
        <v>13.438369001101819</v>
      </c>
    </row>
    <row r="1086" spans="1:17" ht="15">
      <c r="A1086" s="2" t="s">
        <v>81</v>
      </c>
      <c r="B1086" s="2">
        <v>950.32336886506528</v>
      </c>
      <c r="C1086" s="2">
        <v>994.20471439370885</v>
      </c>
      <c r="D1086" s="2">
        <v>630.41253574192524</v>
      </c>
      <c r="E1086" s="2">
        <v>186.55188577948138</v>
      </c>
      <c r="F1086" s="2">
        <v>15.629079432226717</v>
      </c>
      <c r="G1086" s="2">
        <v>0.79838543548015883</v>
      </c>
      <c r="H1086" s="2">
        <v>13775</v>
      </c>
      <c r="I1086" s="2">
        <v>1200</v>
      </c>
      <c r="J1086" s="2">
        <f>(IF(A1086='Hybrid Calculator'!$B$6,0,1))^2+((B1086-'Hybrid Calculator'!$B$7)/1500)^2+((C1086-'Hybrid Calculator'!$B$8)/1300)^2+((D1086-'Hybrid Calculator'!$B$9)/800)^2+((E1086-'Hybrid Calculator'!$B$10)/350)^2+((F1086-'Hybrid Calculator'!$B$11)/30)^2+(G1086-'Hybrid Calculator'!$B$12)^2+((H1086-'Hybrid Calculator'!$E$14)/IF(A1086="Lightning",100,30000))^2+((I1086-'Hybrid Calculator'!$E$17)/IF(A1086="Lightning",100,30000))^2</f>
        <v>1.3703920350907086</v>
      </c>
      <c r="K1086" s="2">
        <f t="shared" si="64"/>
        <v>888</v>
      </c>
      <c r="L1086" s="2">
        <f t="shared" si="65"/>
        <v>0</v>
      </c>
      <c r="M1086" s="2">
        <f t="shared" si="66"/>
        <v>0</v>
      </c>
      <c r="N1086" s="2">
        <v>4.3241527200513872</v>
      </c>
      <c r="O1086" s="2">
        <f t="shared" si="67"/>
        <v>0</v>
      </c>
      <c r="P1086" s="2">
        <v>-14.441947057886409</v>
      </c>
      <c r="Q1086" s="2">
        <v>-5.4710164094685751</v>
      </c>
    </row>
    <row r="1087" spans="1:17" ht="15">
      <c r="A1087" s="2" t="s">
        <v>81</v>
      </c>
      <c r="B1087" s="2">
        <v>1015.0325419730507</v>
      </c>
      <c r="C1087" s="2">
        <v>935.13084850274026</v>
      </c>
      <c r="D1087" s="2">
        <v>706.33735759183764</v>
      </c>
      <c r="E1087" s="2">
        <v>164.10796418320388</v>
      </c>
      <c r="F1087" s="2">
        <v>18.392715576570481</v>
      </c>
      <c r="G1087" s="2">
        <v>0.82210004758089783</v>
      </c>
      <c r="H1087" s="2">
        <v>11845</v>
      </c>
      <c r="I1087" s="2">
        <v>1195</v>
      </c>
      <c r="J1087" s="2">
        <f>(IF(A1087='Hybrid Calculator'!$B$6,0,1))^2+((B1087-'Hybrid Calculator'!$B$7)/1500)^2+((C1087-'Hybrid Calculator'!$B$8)/1300)^2+((D1087-'Hybrid Calculator'!$B$9)/800)^2+((E1087-'Hybrid Calculator'!$B$10)/350)^2+((F1087-'Hybrid Calculator'!$B$11)/30)^2+(G1087-'Hybrid Calculator'!$B$12)^2+((H1087-'Hybrid Calculator'!$E$14)/IF(A1087="Lightning",100,30000))^2+((I1087-'Hybrid Calculator'!$E$17)/IF(A1087="Lightning",100,30000))^2</f>
        <v>1.3032541734429175</v>
      </c>
      <c r="K1087" s="2">
        <f t="shared" si="64"/>
        <v>737</v>
      </c>
      <c r="L1087" s="2">
        <f t="shared" si="65"/>
        <v>0</v>
      </c>
      <c r="M1087" s="2">
        <f t="shared" si="66"/>
        <v>0</v>
      </c>
      <c r="N1087" s="2">
        <v>4.046871970994772</v>
      </c>
      <c r="O1087" s="2">
        <f t="shared" si="67"/>
        <v>0</v>
      </c>
      <c r="P1087" s="2">
        <v>-20.47280226672774</v>
      </c>
      <c r="Q1087" s="2">
        <v>-3.3692002543843955</v>
      </c>
    </row>
    <row r="1088" spans="1:17" ht="15">
      <c r="A1088" s="2" t="s">
        <v>81</v>
      </c>
      <c r="B1088" s="2">
        <v>1081.6914157476276</v>
      </c>
      <c r="C1088" s="2">
        <v>1203.2325683976524</v>
      </c>
      <c r="D1088" s="2">
        <v>684.98848285526037</v>
      </c>
      <c r="E1088" s="2">
        <v>329.2824008804746</v>
      </c>
      <c r="F1088" s="2">
        <v>16.566145736724138</v>
      </c>
      <c r="G1088" s="2">
        <v>0.84385518774623058</v>
      </c>
      <c r="H1088" s="2">
        <v>9645</v>
      </c>
      <c r="I1088" s="2">
        <v>1195</v>
      </c>
      <c r="J1088" s="2">
        <f>(IF(A1088='Hybrid Calculator'!$B$6,0,1))^2+((B1088-'Hybrid Calculator'!$B$7)/1500)^2+((C1088-'Hybrid Calculator'!$B$8)/1300)^2+((D1088-'Hybrid Calculator'!$B$9)/800)^2+((E1088-'Hybrid Calculator'!$B$10)/350)^2+((F1088-'Hybrid Calculator'!$B$11)/30)^2+(G1088-'Hybrid Calculator'!$B$12)^2+((H1088-'Hybrid Calculator'!$E$14)/IF(A1088="Lightning",100,30000))^2+((I1088-'Hybrid Calculator'!$E$17)/IF(A1088="Lightning",100,30000))^2</f>
        <v>1.550606691670849</v>
      </c>
      <c r="K1088" s="2">
        <f t="shared" si="64"/>
        <v>1301</v>
      </c>
      <c r="L1088" s="2">
        <f t="shared" si="65"/>
        <v>0</v>
      </c>
      <c r="M1088" s="2">
        <f t="shared" si="66"/>
        <v>0</v>
      </c>
      <c r="N1088" s="2">
        <v>5.6377670712806776</v>
      </c>
      <c r="O1088" s="2">
        <f t="shared" si="67"/>
        <v>0</v>
      </c>
      <c r="P1088" s="2">
        <v>13.7419966987527</v>
      </c>
      <c r="Q1088" s="2">
        <v>-4.7005431569518805</v>
      </c>
    </row>
    <row r="1089" spans="1:17" ht="15">
      <c r="A1089" s="2" t="s">
        <v>81</v>
      </c>
      <c r="B1089" s="2">
        <v>1009.2877188813873</v>
      </c>
      <c r="C1089" s="2">
        <v>711.285360599868</v>
      </c>
      <c r="D1089" s="2">
        <v>607.41334008052945</v>
      </c>
      <c r="E1089" s="2">
        <v>226.45295776426792</v>
      </c>
      <c r="F1089" s="2">
        <v>22.831481392029673</v>
      </c>
      <c r="G1089" s="2">
        <v>0.82422861143480985</v>
      </c>
      <c r="H1089" s="2">
        <v>13840</v>
      </c>
      <c r="I1089" s="2">
        <v>1200</v>
      </c>
      <c r="J1089" s="2">
        <f>(IF(A1089='Hybrid Calculator'!$B$6,0,1))^2+((B1089-'Hybrid Calculator'!$B$7)/1500)^2+((C1089-'Hybrid Calculator'!$B$8)/1300)^2+((D1089-'Hybrid Calculator'!$B$9)/800)^2+((E1089-'Hybrid Calculator'!$B$10)/350)^2+((F1089-'Hybrid Calculator'!$B$11)/30)^2+(G1089-'Hybrid Calculator'!$B$12)^2+((H1089-'Hybrid Calculator'!$E$14)/IF(A1089="Lightning",100,30000))^2+((I1089-'Hybrid Calculator'!$E$17)/IF(A1089="Lightning",100,30000))^2</f>
        <v>1.387627068022075</v>
      </c>
      <c r="K1089" s="2">
        <f t="shared" si="64"/>
        <v>940</v>
      </c>
      <c r="L1089" s="2">
        <f t="shared" si="65"/>
        <v>0</v>
      </c>
      <c r="M1089" s="2">
        <f t="shared" si="66"/>
        <v>0</v>
      </c>
      <c r="N1089" s="2">
        <v>1.4337133392608052</v>
      </c>
      <c r="O1089" s="2">
        <f t="shared" si="67"/>
        <v>0</v>
      </c>
      <c r="P1089" s="2">
        <v>-40.759764637278295</v>
      </c>
      <c r="Q1089" s="2">
        <v>0.58162931260324058</v>
      </c>
    </row>
    <row r="1090" spans="1:17" ht="15">
      <c r="A1090" s="2" t="s">
        <v>81</v>
      </c>
      <c r="B1090" s="2">
        <v>1034.9000437417999</v>
      </c>
      <c r="C1090" s="2">
        <v>1166.4512333576567</v>
      </c>
      <c r="D1090" s="2">
        <v>714.70697596669197</v>
      </c>
      <c r="E1090" s="2">
        <v>313.49884193157777</v>
      </c>
      <c r="F1090" s="2">
        <v>27.261717437766492</v>
      </c>
      <c r="G1090" s="2">
        <v>0.80085507077863438</v>
      </c>
      <c r="H1090" s="2">
        <v>9745</v>
      </c>
      <c r="I1090" s="2">
        <v>1195</v>
      </c>
      <c r="J1090" s="2">
        <f>(IF(A1090='Hybrid Calculator'!$B$6,0,1))^2+((B1090-'Hybrid Calculator'!$B$7)/1500)^2+((C1090-'Hybrid Calculator'!$B$8)/1300)^2+((D1090-'Hybrid Calculator'!$B$9)/800)^2+((E1090-'Hybrid Calculator'!$B$10)/350)^2+((F1090-'Hybrid Calculator'!$B$11)/30)^2+(G1090-'Hybrid Calculator'!$B$12)^2+((H1090-'Hybrid Calculator'!$E$14)/IF(A1090="Lightning",100,30000))^2+((I1090-'Hybrid Calculator'!$E$17)/IF(A1090="Lightning",100,30000))^2</f>
        <v>1.6087607498325371</v>
      </c>
      <c r="K1090" s="2">
        <f t="shared" ref="K1090:K1153" si="68">RANK(J1090,$J$2:$J$1401,1)</f>
        <v>1358</v>
      </c>
      <c r="L1090" s="2">
        <f t="shared" ref="L1090:L1153" si="69">IF(K1090&lt;=7,1,0)</f>
        <v>0</v>
      </c>
      <c r="M1090" s="2">
        <f t="shared" ref="M1090:M1153" si="70">IF(L1090=1,1/(J1090+0.000001),0)</f>
        <v>0</v>
      </c>
      <c r="N1090" s="2">
        <v>-0.72109174242044105</v>
      </c>
      <c r="O1090" s="2">
        <f t="shared" ref="O1090:O1153" si="71">M1090</f>
        <v>0</v>
      </c>
      <c r="P1090" s="2">
        <v>59.586051607448553</v>
      </c>
      <c r="Q1090" s="2">
        <v>-22.651877454733267</v>
      </c>
    </row>
    <row r="1091" spans="1:17" ht="15">
      <c r="A1091" s="2" t="s">
        <v>81</v>
      </c>
      <c r="B1091" s="2">
        <v>1097.1753440680914</v>
      </c>
      <c r="C1091" s="2">
        <v>924.97892137616873</v>
      </c>
      <c r="D1091" s="2">
        <v>653.10636898502707</v>
      </c>
      <c r="E1091" s="2">
        <v>219.53874458093196</v>
      </c>
      <c r="F1091" s="2">
        <v>11.329970070626587</v>
      </c>
      <c r="G1091" s="2">
        <v>0.82698960720561443</v>
      </c>
      <c r="H1091" s="2">
        <v>11895</v>
      </c>
      <c r="I1091" s="2">
        <v>1195</v>
      </c>
      <c r="J1091" s="2">
        <f>(IF(A1091='Hybrid Calculator'!$B$6,0,1))^2+((B1091-'Hybrid Calculator'!$B$7)/1500)^2+((C1091-'Hybrid Calculator'!$B$8)/1300)^2+((D1091-'Hybrid Calculator'!$B$9)/800)^2+((E1091-'Hybrid Calculator'!$B$10)/350)^2+((F1091-'Hybrid Calculator'!$B$11)/30)^2+(G1091-'Hybrid Calculator'!$B$12)^2+((H1091-'Hybrid Calculator'!$E$14)/IF(A1091="Lightning",100,30000))^2+((I1091-'Hybrid Calculator'!$E$17)/IF(A1091="Lightning",100,30000))^2</f>
        <v>1.3417772521678351</v>
      </c>
      <c r="K1091" s="2">
        <f t="shared" si="68"/>
        <v>806</v>
      </c>
      <c r="L1091" s="2">
        <f t="shared" si="69"/>
        <v>0</v>
      </c>
      <c r="M1091" s="2">
        <f t="shared" si="70"/>
        <v>0</v>
      </c>
      <c r="N1091" s="2">
        <v>2.2523798900026861</v>
      </c>
      <c r="O1091" s="2">
        <f t="shared" si="71"/>
        <v>0</v>
      </c>
      <c r="P1091" s="2">
        <v>43.446969845622334</v>
      </c>
      <c r="Q1091" s="2">
        <v>-4.764454941030408</v>
      </c>
    </row>
    <row r="1092" spans="1:17" ht="15">
      <c r="A1092" s="2" t="s">
        <v>81</v>
      </c>
      <c r="B1092" s="2">
        <v>1003.3277296461165</v>
      </c>
      <c r="C1092" s="2">
        <v>706.59739127149805</v>
      </c>
      <c r="D1092" s="2">
        <v>612.24638316780329</v>
      </c>
      <c r="E1092" s="2">
        <v>177.1059855655767</v>
      </c>
      <c r="F1092" s="2">
        <v>21.168367059901357</v>
      </c>
      <c r="G1092" s="2">
        <v>0.8516441563447007</v>
      </c>
      <c r="H1092" s="2">
        <v>16680</v>
      </c>
      <c r="I1092" s="2">
        <v>1200</v>
      </c>
      <c r="J1092" s="2">
        <f>(IF(A1092='Hybrid Calculator'!$B$6,0,1))^2+((B1092-'Hybrid Calculator'!$B$7)/1500)^2+((C1092-'Hybrid Calculator'!$B$8)/1300)^2+((D1092-'Hybrid Calculator'!$B$9)/800)^2+((E1092-'Hybrid Calculator'!$B$10)/350)^2+((F1092-'Hybrid Calculator'!$B$11)/30)^2+(G1092-'Hybrid Calculator'!$B$12)^2+((H1092-'Hybrid Calculator'!$E$14)/IF(A1092="Lightning",100,30000))^2+((I1092-'Hybrid Calculator'!$E$17)/IF(A1092="Lightning",100,30000))^2</f>
        <v>1.4346100871183027</v>
      </c>
      <c r="K1092" s="2">
        <f t="shared" si="68"/>
        <v>1070</v>
      </c>
      <c r="L1092" s="2">
        <f t="shared" si="69"/>
        <v>0</v>
      </c>
      <c r="M1092" s="2">
        <f t="shared" si="70"/>
        <v>0</v>
      </c>
      <c r="N1092" s="2">
        <v>-2.7662926912822172</v>
      </c>
      <c r="O1092" s="2">
        <f t="shared" si="71"/>
        <v>0</v>
      </c>
      <c r="P1092" s="2">
        <v>-50.257839772398256</v>
      </c>
      <c r="Q1092" s="2">
        <v>-1.7133983158139472</v>
      </c>
    </row>
    <row r="1093" spans="1:17" ht="15">
      <c r="A1093" s="2" t="s">
        <v>81</v>
      </c>
      <c r="B1093" s="2">
        <v>1083.3569164969958</v>
      </c>
      <c r="C1093" s="2">
        <v>1062.9835509927943</v>
      </c>
      <c r="D1093" s="2">
        <v>379.9449005164206</v>
      </c>
      <c r="E1093" s="2">
        <v>161.22455258853734</v>
      </c>
      <c r="F1093" s="2">
        <v>17.452469692099839</v>
      </c>
      <c r="G1093" s="2">
        <v>0.80688825691584498</v>
      </c>
      <c r="H1093" s="2">
        <v>13330</v>
      </c>
      <c r="I1093" s="2">
        <v>1200</v>
      </c>
      <c r="J1093" s="2">
        <f>(IF(A1093='Hybrid Calculator'!$B$6,0,1))^2+((B1093-'Hybrid Calculator'!$B$7)/1500)^2+((C1093-'Hybrid Calculator'!$B$8)/1300)^2+((D1093-'Hybrid Calculator'!$B$9)/800)^2+((E1093-'Hybrid Calculator'!$B$10)/350)^2+((F1093-'Hybrid Calculator'!$B$11)/30)^2+(G1093-'Hybrid Calculator'!$B$12)^2+((H1093-'Hybrid Calculator'!$E$14)/IF(A1093="Lightning",100,30000))^2+((I1093-'Hybrid Calculator'!$E$17)/IF(A1093="Lightning",100,30000))^2</f>
        <v>1.3011450990866185</v>
      </c>
      <c r="K1093" s="2">
        <f t="shared" si="68"/>
        <v>731</v>
      </c>
      <c r="L1093" s="2">
        <f t="shared" si="69"/>
        <v>0</v>
      </c>
      <c r="M1093" s="2">
        <f t="shared" si="70"/>
        <v>0</v>
      </c>
      <c r="N1093" s="2">
        <v>2.7144632906330912</v>
      </c>
      <c r="O1093" s="2">
        <f t="shared" si="71"/>
        <v>0</v>
      </c>
      <c r="P1093" s="2">
        <v>-22.319976764140847</v>
      </c>
      <c r="Q1093" s="2">
        <v>0.8609076146933603</v>
      </c>
    </row>
    <row r="1094" spans="1:17" ht="15">
      <c r="A1094" s="2" t="s">
        <v>81</v>
      </c>
      <c r="B1094" s="2">
        <v>1087.506140768528</v>
      </c>
      <c r="C1094" s="2">
        <v>1225.616029871162</v>
      </c>
      <c r="D1094" s="2">
        <v>581.11721742898226</v>
      </c>
      <c r="E1094" s="2">
        <v>130.48010364407673</v>
      </c>
      <c r="F1094" s="2">
        <v>25.911093203350902</v>
      </c>
      <c r="G1094" s="2">
        <v>0.83329755519749604</v>
      </c>
      <c r="H1094" s="2">
        <v>11040</v>
      </c>
      <c r="I1094" s="2">
        <v>1195</v>
      </c>
      <c r="J1094" s="2">
        <f>(IF(A1094='Hybrid Calculator'!$B$6,0,1))^2+((B1094-'Hybrid Calculator'!$B$7)/1500)^2+((C1094-'Hybrid Calculator'!$B$8)/1300)^2+((D1094-'Hybrid Calculator'!$B$9)/800)^2+((E1094-'Hybrid Calculator'!$B$10)/350)^2+((F1094-'Hybrid Calculator'!$B$11)/30)^2+(G1094-'Hybrid Calculator'!$B$12)^2+((H1094-'Hybrid Calculator'!$E$14)/IF(A1094="Lightning",100,30000))^2+((I1094-'Hybrid Calculator'!$E$17)/IF(A1094="Lightning",100,30000))^2</f>
        <v>1.3444234402202502</v>
      </c>
      <c r="K1094" s="2">
        <f t="shared" si="68"/>
        <v>816</v>
      </c>
      <c r="L1094" s="2">
        <f t="shared" si="69"/>
        <v>0</v>
      </c>
      <c r="M1094" s="2">
        <f t="shared" si="70"/>
        <v>0</v>
      </c>
      <c r="N1094" s="2">
        <v>1.5664128183485673</v>
      </c>
      <c r="O1094" s="2">
        <f t="shared" si="71"/>
        <v>0</v>
      </c>
      <c r="P1094" s="2">
        <v>5.7852392817508189</v>
      </c>
      <c r="Q1094" s="2">
        <v>-10.611095809745393</v>
      </c>
    </row>
    <row r="1095" spans="1:17" ht="15">
      <c r="A1095" s="2" t="s">
        <v>81</v>
      </c>
      <c r="B1095" s="2">
        <v>970.08147003361955</v>
      </c>
      <c r="C1095" s="2">
        <v>1225.3775948891416</v>
      </c>
      <c r="D1095" s="2">
        <v>746.66278818622231</v>
      </c>
      <c r="E1095" s="2">
        <v>93.708038022741675</v>
      </c>
      <c r="F1095" s="2">
        <v>23.928598162252456</v>
      </c>
      <c r="G1095" s="2">
        <v>0.83152119577396666</v>
      </c>
      <c r="H1095" s="2">
        <v>12080</v>
      </c>
      <c r="I1095" s="2">
        <v>1200</v>
      </c>
      <c r="J1095" s="2">
        <f>(IF(A1095='Hybrid Calculator'!$B$6,0,1))^2+((B1095-'Hybrid Calculator'!$B$7)/1500)^2+((C1095-'Hybrid Calculator'!$B$8)/1300)^2+((D1095-'Hybrid Calculator'!$B$9)/800)^2+((E1095-'Hybrid Calculator'!$B$10)/350)^2+((F1095-'Hybrid Calculator'!$B$11)/30)^2+(G1095-'Hybrid Calculator'!$B$12)^2+((H1095-'Hybrid Calculator'!$E$14)/IF(A1095="Lightning",100,30000))^2+((I1095-'Hybrid Calculator'!$E$17)/IF(A1095="Lightning",100,30000))^2</f>
        <v>1.4915018189189264</v>
      </c>
      <c r="K1095" s="2">
        <f t="shared" si="68"/>
        <v>1192</v>
      </c>
      <c r="L1095" s="2">
        <f t="shared" si="69"/>
        <v>0</v>
      </c>
      <c r="M1095" s="2">
        <f t="shared" si="70"/>
        <v>0</v>
      </c>
      <c r="N1095" s="2">
        <v>2.7952896807331058</v>
      </c>
      <c r="O1095" s="2">
        <f t="shared" si="71"/>
        <v>0</v>
      </c>
      <c r="P1095" s="2">
        <v>74.426929496682988</v>
      </c>
      <c r="Q1095" s="2">
        <v>-7.3892236323450788</v>
      </c>
    </row>
    <row r="1096" spans="1:17" ht="15">
      <c r="A1096" s="2" t="s">
        <v>81</v>
      </c>
      <c r="B1096" s="2">
        <v>1033.3482459886</v>
      </c>
      <c r="C1096" s="2">
        <v>1139.7789378301241</v>
      </c>
      <c r="D1096" s="2">
        <v>466.88361205160618</v>
      </c>
      <c r="E1096" s="2">
        <v>197.98586806980893</v>
      </c>
      <c r="F1096" s="2">
        <v>28.773798489011824</v>
      </c>
      <c r="G1096" s="2">
        <v>0.82857451121089987</v>
      </c>
      <c r="H1096" s="2">
        <v>11850</v>
      </c>
      <c r="I1096" s="2">
        <v>1195</v>
      </c>
      <c r="J1096" s="2">
        <f>(IF(A1096='Hybrid Calculator'!$B$6,0,1))^2+((B1096-'Hybrid Calculator'!$B$7)/1500)^2+((C1096-'Hybrid Calculator'!$B$8)/1300)^2+((D1096-'Hybrid Calculator'!$B$9)/800)^2+((E1096-'Hybrid Calculator'!$B$10)/350)^2+((F1096-'Hybrid Calculator'!$B$11)/30)^2+(G1096-'Hybrid Calculator'!$B$12)^2+((H1096-'Hybrid Calculator'!$E$14)/IF(A1096="Lightning",100,30000))^2+((I1096-'Hybrid Calculator'!$E$17)/IF(A1096="Lightning",100,30000))^2</f>
        <v>1.4119564223733176</v>
      </c>
      <c r="K1096" s="2">
        <f t="shared" si="68"/>
        <v>1013</v>
      </c>
      <c r="L1096" s="2">
        <f t="shared" si="69"/>
        <v>0</v>
      </c>
      <c r="M1096" s="2">
        <f t="shared" si="70"/>
        <v>0</v>
      </c>
      <c r="N1096" s="2">
        <v>1.2825156174533845</v>
      </c>
      <c r="O1096" s="2">
        <f t="shared" si="71"/>
        <v>0</v>
      </c>
      <c r="P1096" s="2">
        <v>59.815634954763027</v>
      </c>
      <c r="Q1096" s="2">
        <v>-17.323260947835365</v>
      </c>
    </row>
    <row r="1097" spans="1:17" ht="15">
      <c r="A1097" s="2" t="s">
        <v>81</v>
      </c>
      <c r="B1097" s="2">
        <v>974.94239587103948</v>
      </c>
      <c r="C1097" s="2">
        <v>1149.8888976406306</v>
      </c>
      <c r="D1097" s="2">
        <v>732.02427877113223</v>
      </c>
      <c r="E1097" s="2">
        <v>240.65544250886887</v>
      </c>
      <c r="F1097" s="2">
        <v>13.232397999148816</v>
      </c>
      <c r="G1097" s="2">
        <v>0.83605054549872881</v>
      </c>
      <c r="H1097" s="2">
        <v>11755</v>
      </c>
      <c r="I1097" s="2">
        <v>1195</v>
      </c>
      <c r="J1097" s="2">
        <f>(IF(A1097='Hybrid Calculator'!$B$6,0,1))^2+((B1097-'Hybrid Calculator'!$B$7)/1500)^2+((C1097-'Hybrid Calculator'!$B$8)/1300)^2+((D1097-'Hybrid Calculator'!$B$9)/800)^2+((E1097-'Hybrid Calculator'!$B$10)/350)^2+((F1097-'Hybrid Calculator'!$B$11)/30)^2+(G1097-'Hybrid Calculator'!$B$12)^2+((H1097-'Hybrid Calculator'!$E$14)/IF(A1097="Lightning",100,30000))^2+((I1097-'Hybrid Calculator'!$E$17)/IF(A1097="Lightning",100,30000))^2</f>
        <v>1.4792840505817837</v>
      </c>
      <c r="K1097" s="2">
        <f t="shared" si="68"/>
        <v>1176</v>
      </c>
      <c r="L1097" s="2">
        <f t="shared" si="69"/>
        <v>0</v>
      </c>
      <c r="M1097" s="2">
        <f t="shared" si="70"/>
        <v>0</v>
      </c>
      <c r="N1097" s="2">
        <v>5.8225801257201795</v>
      </c>
      <c r="O1097" s="2">
        <f t="shared" si="71"/>
        <v>0</v>
      </c>
      <c r="P1097" s="2">
        <v>-0.91364114894213344</v>
      </c>
      <c r="Q1097" s="2">
        <v>0.76194662486909692</v>
      </c>
    </row>
    <row r="1098" spans="1:17" ht="15">
      <c r="A1098" s="2" t="s">
        <v>81</v>
      </c>
      <c r="B1098" s="2">
        <v>1083.745914651081</v>
      </c>
      <c r="C1098" s="2">
        <v>833.97740804357454</v>
      </c>
      <c r="D1098" s="2">
        <v>502.96486970037222</v>
      </c>
      <c r="E1098" s="2">
        <v>295.10325075360015</v>
      </c>
      <c r="F1098" s="2">
        <v>12.178031396120787</v>
      </c>
      <c r="G1098" s="2">
        <v>0.79287357431137939</v>
      </c>
      <c r="H1098" s="2">
        <v>13105</v>
      </c>
      <c r="I1098" s="2">
        <v>1200</v>
      </c>
      <c r="J1098" s="2">
        <f>(IF(A1098='Hybrid Calculator'!$B$6,0,1))^2+((B1098-'Hybrid Calculator'!$B$7)/1500)^2+((C1098-'Hybrid Calculator'!$B$8)/1300)^2+((D1098-'Hybrid Calculator'!$B$9)/800)^2+((E1098-'Hybrid Calculator'!$B$10)/350)^2+((F1098-'Hybrid Calculator'!$B$11)/30)^2+(G1098-'Hybrid Calculator'!$B$12)^2+((H1098-'Hybrid Calculator'!$E$14)/IF(A1098="Lightning",100,30000))^2+((I1098-'Hybrid Calculator'!$E$17)/IF(A1098="Lightning",100,30000))^2</f>
        <v>1.4598482973477578</v>
      </c>
      <c r="K1098" s="2">
        <f t="shared" si="68"/>
        <v>1132</v>
      </c>
      <c r="L1098" s="2">
        <f t="shared" si="69"/>
        <v>0</v>
      </c>
      <c r="M1098" s="2">
        <f t="shared" si="70"/>
        <v>0</v>
      </c>
      <c r="N1098" s="2">
        <v>3.0448444191831641</v>
      </c>
      <c r="O1098" s="2">
        <f t="shared" si="71"/>
        <v>0</v>
      </c>
      <c r="P1098" s="2">
        <v>-31.29002339756471</v>
      </c>
      <c r="Q1098" s="2">
        <v>9.8450103133695848</v>
      </c>
    </row>
    <row r="1099" spans="1:17" ht="15">
      <c r="A1099" s="2" t="s">
        <v>81</v>
      </c>
      <c r="B1099" s="2">
        <v>1095.3511476633139</v>
      </c>
      <c r="C1099" s="2">
        <v>1052.7227184502408</v>
      </c>
      <c r="D1099" s="2">
        <v>372.38311963155866</v>
      </c>
      <c r="E1099" s="2">
        <v>177.89494331926107</v>
      </c>
      <c r="F1099" s="2">
        <v>20.280002790037543</v>
      </c>
      <c r="G1099" s="2">
        <v>0.79266503568273039</v>
      </c>
      <c r="H1099" s="2">
        <v>13340</v>
      </c>
      <c r="I1099" s="2">
        <v>1200</v>
      </c>
      <c r="J1099" s="2">
        <f>(IF(A1099='Hybrid Calculator'!$B$6,0,1))^2+((B1099-'Hybrid Calculator'!$B$7)/1500)^2+((C1099-'Hybrid Calculator'!$B$8)/1300)^2+((D1099-'Hybrid Calculator'!$B$9)/800)^2+((E1099-'Hybrid Calculator'!$B$10)/350)^2+((F1099-'Hybrid Calculator'!$B$11)/30)^2+(G1099-'Hybrid Calculator'!$B$12)^2+((H1099-'Hybrid Calculator'!$E$14)/IF(A1099="Lightning",100,30000))^2+((I1099-'Hybrid Calculator'!$E$17)/IF(A1099="Lightning",100,30000))^2</f>
        <v>1.3064642366603025</v>
      </c>
      <c r="K1099" s="2">
        <f t="shared" si="68"/>
        <v>742</v>
      </c>
      <c r="L1099" s="2">
        <f t="shared" si="69"/>
        <v>0</v>
      </c>
      <c r="M1099" s="2">
        <f t="shared" si="70"/>
        <v>0</v>
      </c>
      <c r="N1099" s="2">
        <v>2.2373037586590954</v>
      </c>
      <c r="O1099" s="2">
        <f t="shared" si="71"/>
        <v>0</v>
      </c>
      <c r="P1099" s="2">
        <v>-23.258607554425453</v>
      </c>
      <c r="Q1099" s="2">
        <v>-4.0216367917523712</v>
      </c>
    </row>
    <row r="1100" spans="1:17" ht="15">
      <c r="A1100" s="2" t="s">
        <v>81</v>
      </c>
      <c r="B1100" s="2">
        <v>1069.1466700518504</v>
      </c>
      <c r="C1100" s="2">
        <v>1234.3057594378479</v>
      </c>
      <c r="D1100" s="2">
        <v>471.64459452033043</v>
      </c>
      <c r="E1100" s="2">
        <v>181.95071384077892</v>
      </c>
      <c r="F1100" s="2">
        <v>14.245607784949243</v>
      </c>
      <c r="G1100" s="2">
        <v>0.81383734831353649</v>
      </c>
      <c r="H1100" s="2">
        <v>11330</v>
      </c>
      <c r="I1100" s="2">
        <v>1195</v>
      </c>
      <c r="J1100" s="2">
        <f>(IF(A1100='Hybrid Calculator'!$B$6,0,1))^2+((B1100-'Hybrid Calculator'!$B$7)/1500)^2+((C1100-'Hybrid Calculator'!$B$8)/1300)^2+((D1100-'Hybrid Calculator'!$B$9)/800)^2+((E1100-'Hybrid Calculator'!$B$10)/350)^2+((F1100-'Hybrid Calculator'!$B$11)/30)^2+(G1100-'Hybrid Calculator'!$B$12)^2+((H1100-'Hybrid Calculator'!$E$14)/IF(A1100="Lightning",100,30000))^2+((I1100-'Hybrid Calculator'!$E$17)/IF(A1100="Lightning",100,30000))^2</f>
        <v>1.3163074582707779</v>
      </c>
      <c r="K1100" s="2">
        <f t="shared" si="68"/>
        <v>755</v>
      </c>
      <c r="L1100" s="2">
        <f t="shared" si="69"/>
        <v>0</v>
      </c>
      <c r="M1100" s="2">
        <f t="shared" si="70"/>
        <v>0</v>
      </c>
      <c r="N1100" s="2">
        <v>4.5553525310678253</v>
      </c>
      <c r="O1100" s="2">
        <f t="shared" si="71"/>
        <v>0</v>
      </c>
      <c r="P1100" s="2">
        <v>64.248917732342761</v>
      </c>
      <c r="Q1100" s="2">
        <v>-4.7067224132333649</v>
      </c>
    </row>
    <row r="1101" spans="1:17" ht="15">
      <c r="A1101" s="2" t="s">
        <v>81</v>
      </c>
      <c r="B1101" s="2">
        <v>1061.1182479071431</v>
      </c>
      <c r="C1101" s="2">
        <v>1193.7006108462811</v>
      </c>
      <c r="D1101" s="2">
        <v>480.90036204084754</v>
      </c>
      <c r="E1101" s="2">
        <v>217.22076930571347</v>
      </c>
      <c r="F1101" s="2">
        <v>26.484011562075466</v>
      </c>
      <c r="G1101" s="2">
        <v>0.84262364248745147</v>
      </c>
      <c r="H1101" s="2">
        <v>11305</v>
      </c>
      <c r="I1101" s="2">
        <v>1195</v>
      </c>
      <c r="J1101" s="2">
        <f>(IF(A1101='Hybrid Calculator'!$B$6,0,1))^2+((B1101-'Hybrid Calculator'!$B$7)/1500)^2+((C1101-'Hybrid Calculator'!$B$8)/1300)^2+((D1101-'Hybrid Calculator'!$B$9)/800)^2+((E1101-'Hybrid Calculator'!$B$10)/350)^2+((F1101-'Hybrid Calculator'!$B$11)/30)^2+(G1101-'Hybrid Calculator'!$B$12)^2+((H1101-'Hybrid Calculator'!$E$14)/IF(A1101="Lightning",100,30000))^2+((I1101-'Hybrid Calculator'!$E$17)/IF(A1101="Lightning",100,30000))^2</f>
        <v>1.3798151285275946</v>
      </c>
      <c r="K1101" s="2">
        <f t="shared" si="68"/>
        <v>916</v>
      </c>
      <c r="L1101" s="2">
        <f t="shared" si="69"/>
        <v>0</v>
      </c>
      <c r="M1101" s="2">
        <f t="shared" si="70"/>
        <v>0</v>
      </c>
      <c r="N1101" s="2">
        <v>-2.5036834390104161</v>
      </c>
      <c r="O1101" s="2">
        <f t="shared" si="71"/>
        <v>0</v>
      </c>
      <c r="P1101" s="2">
        <v>8.9348102312505944</v>
      </c>
      <c r="Q1101" s="2">
        <v>-14.285021045980102</v>
      </c>
    </row>
    <row r="1102" spans="1:17" ht="15">
      <c r="A1102" s="2" t="s">
        <v>81</v>
      </c>
      <c r="B1102" s="2">
        <v>1006.7657924257219</v>
      </c>
      <c r="C1102" s="2">
        <v>1102.8730227961205</v>
      </c>
      <c r="D1102" s="2">
        <v>486.43931988626719</v>
      </c>
      <c r="E1102" s="2">
        <v>300.85054876515642</v>
      </c>
      <c r="F1102" s="2">
        <v>14.045627737417817</v>
      </c>
      <c r="G1102" s="2">
        <v>0.84632811161922294</v>
      </c>
      <c r="H1102" s="2">
        <v>13200</v>
      </c>
      <c r="I1102" s="2">
        <v>1200</v>
      </c>
      <c r="J1102" s="2">
        <f>(IF(A1102='Hybrid Calculator'!$B$6,0,1))^2+((B1102-'Hybrid Calculator'!$B$7)/1500)^2+((C1102-'Hybrid Calculator'!$B$8)/1300)^2+((D1102-'Hybrid Calculator'!$B$9)/800)^2+((E1102-'Hybrid Calculator'!$B$10)/350)^2+((F1102-'Hybrid Calculator'!$B$11)/30)^2+(G1102-'Hybrid Calculator'!$B$12)^2+((H1102-'Hybrid Calculator'!$E$14)/IF(A1102="Lightning",100,30000))^2+((I1102-'Hybrid Calculator'!$E$17)/IF(A1102="Lightning",100,30000))^2</f>
        <v>1.5180383230992243</v>
      </c>
      <c r="K1102" s="2">
        <f t="shared" si="68"/>
        <v>1244</v>
      </c>
      <c r="L1102" s="2">
        <f t="shared" si="69"/>
        <v>0</v>
      </c>
      <c r="M1102" s="2">
        <f t="shared" si="70"/>
        <v>0</v>
      </c>
      <c r="N1102" s="2">
        <v>1.8404170681763219</v>
      </c>
      <c r="O1102" s="2">
        <f t="shared" si="71"/>
        <v>0</v>
      </c>
      <c r="P1102" s="2">
        <v>48.433699420122593</v>
      </c>
      <c r="Q1102" s="2">
        <v>-2.0914443685228434E-2</v>
      </c>
    </row>
    <row r="1103" spans="1:17" ht="15">
      <c r="A1103" s="2" t="s">
        <v>81</v>
      </c>
      <c r="B1103" s="2">
        <v>1093.5676978551783</v>
      </c>
      <c r="C1103" s="2">
        <v>633.29120830167085</v>
      </c>
      <c r="D1103" s="2">
        <v>597.34924370422959</v>
      </c>
      <c r="E1103" s="2">
        <v>263.93998243845999</v>
      </c>
      <c r="F1103" s="2">
        <v>8.7291126330383122</v>
      </c>
      <c r="G1103" s="2">
        <v>0.79445137477014216</v>
      </c>
      <c r="H1103" s="2">
        <v>14310</v>
      </c>
      <c r="I1103" s="2">
        <v>1200</v>
      </c>
      <c r="J1103" s="2">
        <f>(IF(A1103='Hybrid Calculator'!$B$6,0,1))^2+((B1103-'Hybrid Calculator'!$B$7)/1500)^2+((C1103-'Hybrid Calculator'!$B$8)/1300)^2+((D1103-'Hybrid Calculator'!$B$9)/800)^2+((E1103-'Hybrid Calculator'!$B$10)/350)^2+((F1103-'Hybrid Calculator'!$B$11)/30)^2+(G1103-'Hybrid Calculator'!$B$12)^2+((H1103-'Hybrid Calculator'!$E$14)/IF(A1103="Lightning",100,30000))^2+((I1103-'Hybrid Calculator'!$E$17)/IF(A1103="Lightning",100,30000))^2</f>
        <v>1.5316019527813651</v>
      </c>
      <c r="K1103" s="2">
        <f t="shared" si="68"/>
        <v>1267</v>
      </c>
      <c r="L1103" s="2">
        <f t="shared" si="69"/>
        <v>0</v>
      </c>
      <c r="M1103" s="2">
        <f t="shared" si="70"/>
        <v>0</v>
      </c>
      <c r="N1103" s="2">
        <v>-1.1254300374746151</v>
      </c>
      <c r="O1103" s="2">
        <f t="shared" si="71"/>
        <v>0</v>
      </c>
      <c r="P1103" s="2">
        <v>12.43710864792547</v>
      </c>
      <c r="Q1103" s="2">
        <v>14.154916249203552</v>
      </c>
    </row>
    <row r="1104" spans="1:17" ht="15">
      <c r="A1104" s="2" t="s">
        <v>81</v>
      </c>
      <c r="B1104" s="2">
        <v>979.50353620108217</v>
      </c>
      <c r="C1104" s="2">
        <v>639.02297631138936</v>
      </c>
      <c r="D1104" s="2">
        <v>579.59316782653332</v>
      </c>
      <c r="E1104" s="2">
        <v>118.81478094263002</v>
      </c>
      <c r="F1104" s="2">
        <v>28.439366151578724</v>
      </c>
      <c r="G1104" s="2">
        <v>0.81270848356885839</v>
      </c>
      <c r="H1104" s="2">
        <v>15990</v>
      </c>
      <c r="I1104" s="2">
        <v>1200</v>
      </c>
      <c r="J1104" s="2">
        <f>(IF(A1104='Hybrid Calculator'!$B$6,0,1))^2+((B1104-'Hybrid Calculator'!$B$7)/1500)^2+((C1104-'Hybrid Calculator'!$B$8)/1300)^2+((D1104-'Hybrid Calculator'!$B$9)/800)^2+((E1104-'Hybrid Calculator'!$B$10)/350)^2+((F1104-'Hybrid Calculator'!$B$11)/30)^2+(G1104-'Hybrid Calculator'!$B$12)^2+((H1104-'Hybrid Calculator'!$E$14)/IF(A1104="Lightning",100,30000))^2+((I1104-'Hybrid Calculator'!$E$17)/IF(A1104="Lightning",100,30000))^2</f>
        <v>1.5260532041036883</v>
      </c>
      <c r="K1104" s="2">
        <f t="shared" si="68"/>
        <v>1257</v>
      </c>
      <c r="L1104" s="2">
        <f t="shared" si="69"/>
        <v>0</v>
      </c>
      <c r="M1104" s="2">
        <f t="shared" si="70"/>
        <v>0</v>
      </c>
      <c r="N1104" s="2">
        <v>-1.9926136617546035</v>
      </c>
      <c r="O1104" s="2">
        <f t="shared" si="71"/>
        <v>0</v>
      </c>
      <c r="P1104" s="2">
        <v>-1.3914248154442248</v>
      </c>
      <c r="Q1104" s="2">
        <v>-2.9597523260451908</v>
      </c>
    </row>
    <row r="1105" spans="1:17" ht="15">
      <c r="A1105" s="2" t="s">
        <v>81</v>
      </c>
      <c r="B1105" s="2">
        <v>1073.9626328810118</v>
      </c>
      <c r="C1105" s="2">
        <v>1193.2613358367234</v>
      </c>
      <c r="D1105" s="2">
        <v>521.37095658108592</v>
      </c>
      <c r="E1105" s="2">
        <v>164.95645073708147</v>
      </c>
      <c r="F1105" s="2">
        <v>25.175851769279689</v>
      </c>
      <c r="G1105" s="2">
        <v>0.79591740442439918</v>
      </c>
      <c r="H1105" s="2">
        <v>11380</v>
      </c>
      <c r="I1105" s="2">
        <v>1195</v>
      </c>
      <c r="J1105" s="2">
        <f>(IF(A1105='Hybrid Calculator'!$B$6,0,1))^2+((B1105-'Hybrid Calculator'!$B$7)/1500)^2+((C1105-'Hybrid Calculator'!$B$8)/1300)^2+((D1105-'Hybrid Calculator'!$B$9)/800)^2+((E1105-'Hybrid Calculator'!$B$10)/350)^2+((F1105-'Hybrid Calculator'!$B$11)/30)^2+(G1105-'Hybrid Calculator'!$B$12)^2+((H1105-'Hybrid Calculator'!$E$14)/IF(A1105="Lightning",100,30000))^2+((I1105-'Hybrid Calculator'!$E$17)/IF(A1105="Lightning",100,30000))^2</f>
        <v>1.3212802476678924</v>
      </c>
      <c r="K1105" s="2">
        <f t="shared" si="68"/>
        <v>761</v>
      </c>
      <c r="L1105" s="2">
        <f t="shared" si="69"/>
        <v>0</v>
      </c>
      <c r="M1105" s="2">
        <f t="shared" si="70"/>
        <v>0</v>
      </c>
      <c r="N1105" s="2">
        <v>1.7767261316422776</v>
      </c>
      <c r="O1105" s="2">
        <f t="shared" si="71"/>
        <v>0</v>
      </c>
      <c r="P1105" s="2">
        <v>42.478875750220595</v>
      </c>
      <c r="Q1105" s="2">
        <v>-13.122230136430971</v>
      </c>
    </row>
    <row r="1106" spans="1:17" ht="15">
      <c r="A1106" s="2" t="s">
        <v>81</v>
      </c>
      <c r="B1106" s="2">
        <v>1016.5766722057015</v>
      </c>
      <c r="C1106" s="2">
        <v>906.42469505546615</v>
      </c>
      <c r="D1106" s="2">
        <v>730.91161977499723</v>
      </c>
      <c r="E1106" s="2">
        <v>210.20822900580242</v>
      </c>
      <c r="F1106" s="2">
        <v>22.203453131020069</v>
      </c>
      <c r="G1106" s="2">
        <v>0.8409612936736085</v>
      </c>
      <c r="H1106" s="2">
        <v>11575</v>
      </c>
      <c r="I1106" s="2">
        <v>1195</v>
      </c>
      <c r="J1106" s="2">
        <f>(IF(A1106='Hybrid Calculator'!$B$6,0,1))^2+((B1106-'Hybrid Calculator'!$B$7)/1500)^2+((C1106-'Hybrid Calculator'!$B$8)/1300)^2+((D1106-'Hybrid Calculator'!$B$9)/800)^2+((E1106-'Hybrid Calculator'!$B$10)/350)^2+((F1106-'Hybrid Calculator'!$B$11)/30)^2+(G1106-'Hybrid Calculator'!$B$12)^2+((H1106-'Hybrid Calculator'!$E$14)/IF(A1106="Lightning",100,30000))^2+((I1106-'Hybrid Calculator'!$E$17)/IF(A1106="Lightning",100,30000))^2</f>
        <v>1.353710264126418</v>
      </c>
      <c r="K1106" s="2">
        <f t="shared" si="68"/>
        <v>841</v>
      </c>
      <c r="L1106" s="2">
        <f t="shared" si="69"/>
        <v>0</v>
      </c>
      <c r="M1106" s="2">
        <f t="shared" si="70"/>
        <v>0</v>
      </c>
      <c r="N1106" s="2">
        <v>-1.3155820673524659</v>
      </c>
      <c r="O1106" s="2">
        <f t="shared" si="71"/>
        <v>0</v>
      </c>
      <c r="P1106" s="2">
        <v>-28.420286570530152</v>
      </c>
      <c r="Q1106" s="2">
        <v>-6.2034090176316568</v>
      </c>
    </row>
    <row r="1107" spans="1:17" ht="15">
      <c r="A1107" s="2" t="s">
        <v>81</v>
      </c>
      <c r="B1107" s="2">
        <v>1074.3295068969019</v>
      </c>
      <c r="C1107" s="2">
        <v>634.13696659263223</v>
      </c>
      <c r="D1107" s="2">
        <v>527.08417447283864</v>
      </c>
      <c r="E1107" s="2">
        <v>286.21349429711699</v>
      </c>
      <c r="F1107" s="2">
        <v>14.653847365174443</v>
      </c>
      <c r="G1107" s="2">
        <v>0.84879685760941359</v>
      </c>
      <c r="H1107" s="2">
        <v>14775</v>
      </c>
      <c r="I1107" s="2">
        <v>1200</v>
      </c>
      <c r="J1107" s="2">
        <f>(IF(A1107='Hybrid Calculator'!$B$6,0,1))^2+((B1107-'Hybrid Calculator'!$B$7)/1500)^2+((C1107-'Hybrid Calculator'!$B$8)/1300)^2+((D1107-'Hybrid Calculator'!$B$9)/800)^2+((E1107-'Hybrid Calculator'!$B$10)/350)^2+((F1107-'Hybrid Calculator'!$B$11)/30)^2+(G1107-'Hybrid Calculator'!$B$12)^2+((H1107-'Hybrid Calculator'!$E$14)/IF(A1107="Lightning",100,30000))^2+((I1107-'Hybrid Calculator'!$E$17)/IF(A1107="Lightning",100,30000))^2</f>
        <v>1.494550882113352</v>
      </c>
      <c r="K1107" s="2">
        <f t="shared" si="68"/>
        <v>1196</v>
      </c>
      <c r="L1107" s="2">
        <f t="shared" si="69"/>
        <v>0</v>
      </c>
      <c r="M1107" s="2">
        <f t="shared" si="70"/>
        <v>0</v>
      </c>
      <c r="N1107" s="2">
        <v>0.23048333010476085</v>
      </c>
      <c r="O1107" s="2">
        <f t="shared" si="71"/>
        <v>0</v>
      </c>
      <c r="P1107" s="2">
        <v>-54.635127064379049</v>
      </c>
      <c r="Q1107" s="2">
        <v>9.9817452318111464</v>
      </c>
    </row>
    <row r="1108" spans="1:17" ht="15">
      <c r="A1108" s="2" t="s">
        <v>81</v>
      </c>
      <c r="B1108" s="2">
        <v>1049.9594134744257</v>
      </c>
      <c r="C1108" s="2">
        <v>721.86942872358486</v>
      </c>
      <c r="D1108" s="2">
        <v>512.64018919318914</v>
      </c>
      <c r="E1108" s="2">
        <v>302.08998893620446</v>
      </c>
      <c r="F1108" s="2">
        <v>21.010890547186136</v>
      </c>
      <c r="G1108" s="2">
        <v>0.80203220583731316</v>
      </c>
      <c r="H1108" s="2">
        <v>13920</v>
      </c>
      <c r="I1108" s="2">
        <v>1200</v>
      </c>
      <c r="J1108" s="2">
        <f>(IF(A1108='Hybrid Calculator'!$B$6,0,1))^2+((B1108-'Hybrid Calculator'!$B$7)/1500)^2+((C1108-'Hybrid Calculator'!$B$8)/1300)^2+((D1108-'Hybrid Calculator'!$B$9)/800)^2+((E1108-'Hybrid Calculator'!$B$10)/350)^2+((F1108-'Hybrid Calculator'!$B$11)/30)^2+(G1108-'Hybrid Calculator'!$B$12)^2+((H1108-'Hybrid Calculator'!$E$14)/IF(A1108="Lightning",100,30000))^2+((I1108-'Hybrid Calculator'!$E$17)/IF(A1108="Lightning",100,30000))^2</f>
        <v>1.4839191675396126</v>
      </c>
      <c r="K1108" s="2">
        <f t="shared" si="68"/>
        <v>1183</v>
      </c>
      <c r="L1108" s="2">
        <f t="shared" si="69"/>
        <v>0</v>
      </c>
      <c r="M1108" s="2">
        <f t="shared" si="70"/>
        <v>0</v>
      </c>
      <c r="N1108" s="2">
        <v>-2.676578127800326</v>
      </c>
      <c r="O1108" s="2">
        <f t="shared" si="71"/>
        <v>0</v>
      </c>
      <c r="P1108" s="2">
        <v>10.818761300472488</v>
      </c>
      <c r="Q1108" s="2">
        <v>0.49684064997586574</v>
      </c>
    </row>
    <row r="1109" spans="1:17" ht="15">
      <c r="A1109" s="2" t="s">
        <v>81</v>
      </c>
      <c r="B1109" s="2">
        <v>1023.2830127817579</v>
      </c>
      <c r="C1109" s="2">
        <v>999.7965895337984</v>
      </c>
      <c r="D1109" s="2">
        <v>517.16180192306638</v>
      </c>
      <c r="E1109" s="2">
        <v>262.98323825001717</v>
      </c>
      <c r="F1109" s="2">
        <v>28.562529067043215</v>
      </c>
      <c r="G1109" s="2">
        <v>0.85010077662300321</v>
      </c>
      <c r="H1109" s="2">
        <v>12015</v>
      </c>
      <c r="I1109" s="2">
        <v>1200</v>
      </c>
      <c r="J1109" s="2">
        <f>(IF(A1109='Hybrid Calculator'!$B$6,0,1))^2+((B1109-'Hybrid Calculator'!$B$7)/1500)^2+((C1109-'Hybrid Calculator'!$B$8)/1300)^2+((D1109-'Hybrid Calculator'!$B$9)/800)^2+((E1109-'Hybrid Calculator'!$B$10)/350)^2+((F1109-'Hybrid Calculator'!$B$11)/30)^2+(G1109-'Hybrid Calculator'!$B$12)^2+((H1109-'Hybrid Calculator'!$E$14)/IF(A1109="Lightning",100,30000))^2+((I1109-'Hybrid Calculator'!$E$17)/IF(A1109="Lightning",100,30000))^2</f>
        <v>1.4636795462422751</v>
      </c>
      <c r="K1109" s="2">
        <f t="shared" si="68"/>
        <v>1144</v>
      </c>
      <c r="L1109" s="2">
        <f t="shared" si="69"/>
        <v>0</v>
      </c>
      <c r="M1109" s="2">
        <f t="shared" si="70"/>
        <v>0</v>
      </c>
      <c r="N1109" s="2">
        <v>-1.6795636878408118</v>
      </c>
      <c r="O1109" s="2">
        <f t="shared" si="71"/>
        <v>0</v>
      </c>
      <c r="P1109" s="2">
        <v>15.712048065212457</v>
      </c>
      <c r="Q1109" s="2">
        <v>-14.779401875178337</v>
      </c>
    </row>
    <row r="1110" spans="1:17" ht="15">
      <c r="A1110" s="2" t="s">
        <v>81</v>
      </c>
      <c r="B1110" s="2">
        <v>961.88241636846215</v>
      </c>
      <c r="C1110" s="2">
        <v>879.56894497619942</v>
      </c>
      <c r="D1110" s="2">
        <v>566.35734811425209</v>
      </c>
      <c r="E1110" s="2">
        <v>273.31066537415609</v>
      </c>
      <c r="F1110" s="2">
        <v>29.498304112814367</v>
      </c>
      <c r="G1110" s="2">
        <v>0.84678552007069818</v>
      </c>
      <c r="H1110" s="2">
        <v>14510</v>
      </c>
      <c r="I1110" s="2">
        <v>1200</v>
      </c>
      <c r="J1110" s="2">
        <f>(IF(A1110='Hybrid Calculator'!$B$6,0,1))^2+((B1110-'Hybrid Calculator'!$B$7)/1500)^2+((C1110-'Hybrid Calculator'!$B$8)/1300)^2+((D1110-'Hybrid Calculator'!$B$9)/800)^2+((E1110-'Hybrid Calculator'!$B$10)/350)^2+((F1110-'Hybrid Calculator'!$B$11)/30)^2+(G1110-'Hybrid Calculator'!$B$12)^2+((H1110-'Hybrid Calculator'!$E$14)/IF(A1110="Lightning",100,30000))^2+((I1110-'Hybrid Calculator'!$E$17)/IF(A1110="Lightning",100,30000))^2</f>
        <v>1.595826192577511</v>
      </c>
      <c r="K1110" s="2">
        <f t="shared" si="68"/>
        <v>1348</v>
      </c>
      <c r="L1110" s="2">
        <f t="shared" si="69"/>
        <v>0</v>
      </c>
      <c r="M1110" s="2">
        <f t="shared" si="70"/>
        <v>0</v>
      </c>
      <c r="N1110" s="2">
        <v>-3.4574766619598449</v>
      </c>
      <c r="O1110" s="2">
        <f t="shared" si="71"/>
        <v>0</v>
      </c>
      <c r="P1110" s="2">
        <v>6.3849963853040208</v>
      </c>
      <c r="Q1110" s="2">
        <v>-9.2231445310900426</v>
      </c>
    </row>
    <row r="1111" spans="1:17" ht="15">
      <c r="A1111" s="2" t="s">
        <v>81</v>
      </c>
      <c r="B1111" s="2">
        <v>1034.2093083891086</v>
      </c>
      <c r="C1111" s="2">
        <v>1182.6451668515801</v>
      </c>
      <c r="D1111" s="2">
        <v>534.49095925316215</v>
      </c>
      <c r="E1111" s="2">
        <v>272.73628678638488</v>
      </c>
      <c r="F1111" s="2">
        <v>23.556648844387382</v>
      </c>
      <c r="G1111" s="2">
        <v>0.84762654325924813</v>
      </c>
      <c r="H1111" s="2">
        <v>10745</v>
      </c>
      <c r="I1111" s="2">
        <v>1195</v>
      </c>
      <c r="J1111" s="2">
        <f>(IF(A1111='Hybrid Calculator'!$B$6,0,1))^2+((B1111-'Hybrid Calculator'!$B$7)/1500)^2+((C1111-'Hybrid Calculator'!$B$8)/1300)^2+((D1111-'Hybrid Calculator'!$B$9)/800)^2+((E1111-'Hybrid Calculator'!$B$10)/350)^2+((F1111-'Hybrid Calculator'!$B$11)/30)^2+(G1111-'Hybrid Calculator'!$B$12)^2+((H1111-'Hybrid Calculator'!$E$14)/IF(A1111="Lightning",100,30000))^2+((I1111-'Hybrid Calculator'!$E$17)/IF(A1111="Lightning",100,30000))^2</f>
        <v>1.415968489352859</v>
      </c>
      <c r="K1111" s="2">
        <f t="shared" si="68"/>
        <v>1027</v>
      </c>
      <c r="L1111" s="2">
        <f t="shared" si="69"/>
        <v>0</v>
      </c>
      <c r="M1111" s="2">
        <f t="shared" si="70"/>
        <v>0</v>
      </c>
      <c r="N1111" s="2">
        <v>2.0142958721322657</v>
      </c>
      <c r="O1111" s="2">
        <f t="shared" si="71"/>
        <v>0</v>
      </c>
      <c r="P1111" s="2">
        <v>18.092989237217353</v>
      </c>
      <c r="Q1111" s="2">
        <v>-6.54688539624226</v>
      </c>
    </row>
    <row r="1112" spans="1:17" ht="15">
      <c r="A1112" s="2" t="s">
        <v>81</v>
      </c>
      <c r="B1112" s="2">
        <v>1010.0621272809803</v>
      </c>
      <c r="C1112" s="2">
        <v>1023.8978022127412</v>
      </c>
      <c r="D1112" s="2">
        <v>745.49067411571741</v>
      </c>
      <c r="E1112" s="2">
        <v>210.47478353837505</v>
      </c>
      <c r="F1112" s="2">
        <v>16.631586210802197</v>
      </c>
      <c r="G1112" s="2">
        <v>0.79073509841458878</v>
      </c>
      <c r="H1112" s="2">
        <v>10800</v>
      </c>
      <c r="I1112" s="2">
        <v>1195</v>
      </c>
      <c r="J1112" s="2">
        <f>(IF(A1112='Hybrid Calculator'!$B$6,0,1))^2+((B1112-'Hybrid Calculator'!$B$7)/1500)^2+((C1112-'Hybrid Calculator'!$B$8)/1300)^2+((D1112-'Hybrid Calculator'!$B$9)/800)^2+((E1112-'Hybrid Calculator'!$B$10)/350)^2+((F1112-'Hybrid Calculator'!$B$11)/30)^2+(G1112-'Hybrid Calculator'!$B$12)^2+((H1112-'Hybrid Calculator'!$E$14)/IF(A1112="Lightning",100,30000))^2+((I1112-'Hybrid Calculator'!$E$17)/IF(A1112="Lightning",100,30000))^2</f>
        <v>1.3530941511911654</v>
      </c>
      <c r="K1112" s="2">
        <f t="shared" si="68"/>
        <v>838</v>
      </c>
      <c r="L1112" s="2">
        <f t="shared" si="69"/>
        <v>0</v>
      </c>
      <c r="M1112" s="2">
        <f t="shared" si="70"/>
        <v>0</v>
      </c>
      <c r="N1112" s="2">
        <v>-4.4480637272556578E-2</v>
      </c>
      <c r="O1112" s="2">
        <f t="shared" si="71"/>
        <v>0</v>
      </c>
      <c r="P1112" s="2">
        <v>48.09261159085645</v>
      </c>
      <c r="Q1112" s="2">
        <v>-3.6168234457974222</v>
      </c>
    </row>
    <row r="1113" spans="1:17" ht="15">
      <c r="A1113" s="2" t="s">
        <v>81</v>
      </c>
      <c r="B1113" s="2">
        <v>955.65420162165537</v>
      </c>
      <c r="C1113" s="2">
        <v>1229.9127546371892</v>
      </c>
      <c r="D1113" s="2">
        <v>615.45024598017335</v>
      </c>
      <c r="E1113" s="2">
        <v>245.69833573885262</v>
      </c>
      <c r="F1113" s="2">
        <v>15.155518204439431</v>
      </c>
      <c r="G1113" s="2">
        <v>0.81587689983192835</v>
      </c>
      <c r="H1113" s="2">
        <v>11930</v>
      </c>
      <c r="I1113" s="2">
        <v>1195</v>
      </c>
      <c r="J1113" s="2">
        <f>(IF(A1113='Hybrid Calculator'!$B$6,0,1))^2+((B1113-'Hybrid Calculator'!$B$7)/1500)^2+((C1113-'Hybrid Calculator'!$B$8)/1300)^2+((D1113-'Hybrid Calculator'!$B$9)/800)^2+((E1113-'Hybrid Calculator'!$B$10)/350)^2+((F1113-'Hybrid Calculator'!$B$11)/30)^2+(G1113-'Hybrid Calculator'!$B$12)^2+((H1113-'Hybrid Calculator'!$E$14)/IF(A1113="Lightning",100,30000))^2+((I1113-'Hybrid Calculator'!$E$17)/IF(A1113="Lightning",100,30000))^2</f>
        <v>1.449678382017872</v>
      </c>
      <c r="K1113" s="2">
        <f t="shared" si="68"/>
        <v>1108</v>
      </c>
      <c r="L1113" s="2">
        <f t="shared" si="69"/>
        <v>0</v>
      </c>
      <c r="M1113" s="2">
        <f t="shared" si="70"/>
        <v>0</v>
      </c>
      <c r="N1113" s="2">
        <v>1.2994417914940755</v>
      </c>
      <c r="O1113" s="2">
        <f t="shared" si="71"/>
        <v>0</v>
      </c>
      <c r="P1113" s="2">
        <v>3.9531594458148902</v>
      </c>
      <c r="Q1113" s="2">
        <v>-3.6914081973068278</v>
      </c>
    </row>
    <row r="1114" spans="1:17" ht="15">
      <c r="A1114" s="2" t="s">
        <v>81</v>
      </c>
      <c r="B1114" s="2">
        <v>1026.4118430903181</v>
      </c>
      <c r="C1114" s="2">
        <v>1070.2971335151233</v>
      </c>
      <c r="D1114" s="2">
        <v>651.29750333726406</v>
      </c>
      <c r="E1114" s="2">
        <v>155.73103037429973</v>
      </c>
      <c r="F1114" s="2">
        <v>8.2068681539967656</v>
      </c>
      <c r="G1114" s="2">
        <v>0.85493304003728554</v>
      </c>
      <c r="H1114" s="2">
        <v>11390</v>
      </c>
      <c r="I1114" s="2">
        <v>1195</v>
      </c>
      <c r="J1114" s="2">
        <f>(IF(A1114='Hybrid Calculator'!$B$6,0,1))^2+((B1114-'Hybrid Calculator'!$B$7)/1500)^2+((C1114-'Hybrid Calculator'!$B$8)/1300)^2+((D1114-'Hybrid Calculator'!$B$9)/800)^2+((E1114-'Hybrid Calculator'!$B$10)/350)^2+((F1114-'Hybrid Calculator'!$B$11)/30)^2+(G1114-'Hybrid Calculator'!$B$12)^2+((H1114-'Hybrid Calculator'!$E$14)/IF(A1114="Lightning",100,30000))^2+((I1114-'Hybrid Calculator'!$E$17)/IF(A1114="Lightning",100,30000))^2</f>
        <v>1.3987076223886989</v>
      </c>
      <c r="K1114" s="2">
        <f t="shared" si="68"/>
        <v>972</v>
      </c>
      <c r="L1114" s="2">
        <f t="shared" si="69"/>
        <v>0</v>
      </c>
      <c r="M1114" s="2">
        <f t="shared" si="70"/>
        <v>0</v>
      </c>
      <c r="N1114" s="2">
        <v>2.0428116309365691</v>
      </c>
      <c r="O1114" s="2">
        <f t="shared" si="71"/>
        <v>0</v>
      </c>
      <c r="P1114" s="2">
        <v>39.355257936275393</v>
      </c>
      <c r="Q1114" s="2">
        <v>3.2347190574000706E-2</v>
      </c>
    </row>
    <row r="1115" spans="1:17" ht="15">
      <c r="A1115" s="2" t="s">
        <v>81</v>
      </c>
      <c r="B1115" s="2">
        <v>1000.6029920070432</v>
      </c>
      <c r="C1115" s="2">
        <v>732.94978463090956</v>
      </c>
      <c r="D1115" s="2">
        <v>376.89658282324672</v>
      </c>
      <c r="E1115" s="2">
        <v>160.59440867509693</v>
      </c>
      <c r="F1115" s="2">
        <v>27.106287985574454</v>
      </c>
      <c r="G1115" s="2">
        <v>0.81291763002052908</v>
      </c>
      <c r="H1115" s="2">
        <v>16835</v>
      </c>
      <c r="I1115" s="2">
        <v>1200</v>
      </c>
      <c r="J1115" s="2">
        <f>(IF(A1115='Hybrid Calculator'!$B$6,0,1))^2+((B1115-'Hybrid Calculator'!$B$7)/1500)^2+((C1115-'Hybrid Calculator'!$B$8)/1300)^2+((D1115-'Hybrid Calculator'!$B$9)/800)^2+((E1115-'Hybrid Calculator'!$B$10)/350)^2+((F1115-'Hybrid Calculator'!$B$11)/30)^2+(G1115-'Hybrid Calculator'!$B$12)^2+((H1115-'Hybrid Calculator'!$E$14)/IF(A1115="Lightning",100,30000))^2+((I1115-'Hybrid Calculator'!$E$17)/IF(A1115="Lightning",100,30000))^2</f>
        <v>1.5096746139212902</v>
      </c>
      <c r="K1115" s="2">
        <f t="shared" si="68"/>
        <v>1227</v>
      </c>
      <c r="L1115" s="2">
        <f t="shared" si="69"/>
        <v>0</v>
      </c>
      <c r="M1115" s="2">
        <f t="shared" si="70"/>
        <v>0</v>
      </c>
      <c r="N1115" s="2">
        <v>-0.59916012401109242</v>
      </c>
      <c r="O1115" s="2">
        <f t="shared" si="71"/>
        <v>0</v>
      </c>
      <c r="P1115" s="2">
        <v>-3.7114629238162706</v>
      </c>
      <c r="Q1115" s="2">
        <v>0.99872524633190096</v>
      </c>
    </row>
    <row r="1116" spans="1:17" ht="15">
      <c r="A1116" s="2" t="s">
        <v>81</v>
      </c>
      <c r="B1116" s="2">
        <v>1023.4196473378688</v>
      </c>
      <c r="C1116" s="2">
        <v>1136.8794686975889</v>
      </c>
      <c r="D1116" s="2">
        <v>473.74033015221357</v>
      </c>
      <c r="E1116" s="2">
        <v>184.67112652258947</v>
      </c>
      <c r="F1116" s="2">
        <v>9.3984965682029724</v>
      </c>
      <c r="G1116" s="2">
        <v>0.84629808372119442</v>
      </c>
      <c r="H1116" s="2">
        <v>11910</v>
      </c>
      <c r="I1116" s="2">
        <v>1195</v>
      </c>
      <c r="J1116" s="2">
        <f>(IF(A1116='Hybrid Calculator'!$B$6,0,1))^2+((B1116-'Hybrid Calculator'!$B$7)/1500)^2+((C1116-'Hybrid Calculator'!$B$8)/1300)^2+((D1116-'Hybrid Calculator'!$B$9)/800)^2+((E1116-'Hybrid Calculator'!$B$10)/350)^2+((F1116-'Hybrid Calculator'!$B$11)/30)^2+(G1116-'Hybrid Calculator'!$B$12)^2+((H1116-'Hybrid Calculator'!$E$14)/IF(A1116="Lightning",100,30000))^2+((I1116-'Hybrid Calculator'!$E$17)/IF(A1116="Lightning",100,30000))^2</f>
        <v>1.3818052070439653</v>
      </c>
      <c r="K1116" s="2">
        <f t="shared" si="68"/>
        <v>922</v>
      </c>
      <c r="L1116" s="2">
        <f t="shared" si="69"/>
        <v>0</v>
      </c>
      <c r="M1116" s="2">
        <f t="shared" si="70"/>
        <v>0</v>
      </c>
      <c r="N1116" s="2">
        <v>1.6189567153702171</v>
      </c>
      <c r="O1116" s="2">
        <f t="shared" si="71"/>
        <v>0</v>
      </c>
      <c r="P1116" s="2">
        <v>-11.949948212542949</v>
      </c>
      <c r="Q1116" s="2">
        <v>5.5828078128988636</v>
      </c>
    </row>
    <row r="1117" spans="1:17" ht="15">
      <c r="A1117" s="2" t="s">
        <v>81</v>
      </c>
      <c r="B1117" s="2">
        <v>1034.0553657268174</v>
      </c>
      <c r="C1117" s="2">
        <v>1003.2020488521084</v>
      </c>
      <c r="D1117" s="2">
        <v>407.72906960919499</v>
      </c>
      <c r="E1117" s="2">
        <v>313.76152152195573</v>
      </c>
      <c r="F1117" s="2">
        <v>26.095292738173157</v>
      </c>
      <c r="G1117" s="2">
        <v>0.80380432797130197</v>
      </c>
      <c r="H1117" s="2">
        <v>12400</v>
      </c>
      <c r="I1117" s="2">
        <v>1200</v>
      </c>
      <c r="J1117" s="2">
        <f>(IF(A1117='Hybrid Calculator'!$B$6,0,1))^2+((B1117-'Hybrid Calculator'!$B$7)/1500)^2+((C1117-'Hybrid Calculator'!$B$8)/1300)^2+((D1117-'Hybrid Calculator'!$B$9)/800)^2+((E1117-'Hybrid Calculator'!$B$10)/350)^2+((F1117-'Hybrid Calculator'!$B$11)/30)^2+(G1117-'Hybrid Calculator'!$B$12)^2+((H1117-'Hybrid Calculator'!$E$14)/IF(A1117="Lightning",100,30000))^2+((I1117-'Hybrid Calculator'!$E$17)/IF(A1117="Lightning",100,30000))^2</f>
        <v>1.5494041480600478</v>
      </c>
      <c r="K1117" s="2">
        <f t="shared" si="68"/>
        <v>1299</v>
      </c>
      <c r="L1117" s="2">
        <f t="shared" si="69"/>
        <v>0</v>
      </c>
      <c r="M1117" s="2">
        <f t="shared" si="70"/>
        <v>0</v>
      </c>
      <c r="N1117" s="2">
        <v>-1.5430834353238083</v>
      </c>
      <c r="O1117" s="2">
        <f t="shared" si="71"/>
        <v>0</v>
      </c>
      <c r="P1117" s="2">
        <v>-1.6595177963017704</v>
      </c>
      <c r="Q1117" s="2">
        <v>-6.2323592896252649</v>
      </c>
    </row>
    <row r="1118" spans="1:17" ht="15">
      <c r="A1118" s="2" t="s">
        <v>81</v>
      </c>
      <c r="B1118" s="2">
        <v>999.48011722881347</v>
      </c>
      <c r="C1118" s="2">
        <v>1152.6754422229715</v>
      </c>
      <c r="D1118" s="2">
        <v>653.94484549760818</v>
      </c>
      <c r="E1118" s="2">
        <v>260.23693462600932</v>
      </c>
      <c r="F1118" s="2">
        <v>24.951030920259655</v>
      </c>
      <c r="G1118" s="2">
        <v>0.79616012919461354</v>
      </c>
      <c r="H1118" s="2">
        <v>10345</v>
      </c>
      <c r="I1118" s="2">
        <v>1195</v>
      </c>
      <c r="J1118" s="2">
        <f>(IF(A1118='Hybrid Calculator'!$B$6,0,1))^2+((B1118-'Hybrid Calculator'!$B$7)/1500)^2+((C1118-'Hybrid Calculator'!$B$8)/1300)^2+((D1118-'Hybrid Calculator'!$B$9)/800)^2+((E1118-'Hybrid Calculator'!$B$10)/350)^2+((F1118-'Hybrid Calculator'!$B$11)/30)^2+(G1118-'Hybrid Calculator'!$B$12)^2+((H1118-'Hybrid Calculator'!$E$14)/IF(A1118="Lightning",100,30000))^2+((I1118-'Hybrid Calculator'!$E$17)/IF(A1118="Lightning",100,30000))^2</f>
        <v>1.4370065061960713</v>
      </c>
      <c r="K1118" s="2">
        <f t="shared" si="68"/>
        <v>1075</v>
      </c>
      <c r="L1118" s="2">
        <f t="shared" si="69"/>
        <v>0</v>
      </c>
      <c r="M1118" s="2">
        <f t="shared" si="70"/>
        <v>0</v>
      </c>
      <c r="N1118" s="2">
        <v>0.98859084942361619</v>
      </c>
      <c r="O1118" s="2">
        <f t="shared" si="71"/>
        <v>0</v>
      </c>
      <c r="P1118" s="2">
        <v>9.7136829339247015</v>
      </c>
      <c r="Q1118" s="2">
        <v>-13.949896270242789</v>
      </c>
    </row>
    <row r="1119" spans="1:17" ht="15">
      <c r="A1119" s="2" t="s">
        <v>81</v>
      </c>
      <c r="B1119" s="2">
        <v>983.42340205563232</v>
      </c>
      <c r="C1119" s="2">
        <v>702.7730050496757</v>
      </c>
      <c r="D1119" s="2">
        <v>405.18430387601256</v>
      </c>
      <c r="E1119" s="2">
        <v>172.39775559399277</v>
      </c>
      <c r="F1119" s="2">
        <v>24.116943394299597</v>
      </c>
      <c r="G1119" s="2">
        <v>0.84853556525893514</v>
      </c>
      <c r="H1119" s="2">
        <v>19485</v>
      </c>
      <c r="I1119" s="2">
        <v>1200</v>
      </c>
      <c r="J1119" s="2">
        <f>(IF(A1119='Hybrid Calculator'!$B$6,0,1))^2+((B1119-'Hybrid Calculator'!$B$7)/1500)^2+((C1119-'Hybrid Calculator'!$B$8)/1300)^2+((D1119-'Hybrid Calculator'!$B$9)/800)^2+((E1119-'Hybrid Calculator'!$B$10)/350)^2+((F1119-'Hybrid Calculator'!$B$11)/30)^2+(G1119-'Hybrid Calculator'!$B$12)^2+((H1119-'Hybrid Calculator'!$E$14)/IF(A1119="Lightning",100,30000))^2+((I1119-'Hybrid Calculator'!$E$17)/IF(A1119="Lightning",100,30000))^2</f>
        <v>1.5747221124219886</v>
      </c>
      <c r="K1119" s="2">
        <f t="shared" si="68"/>
        <v>1330</v>
      </c>
      <c r="L1119" s="2">
        <f t="shared" si="69"/>
        <v>0</v>
      </c>
      <c r="M1119" s="2">
        <f t="shared" si="70"/>
        <v>0</v>
      </c>
      <c r="N1119" s="2">
        <v>-4.2104915395768217</v>
      </c>
      <c r="O1119" s="2">
        <f t="shared" si="71"/>
        <v>0</v>
      </c>
      <c r="P1119" s="2">
        <v>-2.0811498444013523</v>
      </c>
      <c r="Q1119" s="2">
        <v>-3.1013939848595555</v>
      </c>
    </row>
    <row r="1120" spans="1:17" ht="15">
      <c r="A1120" s="2" t="s">
        <v>81</v>
      </c>
      <c r="B1120" s="2">
        <v>982.69572667777538</v>
      </c>
      <c r="C1120" s="2">
        <v>772.7202533162199</v>
      </c>
      <c r="D1120" s="2">
        <v>585.75099278241396</v>
      </c>
      <c r="E1120" s="2">
        <v>277.3052104585804</v>
      </c>
      <c r="F1120" s="2">
        <v>9.272089434787631</v>
      </c>
      <c r="G1120" s="2">
        <v>0.84682706681312991</v>
      </c>
      <c r="H1120" s="2">
        <v>15255</v>
      </c>
      <c r="I1120" s="2">
        <v>1200</v>
      </c>
      <c r="J1120" s="2">
        <f>(IF(A1120='Hybrid Calculator'!$B$6,0,1))^2+((B1120-'Hybrid Calculator'!$B$7)/1500)^2+((C1120-'Hybrid Calculator'!$B$8)/1300)^2+((D1120-'Hybrid Calculator'!$B$9)/800)^2+((E1120-'Hybrid Calculator'!$B$10)/350)^2+((F1120-'Hybrid Calculator'!$B$11)/30)^2+(G1120-'Hybrid Calculator'!$B$12)^2+((H1120-'Hybrid Calculator'!$E$14)/IF(A1120="Lightning",100,30000))^2+((I1120-'Hybrid Calculator'!$E$17)/IF(A1120="Lightning",100,30000))^2</f>
        <v>1.5880198636021128</v>
      </c>
      <c r="K1120" s="2">
        <f t="shared" si="68"/>
        <v>1340</v>
      </c>
      <c r="L1120" s="2">
        <f t="shared" si="69"/>
        <v>0</v>
      </c>
      <c r="M1120" s="2">
        <f t="shared" si="70"/>
        <v>0</v>
      </c>
      <c r="N1120" s="2">
        <v>4.6860075735803264</v>
      </c>
      <c r="O1120" s="2">
        <f t="shared" si="71"/>
        <v>0</v>
      </c>
      <c r="P1120" s="2">
        <v>23.458867316647684</v>
      </c>
      <c r="Q1120" s="2">
        <v>4.3467329235236321</v>
      </c>
    </row>
    <row r="1121" spans="1:17" ht="15">
      <c r="A1121" s="2" t="s">
        <v>81</v>
      </c>
      <c r="B1121" s="2">
        <v>1035.6323080719449</v>
      </c>
      <c r="C1121" s="2">
        <v>1046.3491497794166</v>
      </c>
      <c r="D1121" s="2">
        <v>578.91124049201608</v>
      </c>
      <c r="E1121" s="2">
        <v>190.62947637401521</v>
      </c>
      <c r="F1121" s="2">
        <v>15.759703677613288</v>
      </c>
      <c r="G1121" s="2">
        <v>0.80259196483064443</v>
      </c>
      <c r="H1121" s="2">
        <v>11775</v>
      </c>
      <c r="I1121" s="2">
        <v>1195</v>
      </c>
      <c r="J1121" s="2">
        <f>(IF(A1121='Hybrid Calculator'!$B$6,0,1))^2+((B1121-'Hybrid Calculator'!$B$7)/1500)^2+((C1121-'Hybrid Calculator'!$B$8)/1300)^2+((D1121-'Hybrid Calculator'!$B$9)/800)^2+((E1121-'Hybrid Calculator'!$B$10)/350)^2+((F1121-'Hybrid Calculator'!$B$11)/30)^2+(G1121-'Hybrid Calculator'!$B$12)^2+((H1121-'Hybrid Calculator'!$E$14)/IF(A1121="Lightning",100,30000))^2+((I1121-'Hybrid Calculator'!$E$17)/IF(A1121="Lightning",100,30000))^2</f>
        <v>1.2763169211708549</v>
      </c>
      <c r="K1121" s="2">
        <f t="shared" si="68"/>
        <v>706</v>
      </c>
      <c r="L1121" s="2">
        <f t="shared" si="69"/>
        <v>0</v>
      </c>
      <c r="M1121" s="2">
        <f t="shared" si="70"/>
        <v>0</v>
      </c>
      <c r="N1121" s="2">
        <v>2.8850448530454003</v>
      </c>
      <c r="O1121" s="2">
        <f t="shared" si="71"/>
        <v>0</v>
      </c>
      <c r="P1121" s="2">
        <v>-11.417827952774132</v>
      </c>
      <c r="Q1121" s="2">
        <v>0.4048752426633655</v>
      </c>
    </row>
    <row r="1122" spans="1:17" ht="15">
      <c r="A1122" s="2" t="s">
        <v>81</v>
      </c>
      <c r="B1122" s="2">
        <v>1006.4715865068138</v>
      </c>
      <c r="C1122" s="2">
        <v>612.74195046862587</v>
      </c>
      <c r="D1122" s="2">
        <v>718.33721343427896</v>
      </c>
      <c r="E1122" s="2">
        <v>201.63680145749822</v>
      </c>
      <c r="F1122" s="2">
        <v>12.924747118726373</v>
      </c>
      <c r="G1122" s="2">
        <v>0.84056320633040749</v>
      </c>
      <c r="H1122" s="2">
        <v>16280</v>
      </c>
      <c r="I1122" s="2">
        <v>1200</v>
      </c>
      <c r="J1122" s="2">
        <f>(IF(A1122='Hybrid Calculator'!$B$6,0,1))^2+((B1122-'Hybrid Calculator'!$B$7)/1500)^2+((C1122-'Hybrid Calculator'!$B$8)/1300)^2+((D1122-'Hybrid Calculator'!$B$9)/800)^2+((E1122-'Hybrid Calculator'!$B$10)/350)^2+((F1122-'Hybrid Calculator'!$B$11)/30)^2+(G1122-'Hybrid Calculator'!$B$12)^2+((H1122-'Hybrid Calculator'!$E$14)/IF(A1122="Lightning",100,30000))^2+((I1122-'Hybrid Calculator'!$E$17)/IF(A1122="Lightning",100,30000))^2</f>
        <v>1.5365874666847388</v>
      </c>
      <c r="K1122" s="2">
        <f t="shared" si="68"/>
        <v>1277</v>
      </c>
      <c r="L1122" s="2">
        <f t="shared" si="69"/>
        <v>0</v>
      </c>
      <c r="M1122" s="2">
        <f t="shared" si="70"/>
        <v>0</v>
      </c>
      <c r="N1122" s="2">
        <v>-1.465737504004295</v>
      </c>
      <c r="O1122" s="2">
        <f t="shared" si="71"/>
        <v>0</v>
      </c>
      <c r="P1122" s="2">
        <v>-69.038796583697149</v>
      </c>
      <c r="Q1122" s="2">
        <v>9.4895227453345115</v>
      </c>
    </row>
    <row r="1123" spans="1:17" ht="15">
      <c r="A1123" s="2" t="s">
        <v>81</v>
      </c>
      <c r="B1123" s="2">
        <v>1009.1511873179115</v>
      </c>
      <c r="C1123" s="2">
        <v>667.08235137630254</v>
      </c>
      <c r="D1123" s="2">
        <v>444.99619835987687</v>
      </c>
      <c r="E1123" s="2">
        <v>105.93885199166834</v>
      </c>
      <c r="F1123" s="2">
        <v>23.543301396537572</v>
      </c>
      <c r="G1123" s="2">
        <v>0.85666089533362544</v>
      </c>
      <c r="H1123" s="2">
        <v>20485</v>
      </c>
      <c r="I1123" s="2">
        <v>1200</v>
      </c>
      <c r="J1123" s="2">
        <f>(IF(A1123='Hybrid Calculator'!$B$6,0,1))^2+((B1123-'Hybrid Calculator'!$B$7)/1500)^2+((C1123-'Hybrid Calculator'!$B$8)/1300)^2+((D1123-'Hybrid Calculator'!$B$9)/800)^2+((E1123-'Hybrid Calculator'!$B$10)/350)^2+((F1123-'Hybrid Calculator'!$B$11)/30)^2+(G1123-'Hybrid Calculator'!$B$12)^2+((H1123-'Hybrid Calculator'!$E$14)/IF(A1123="Lightning",100,30000))^2+((I1123-'Hybrid Calculator'!$E$17)/IF(A1123="Lightning",100,30000))^2</f>
        <v>1.6123583472651601</v>
      </c>
      <c r="K1123" s="2">
        <f t="shared" si="68"/>
        <v>1361</v>
      </c>
      <c r="L1123" s="2">
        <f t="shared" si="69"/>
        <v>0</v>
      </c>
      <c r="M1123" s="2">
        <f t="shared" si="70"/>
        <v>0</v>
      </c>
      <c r="N1123" s="2">
        <v>-0.51875068291516868</v>
      </c>
      <c r="O1123" s="2">
        <f t="shared" si="71"/>
        <v>0</v>
      </c>
      <c r="P1123" s="2">
        <v>7.7850189561736443</v>
      </c>
      <c r="Q1123" s="2">
        <v>9.8391853575699315</v>
      </c>
    </row>
    <row r="1124" spans="1:17" ht="15">
      <c r="A1124" s="2" t="s">
        <v>81</v>
      </c>
      <c r="B1124" s="2">
        <v>992.86636074539274</v>
      </c>
      <c r="C1124" s="2">
        <v>662.96299003297463</v>
      </c>
      <c r="D1124" s="2">
        <v>488.11004273593426</v>
      </c>
      <c r="E1124" s="2">
        <v>150.8201375673525</v>
      </c>
      <c r="F1124" s="2">
        <v>25.468113576062024</v>
      </c>
      <c r="G1124" s="2">
        <v>0.83754810468060903</v>
      </c>
      <c r="H1124" s="2">
        <v>19165</v>
      </c>
      <c r="I1124" s="2">
        <v>1200</v>
      </c>
      <c r="J1124" s="2">
        <f>(IF(A1124='Hybrid Calculator'!$B$6,0,1))^2+((B1124-'Hybrid Calculator'!$B$7)/1500)^2+((C1124-'Hybrid Calculator'!$B$8)/1300)^2+((D1124-'Hybrid Calculator'!$B$9)/800)^2+((E1124-'Hybrid Calculator'!$B$10)/350)^2+((F1124-'Hybrid Calculator'!$B$11)/30)^2+(G1124-'Hybrid Calculator'!$B$12)^2+((H1124-'Hybrid Calculator'!$E$14)/IF(A1124="Lightning",100,30000))^2+((I1124-'Hybrid Calculator'!$E$17)/IF(A1124="Lightning",100,30000))^2</f>
        <v>1.5656945036971113</v>
      </c>
      <c r="K1124" s="2">
        <f t="shared" si="68"/>
        <v>1324</v>
      </c>
      <c r="L1124" s="2">
        <f t="shared" si="69"/>
        <v>0</v>
      </c>
      <c r="M1124" s="2">
        <f t="shared" si="70"/>
        <v>0</v>
      </c>
      <c r="N1124" s="2">
        <v>-4.5401326428917343</v>
      </c>
      <c r="O1124" s="2">
        <f t="shared" si="71"/>
        <v>0</v>
      </c>
      <c r="P1124" s="2">
        <v>-13.695582339720204</v>
      </c>
      <c r="Q1124" s="2">
        <v>3.4695803442173201</v>
      </c>
    </row>
    <row r="1125" spans="1:17" ht="15">
      <c r="A1125" s="2" t="s">
        <v>81</v>
      </c>
      <c r="B1125" s="2">
        <v>955.7623497559689</v>
      </c>
      <c r="C1125" s="2">
        <v>646.09691691584885</v>
      </c>
      <c r="D1125" s="2">
        <v>580.19909886643291</v>
      </c>
      <c r="E1125" s="2">
        <v>235.91739898081869</v>
      </c>
      <c r="F1125" s="2">
        <v>27.144887558650225</v>
      </c>
      <c r="G1125" s="2">
        <v>0.84459063803777101</v>
      </c>
      <c r="H1125" s="2">
        <v>17065</v>
      </c>
      <c r="I1125" s="2">
        <v>1200</v>
      </c>
      <c r="J1125" s="2">
        <f>(IF(A1125='Hybrid Calculator'!$B$6,0,1))^2+((B1125-'Hybrid Calculator'!$B$7)/1500)^2+((C1125-'Hybrid Calculator'!$B$8)/1300)^2+((D1125-'Hybrid Calculator'!$B$9)/800)^2+((E1125-'Hybrid Calculator'!$B$10)/350)^2+((F1125-'Hybrid Calculator'!$B$11)/30)^2+(G1125-'Hybrid Calculator'!$B$12)^2+((H1125-'Hybrid Calculator'!$E$14)/IF(A1125="Lightning",100,30000))^2+((I1125-'Hybrid Calculator'!$E$17)/IF(A1125="Lightning",100,30000))^2</f>
        <v>1.5996250499129057</v>
      </c>
      <c r="K1125" s="2">
        <f t="shared" si="68"/>
        <v>1353</v>
      </c>
      <c r="L1125" s="2">
        <f t="shared" si="69"/>
        <v>0</v>
      </c>
      <c r="M1125" s="2">
        <f t="shared" si="70"/>
        <v>0</v>
      </c>
      <c r="N1125" s="2">
        <v>-4.5001527772385543</v>
      </c>
      <c r="O1125" s="2">
        <f t="shared" si="71"/>
        <v>0</v>
      </c>
      <c r="P1125" s="2">
        <v>-50.649568659652232</v>
      </c>
      <c r="Q1125" s="2">
        <v>-6.3799241697039406</v>
      </c>
    </row>
    <row r="1126" spans="1:17" ht="15">
      <c r="A1126" s="2" t="s">
        <v>81</v>
      </c>
      <c r="B1126" s="2">
        <v>1092.2628852073103</v>
      </c>
      <c r="C1126" s="2">
        <v>1095.7762079196982</v>
      </c>
      <c r="D1126" s="2">
        <v>655.18874954432249</v>
      </c>
      <c r="E1126" s="2">
        <v>328.60153283225372</v>
      </c>
      <c r="F1126" s="2">
        <v>10.240004830062389</v>
      </c>
      <c r="G1126" s="2">
        <v>0.8257421750039794</v>
      </c>
      <c r="H1126" s="2">
        <v>10285</v>
      </c>
      <c r="I1126" s="2">
        <v>1195</v>
      </c>
      <c r="J1126" s="2">
        <f>(IF(A1126='Hybrid Calculator'!$B$6,0,1))^2+((B1126-'Hybrid Calculator'!$B$7)/1500)^2+((C1126-'Hybrid Calculator'!$B$8)/1300)^2+((D1126-'Hybrid Calculator'!$B$9)/800)^2+((E1126-'Hybrid Calculator'!$B$10)/350)^2+((F1126-'Hybrid Calculator'!$B$11)/30)^2+(G1126-'Hybrid Calculator'!$B$12)^2+((H1126-'Hybrid Calculator'!$E$14)/IF(A1126="Lightning",100,30000))^2+((I1126-'Hybrid Calculator'!$E$17)/IF(A1126="Lightning",100,30000))^2</f>
        <v>1.5767329254162143</v>
      </c>
      <c r="K1126" s="2">
        <f t="shared" si="68"/>
        <v>1332</v>
      </c>
      <c r="L1126" s="2">
        <f t="shared" si="69"/>
        <v>0</v>
      </c>
      <c r="M1126" s="2">
        <f t="shared" si="70"/>
        <v>0</v>
      </c>
      <c r="N1126" s="2">
        <v>5.9213485670431965</v>
      </c>
      <c r="O1126" s="2">
        <f t="shared" si="71"/>
        <v>0</v>
      </c>
      <c r="P1126" s="2">
        <v>29.31618550499843</v>
      </c>
      <c r="Q1126" s="2">
        <v>-1.6869334958569198</v>
      </c>
    </row>
    <row r="1127" spans="1:17" ht="15">
      <c r="A1127" s="2" t="s">
        <v>81</v>
      </c>
      <c r="B1127" s="2">
        <v>1084.3560970504768</v>
      </c>
      <c r="C1127" s="2">
        <v>894.03027703519911</v>
      </c>
      <c r="D1127" s="2">
        <v>442.50842900946736</v>
      </c>
      <c r="E1127" s="2">
        <v>259.51510800048709</v>
      </c>
      <c r="F1127" s="2">
        <v>25.086212350521237</v>
      </c>
      <c r="G1127" s="2">
        <v>0.85620169424917547</v>
      </c>
      <c r="H1127" s="2">
        <v>13400</v>
      </c>
      <c r="I1127" s="2">
        <v>1200</v>
      </c>
      <c r="J1127" s="2">
        <f>(IF(A1127='Hybrid Calculator'!$B$6,0,1))^2+((B1127-'Hybrid Calculator'!$B$7)/1500)^2+((C1127-'Hybrid Calculator'!$B$8)/1300)^2+((D1127-'Hybrid Calculator'!$B$9)/800)^2+((E1127-'Hybrid Calculator'!$B$10)/350)^2+((F1127-'Hybrid Calculator'!$B$11)/30)^2+(G1127-'Hybrid Calculator'!$B$12)^2+((H1127-'Hybrid Calculator'!$E$14)/IF(A1127="Lightning",100,30000))^2+((I1127-'Hybrid Calculator'!$E$17)/IF(A1127="Lightning",100,30000))^2</f>
        <v>1.4048583901179463</v>
      </c>
      <c r="K1127" s="2">
        <f t="shared" si="68"/>
        <v>992</v>
      </c>
      <c r="L1127" s="2">
        <f t="shared" si="69"/>
        <v>0</v>
      </c>
      <c r="M1127" s="2">
        <f t="shared" si="70"/>
        <v>0</v>
      </c>
      <c r="N1127" s="2">
        <v>-0.74504489701851639</v>
      </c>
      <c r="O1127" s="2">
        <f t="shared" si="71"/>
        <v>0</v>
      </c>
      <c r="P1127" s="2">
        <v>4.0377299460778886</v>
      </c>
      <c r="Q1127" s="2">
        <v>-2.4885393894708159</v>
      </c>
    </row>
    <row r="1128" spans="1:17" ht="15">
      <c r="A1128" s="2" t="s">
        <v>81</v>
      </c>
      <c r="B1128" s="2">
        <v>987.71178491879255</v>
      </c>
      <c r="C1128" s="2">
        <v>1008.2093127188273</v>
      </c>
      <c r="D1128" s="2">
        <v>663.65999281406403</v>
      </c>
      <c r="E1128" s="2">
        <v>201.2287619127892</v>
      </c>
      <c r="F1128" s="2">
        <v>18.026709320954978</v>
      </c>
      <c r="G1128" s="2">
        <v>0.81394622996216648</v>
      </c>
      <c r="H1128" s="2">
        <v>11415</v>
      </c>
      <c r="I1128" s="2">
        <v>1195</v>
      </c>
      <c r="J1128" s="2">
        <f>(IF(A1128='Hybrid Calculator'!$B$6,0,1))^2+((B1128-'Hybrid Calculator'!$B$7)/1500)^2+((C1128-'Hybrid Calculator'!$B$8)/1300)^2+((D1128-'Hybrid Calculator'!$B$9)/800)^2+((E1128-'Hybrid Calculator'!$B$10)/350)^2+((F1128-'Hybrid Calculator'!$B$11)/30)^2+(G1128-'Hybrid Calculator'!$B$12)^2+((H1128-'Hybrid Calculator'!$E$14)/IF(A1128="Lightning",100,30000))^2+((I1128-'Hybrid Calculator'!$E$17)/IF(A1128="Lightning",100,30000))^2</f>
        <v>1.3083935873992867</v>
      </c>
      <c r="K1128" s="2">
        <f t="shared" si="68"/>
        <v>747</v>
      </c>
      <c r="L1128" s="2">
        <f t="shared" si="69"/>
        <v>0</v>
      </c>
      <c r="M1128" s="2">
        <f t="shared" si="70"/>
        <v>0</v>
      </c>
      <c r="N1128" s="2">
        <v>4.1840552022038651</v>
      </c>
      <c r="O1128" s="2">
        <f t="shared" si="71"/>
        <v>0</v>
      </c>
      <c r="P1128" s="2">
        <v>46.078761198172288</v>
      </c>
      <c r="Q1128" s="2">
        <v>-6.4407839356532577</v>
      </c>
    </row>
    <row r="1129" spans="1:17" ht="15">
      <c r="A1129" s="2" t="s">
        <v>81</v>
      </c>
      <c r="B1129" s="2">
        <v>1080.0722268293612</v>
      </c>
      <c r="C1129" s="2">
        <v>638.01779942587018</v>
      </c>
      <c r="D1129" s="2">
        <v>553.71294086799026</v>
      </c>
      <c r="E1129" s="2">
        <v>190.82842538598925</v>
      </c>
      <c r="F1129" s="2">
        <v>29.452869412954897</v>
      </c>
      <c r="G1129" s="2">
        <v>0.8048052995745093</v>
      </c>
      <c r="H1129" s="2">
        <v>15470</v>
      </c>
      <c r="I1129" s="2">
        <v>1200</v>
      </c>
      <c r="J1129" s="2">
        <f>(IF(A1129='Hybrid Calculator'!$B$6,0,1))^2+((B1129-'Hybrid Calculator'!$B$7)/1500)^2+((C1129-'Hybrid Calculator'!$B$8)/1300)^2+((D1129-'Hybrid Calculator'!$B$9)/800)^2+((E1129-'Hybrid Calculator'!$B$10)/350)^2+((F1129-'Hybrid Calculator'!$B$11)/30)^2+(G1129-'Hybrid Calculator'!$B$12)^2+((H1129-'Hybrid Calculator'!$E$14)/IF(A1129="Lightning",100,30000))^2+((I1129-'Hybrid Calculator'!$E$17)/IF(A1129="Lightning",100,30000))^2</f>
        <v>1.49683898522846</v>
      </c>
      <c r="K1129" s="2">
        <f t="shared" si="68"/>
        <v>1203</v>
      </c>
      <c r="L1129" s="2">
        <f t="shared" si="69"/>
        <v>0</v>
      </c>
      <c r="M1129" s="2">
        <f t="shared" si="70"/>
        <v>0</v>
      </c>
      <c r="N1129" s="2">
        <v>-3.2322212082861199</v>
      </c>
      <c r="O1129" s="2">
        <f t="shared" si="71"/>
        <v>0</v>
      </c>
      <c r="P1129" s="2">
        <v>-62.21276079282643</v>
      </c>
      <c r="Q1129" s="2">
        <v>-3.4772869194507621</v>
      </c>
    </row>
    <row r="1130" spans="1:17" ht="15">
      <c r="A1130" s="2" t="s">
        <v>81</v>
      </c>
      <c r="B1130" s="2">
        <v>979.00084797292948</v>
      </c>
      <c r="C1130" s="2">
        <v>1128.1567909172736</v>
      </c>
      <c r="D1130" s="2">
        <v>433.59738904982805</v>
      </c>
      <c r="E1130" s="2">
        <v>104.02209636056796</v>
      </c>
      <c r="F1130" s="2">
        <v>24.628617947921157</v>
      </c>
      <c r="G1130" s="2">
        <v>0.80744673275621615</v>
      </c>
      <c r="H1130" s="2">
        <v>12840</v>
      </c>
      <c r="I1130" s="2">
        <v>1200</v>
      </c>
      <c r="J1130" s="2">
        <f>(IF(A1130='Hybrid Calculator'!$B$6,0,1))^2+((B1130-'Hybrid Calculator'!$B$7)/1500)^2+((C1130-'Hybrid Calculator'!$B$8)/1300)^2+((D1130-'Hybrid Calculator'!$B$9)/800)^2+((E1130-'Hybrid Calculator'!$B$10)/350)^2+((F1130-'Hybrid Calculator'!$B$11)/30)^2+(G1130-'Hybrid Calculator'!$B$12)^2+((H1130-'Hybrid Calculator'!$E$14)/IF(A1130="Lightning",100,30000))^2+((I1130-'Hybrid Calculator'!$E$17)/IF(A1130="Lightning",100,30000))^2</f>
        <v>1.3835199806412712</v>
      </c>
      <c r="K1130" s="2">
        <f t="shared" si="68"/>
        <v>926</v>
      </c>
      <c r="L1130" s="2">
        <f t="shared" si="69"/>
        <v>0</v>
      </c>
      <c r="M1130" s="2">
        <f t="shared" si="70"/>
        <v>0</v>
      </c>
      <c r="N1130" s="2">
        <v>1.2130067461992269</v>
      </c>
      <c r="O1130" s="2">
        <f t="shared" si="71"/>
        <v>0</v>
      </c>
      <c r="P1130" s="2">
        <v>7.4853443497468106</v>
      </c>
      <c r="Q1130" s="2">
        <v>-8.381095248388533</v>
      </c>
    </row>
    <row r="1131" spans="1:17" ht="15">
      <c r="A1131" s="2" t="s">
        <v>81</v>
      </c>
      <c r="B1131" s="2">
        <v>993.82205685833469</v>
      </c>
      <c r="C1131" s="2">
        <v>793.27670040074736</v>
      </c>
      <c r="D1131" s="2">
        <v>628.87922236695886</v>
      </c>
      <c r="E1131" s="2">
        <v>287.52346958033741</v>
      </c>
      <c r="F1131" s="2">
        <v>13.47537798108533</v>
      </c>
      <c r="G1131" s="2">
        <v>0.8304964682878927</v>
      </c>
      <c r="H1131" s="2">
        <v>14595</v>
      </c>
      <c r="I1131" s="2">
        <v>1200</v>
      </c>
      <c r="J1131" s="2">
        <f>(IF(A1131='Hybrid Calculator'!$B$6,0,1))^2+((B1131-'Hybrid Calculator'!$B$7)/1500)^2+((C1131-'Hybrid Calculator'!$B$8)/1300)^2+((D1131-'Hybrid Calculator'!$B$9)/800)^2+((E1131-'Hybrid Calculator'!$B$10)/350)^2+((F1131-'Hybrid Calculator'!$B$11)/30)^2+(G1131-'Hybrid Calculator'!$B$12)^2+((H1131-'Hybrid Calculator'!$E$14)/IF(A1131="Lightning",100,30000))^2+((I1131-'Hybrid Calculator'!$E$17)/IF(A1131="Lightning",100,30000))^2</f>
        <v>1.5296344129431982</v>
      </c>
      <c r="K1131" s="2">
        <f t="shared" si="68"/>
        <v>1263</v>
      </c>
      <c r="L1131" s="2">
        <f t="shared" si="69"/>
        <v>0</v>
      </c>
      <c r="M1131" s="2">
        <f t="shared" si="70"/>
        <v>0</v>
      </c>
      <c r="N1131" s="2">
        <v>3.9388294360585121</v>
      </c>
      <c r="O1131" s="2">
        <f t="shared" si="71"/>
        <v>0</v>
      </c>
      <c r="P1131" s="2">
        <v>-51.478346340446478</v>
      </c>
      <c r="Q1131" s="2">
        <v>5.1188924783889433</v>
      </c>
    </row>
    <row r="1132" spans="1:17" ht="15">
      <c r="A1132" s="2" t="s">
        <v>81</v>
      </c>
      <c r="B1132" s="2">
        <v>995.52915196400136</v>
      </c>
      <c r="C1132" s="2">
        <v>1020.6933262408711</v>
      </c>
      <c r="D1132" s="2">
        <v>726.80324204266071</v>
      </c>
      <c r="E1132" s="2">
        <v>149.30515560088679</v>
      </c>
      <c r="F1132" s="2">
        <v>27.63663321826607</v>
      </c>
      <c r="G1132" s="2">
        <v>0.81577632187632843</v>
      </c>
      <c r="H1132" s="2">
        <v>11275</v>
      </c>
      <c r="I1132" s="2">
        <v>1195</v>
      </c>
      <c r="J1132" s="2">
        <f>(IF(A1132='Hybrid Calculator'!$B$6,0,1))^2+((B1132-'Hybrid Calculator'!$B$7)/1500)^2+((C1132-'Hybrid Calculator'!$B$8)/1300)^2+((D1132-'Hybrid Calculator'!$B$9)/800)^2+((E1132-'Hybrid Calculator'!$B$10)/350)^2+((F1132-'Hybrid Calculator'!$B$11)/30)^2+(G1132-'Hybrid Calculator'!$B$12)^2+((H1132-'Hybrid Calculator'!$E$14)/IF(A1132="Lightning",100,30000))^2+((I1132-'Hybrid Calculator'!$E$17)/IF(A1132="Lightning",100,30000))^2</f>
        <v>1.4138874407965567</v>
      </c>
      <c r="K1132" s="2">
        <f t="shared" si="68"/>
        <v>1020</v>
      </c>
      <c r="L1132" s="2">
        <f t="shared" si="69"/>
        <v>0</v>
      </c>
      <c r="M1132" s="2">
        <f t="shared" si="70"/>
        <v>0</v>
      </c>
      <c r="N1132" s="2">
        <v>0.3463885026167759</v>
      </c>
      <c r="O1132" s="2">
        <f t="shared" si="71"/>
        <v>0</v>
      </c>
      <c r="P1132" s="2">
        <v>17.969135960762287</v>
      </c>
      <c r="Q1132" s="2">
        <v>-14.06418855911852</v>
      </c>
    </row>
    <row r="1133" spans="1:17" ht="15">
      <c r="A1133" s="2" t="s">
        <v>81</v>
      </c>
      <c r="B1133" s="2">
        <v>1061.0406184918247</v>
      </c>
      <c r="C1133" s="2">
        <v>907.25630200468004</v>
      </c>
      <c r="D1133" s="2">
        <v>565.10062916204333</v>
      </c>
      <c r="E1133" s="2">
        <v>123.23946207296103</v>
      </c>
      <c r="F1133" s="2">
        <v>27.76691100327298</v>
      </c>
      <c r="G1133" s="2">
        <v>0.80505387660115957</v>
      </c>
      <c r="H1133" s="2">
        <v>13405</v>
      </c>
      <c r="I1133" s="2">
        <v>1200</v>
      </c>
      <c r="J1133" s="2">
        <f>(IF(A1133='Hybrid Calculator'!$B$6,0,1))^2+((B1133-'Hybrid Calculator'!$B$7)/1500)^2+((C1133-'Hybrid Calculator'!$B$8)/1300)^2+((D1133-'Hybrid Calculator'!$B$9)/800)^2+((E1133-'Hybrid Calculator'!$B$10)/350)^2+((F1133-'Hybrid Calculator'!$B$11)/30)^2+(G1133-'Hybrid Calculator'!$B$12)^2+((H1133-'Hybrid Calculator'!$E$14)/IF(A1133="Lightning",100,30000))^2+((I1133-'Hybrid Calculator'!$E$17)/IF(A1133="Lightning",100,30000))^2</f>
        <v>1.3686298836933237</v>
      </c>
      <c r="K1133" s="2">
        <f t="shared" si="68"/>
        <v>879</v>
      </c>
      <c r="L1133" s="2">
        <f t="shared" si="69"/>
        <v>0</v>
      </c>
      <c r="M1133" s="2">
        <f t="shared" si="70"/>
        <v>0</v>
      </c>
      <c r="N1133" s="2">
        <v>-2.7636037728500185</v>
      </c>
      <c r="O1133" s="2">
        <f t="shared" si="71"/>
        <v>0</v>
      </c>
      <c r="P1133" s="2">
        <v>-23.476378726830262</v>
      </c>
      <c r="Q1133" s="2">
        <v>-10.962628488075779</v>
      </c>
    </row>
    <row r="1134" spans="1:17" ht="15">
      <c r="A1134" s="2" t="s">
        <v>81</v>
      </c>
      <c r="B1134" s="2">
        <v>1043.5859450604767</v>
      </c>
      <c r="C1134" s="2">
        <v>1165.9852719749324</v>
      </c>
      <c r="D1134" s="2">
        <v>619.70969643443823</v>
      </c>
      <c r="E1134" s="2">
        <v>221.80295151891187</v>
      </c>
      <c r="F1134" s="2">
        <v>18.286672879010439</v>
      </c>
      <c r="G1134" s="2">
        <v>0.80707818716997282</v>
      </c>
      <c r="H1134" s="2">
        <v>10655</v>
      </c>
      <c r="I1134" s="2">
        <v>1195</v>
      </c>
      <c r="J1134" s="2">
        <f>(IF(A1134='Hybrid Calculator'!$B$6,0,1))^2+((B1134-'Hybrid Calculator'!$B$7)/1500)^2+((C1134-'Hybrid Calculator'!$B$8)/1300)^2+((D1134-'Hybrid Calculator'!$B$9)/800)^2+((E1134-'Hybrid Calculator'!$B$10)/350)^2+((F1134-'Hybrid Calculator'!$B$11)/30)^2+(G1134-'Hybrid Calculator'!$B$12)^2+((H1134-'Hybrid Calculator'!$E$14)/IF(A1134="Lightning",100,30000))^2+((I1134-'Hybrid Calculator'!$E$17)/IF(A1134="Lightning",100,30000))^2</f>
        <v>1.3149162935630436</v>
      </c>
      <c r="K1134" s="2">
        <f t="shared" si="68"/>
        <v>754</v>
      </c>
      <c r="L1134" s="2">
        <f t="shared" si="69"/>
        <v>0</v>
      </c>
      <c r="M1134" s="2">
        <f t="shared" si="70"/>
        <v>0</v>
      </c>
      <c r="N1134" s="2">
        <v>0.5060201133763087</v>
      </c>
      <c r="O1134" s="2">
        <f t="shared" si="71"/>
        <v>0</v>
      </c>
      <c r="P1134" s="2">
        <v>16.802580386289719</v>
      </c>
      <c r="Q1134" s="2">
        <v>-4.0985402390490435</v>
      </c>
    </row>
    <row r="1135" spans="1:17" ht="15">
      <c r="A1135" s="2" t="s">
        <v>81</v>
      </c>
      <c r="B1135" s="2">
        <v>969.5317151141353</v>
      </c>
      <c r="C1135" s="2">
        <v>875.21239190828055</v>
      </c>
      <c r="D1135" s="2">
        <v>448.51403879001737</v>
      </c>
      <c r="E1135" s="2">
        <v>314.27758924663067</v>
      </c>
      <c r="F1135" s="2">
        <v>26.766681218985468</v>
      </c>
      <c r="G1135" s="2">
        <v>0.83215758651029326</v>
      </c>
      <c r="H1135" s="2">
        <v>15230</v>
      </c>
      <c r="I1135" s="2">
        <v>1200</v>
      </c>
      <c r="J1135" s="2">
        <f>(IF(A1135='Hybrid Calculator'!$B$6,0,1))^2+((B1135-'Hybrid Calculator'!$B$7)/1500)^2+((C1135-'Hybrid Calculator'!$B$8)/1300)^2+((D1135-'Hybrid Calculator'!$B$9)/800)^2+((E1135-'Hybrid Calculator'!$B$10)/350)^2+((F1135-'Hybrid Calculator'!$B$11)/30)^2+(G1135-'Hybrid Calculator'!$B$12)^2+((H1135-'Hybrid Calculator'!$E$14)/IF(A1135="Lightning",100,30000))^2+((I1135-'Hybrid Calculator'!$E$17)/IF(A1135="Lightning",100,30000))^2</f>
        <v>1.6506706566090015</v>
      </c>
      <c r="K1135" s="2">
        <f t="shared" si="68"/>
        <v>1379</v>
      </c>
      <c r="L1135" s="2">
        <f t="shared" si="69"/>
        <v>0</v>
      </c>
      <c r="M1135" s="2">
        <f t="shared" si="70"/>
        <v>0</v>
      </c>
      <c r="N1135" s="2">
        <v>-1.4001487204401997</v>
      </c>
      <c r="O1135" s="2">
        <f t="shared" si="71"/>
        <v>0</v>
      </c>
      <c r="P1135" s="2">
        <v>3.4811967811278919</v>
      </c>
      <c r="Q1135" s="2">
        <v>-6.43646041162458</v>
      </c>
    </row>
    <row r="1136" spans="1:17" ht="15">
      <c r="A1136" s="2" t="s">
        <v>81</v>
      </c>
      <c r="B1136" s="2">
        <v>1095.1087967026979</v>
      </c>
      <c r="C1136" s="2">
        <v>839.38093445030972</v>
      </c>
      <c r="D1136" s="2">
        <v>659.76005177944899</v>
      </c>
      <c r="E1136" s="2">
        <v>232.8846102883108</v>
      </c>
      <c r="F1136" s="2">
        <v>13.716228649020195</v>
      </c>
      <c r="G1136" s="2">
        <v>0.81763570009032271</v>
      </c>
      <c r="H1136" s="2">
        <v>12345</v>
      </c>
      <c r="I1136" s="2">
        <v>1200</v>
      </c>
      <c r="J1136" s="2">
        <f>(IF(A1136='Hybrid Calculator'!$B$6,0,1))^2+((B1136-'Hybrid Calculator'!$B$7)/1500)^2+((C1136-'Hybrid Calculator'!$B$8)/1300)^2+((D1136-'Hybrid Calculator'!$B$9)/800)^2+((E1136-'Hybrid Calculator'!$B$10)/350)^2+((F1136-'Hybrid Calculator'!$B$11)/30)^2+(G1136-'Hybrid Calculator'!$B$12)^2+((H1136-'Hybrid Calculator'!$E$14)/IF(A1136="Lightning",100,30000))^2+((I1136-'Hybrid Calculator'!$E$17)/IF(A1136="Lightning",100,30000))^2</f>
        <v>1.3393255763977487</v>
      </c>
      <c r="K1136" s="2">
        <f t="shared" si="68"/>
        <v>799</v>
      </c>
      <c r="L1136" s="2">
        <f t="shared" si="69"/>
        <v>0</v>
      </c>
      <c r="M1136" s="2">
        <f t="shared" si="70"/>
        <v>0</v>
      </c>
      <c r="N1136" s="2">
        <v>2.2879562017470505</v>
      </c>
      <c r="O1136" s="2">
        <f t="shared" si="71"/>
        <v>0</v>
      </c>
      <c r="P1136" s="2">
        <v>14.135288691486949</v>
      </c>
      <c r="Q1136" s="2">
        <v>7.4694964384693776</v>
      </c>
    </row>
    <row r="1137" spans="1:17" ht="15">
      <c r="A1137" s="2" t="s">
        <v>81</v>
      </c>
      <c r="B1137" s="2">
        <v>1053.7190971081145</v>
      </c>
      <c r="C1137" s="2">
        <v>1100.6043476751074</v>
      </c>
      <c r="D1137" s="2">
        <v>630.15882493928075</v>
      </c>
      <c r="E1137" s="2">
        <v>244.0682783909142</v>
      </c>
      <c r="F1137" s="2">
        <v>13.289295411203057</v>
      </c>
      <c r="G1137" s="2">
        <v>0.82702945326920607</v>
      </c>
      <c r="H1137" s="2">
        <v>10830</v>
      </c>
      <c r="I1137" s="2">
        <v>1195</v>
      </c>
      <c r="J1137" s="2">
        <f>(IF(A1137='Hybrid Calculator'!$B$6,0,1))^2+((B1137-'Hybrid Calculator'!$B$7)/1500)^2+((C1137-'Hybrid Calculator'!$B$8)/1300)^2+((D1137-'Hybrid Calculator'!$B$9)/800)^2+((E1137-'Hybrid Calculator'!$B$10)/350)^2+((F1137-'Hybrid Calculator'!$B$11)/30)^2+(G1137-'Hybrid Calculator'!$B$12)^2+((H1137-'Hybrid Calculator'!$E$14)/IF(A1137="Lightning",100,30000))^2+((I1137-'Hybrid Calculator'!$E$17)/IF(A1137="Lightning",100,30000))^2</f>
        <v>1.3579930897720209</v>
      </c>
      <c r="K1137" s="2">
        <f t="shared" si="68"/>
        <v>849</v>
      </c>
      <c r="L1137" s="2">
        <f t="shared" si="69"/>
        <v>0</v>
      </c>
      <c r="M1137" s="2">
        <f t="shared" si="70"/>
        <v>0</v>
      </c>
      <c r="N1137" s="2">
        <v>5.8221509760683432</v>
      </c>
      <c r="O1137" s="2">
        <f t="shared" si="71"/>
        <v>0</v>
      </c>
      <c r="P1137" s="2">
        <v>22.10546407011725</v>
      </c>
      <c r="Q1137" s="2">
        <v>2.3545507225326219</v>
      </c>
    </row>
    <row r="1138" spans="1:17" ht="15">
      <c r="A1138" s="2" t="s">
        <v>81</v>
      </c>
      <c r="B1138" s="2">
        <v>1067.1882336260751</v>
      </c>
      <c r="C1138" s="2">
        <v>946.60876711132005</v>
      </c>
      <c r="D1138" s="2">
        <v>603.24317067861557</v>
      </c>
      <c r="E1138" s="2">
        <v>131.93813232472166</v>
      </c>
      <c r="F1138" s="2">
        <v>19.327782447449863</v>
      </c>
      <c r="G1138" s="2">
        <v>0.84813766281818981</v>
      </c>
      <c r="H1138" s="2">
        <v>12715</v>
      </c>
      <c r="I1138" s="2">
        <v>1200</v>
      </c>
      <c r="J1138" s="2">
        <f>(IF(A1138='Hybrid Calculator'!$B$6,0,1))^2+((B1138-'Hybrid Calculator'!$B$7)/1500)^2+((C1138-'Hybrid Calculator'!$B$8)/1300)^2+((D1138-'Hybrid Calculator'!$B$9)/800)^2+((E1138-'Hybrid Calculator'!$B$10)/350)^2+((F1138-'Hybrid Calculator'!$B$11)/30)^2+(G1138-'Hybrid Calculator'!$B$12)^2+((H1138-'Hybrid Calculator'!$E$14)/IF(A1138="Lightning",100,30000))^2+((I1138-'Hybrid Calculator'!$E$17)/IF(A1138="Lightning",100,30000))^2</f>
        <v>1.2630543750648489</v>
      </c>
      <c r="K1138" s="2">
        <f t="shared" si="68"/>
        <v>702</v>
      </c>
      <c r="L1138" s="2">
        <f t="shared" si="69"/>
        <v>0</v>
      </c>
      <c r="M1138" s="2">
        <f t="shared" si="70"/>
        <v>0</v>
      </c>
      <c r="N1138" s="2">
        <v>0.72775260228337402</v>
      </c>
      <c r="O1138" s="2">
        <f t="shared" si="71"/>
        <v>0</v>
      </c>
      <c r="P1138" s="2">
        <v>15.361002600353913</v>
      </c>
      <c r="Q1138" s="2">
        <v>-5.8541160325098645</v>
      </c>
    </row>
    <row r="1139" spans="1:17" ht="15">
      <c r="A1139" s="2" t="s">
        <v>81</v>
      </c>
      <c r="B1139" s="2">
        <v>1060.1180943544023</v>
      </c>
      <c r="C1139" s="2">
        <v>844.46698194369674</v>
      </c>
      <c r="D1139" s="2">
        <v>415.57785486802459</v>
      </c>
      <c r="E1139" s="2">
        <v>125.81336735282093</v>
      </c>
      <c r="F1139" s="2">
        <v>12.779275377746671</v>
      </c>
      <c r="G1139" s="2">
        <v>0.81081430648453534</v>
      </c>
      <c r="H1139" s="2">
        <v>15430</v>
      </c>
      <c r="I1139" s="2">
        <v>1200</v>
      </c>
      <c r="J1139" s="2">
        <f>(IF(A1139='Hybrid Calculator'!$B$6,0,1))^2+((B1139-'Hybrid Calculator'!$B$7)/1500)^2+((C1139-'Hybrid Calculator'!$B$8)/1300)^2+((D1139-'Hybrid Calculator'!$B$9)/800)^2+((E1139-'Hybrid Calculator'!$B$10)/350)^2+((F1139-'Hybrid Calculator'!$B$11)/30)^2+(G1139-'Hybrid Calculator'!$B$12)^2+((H1139-'Hybrid Calculator'!$E$14)/IF(A1139="Lightning",100,30000))^2+((I1139-'Hybrid Calculator'!$E$17)/IF(A1139="Lightning",100,30000))^2</f>
        <v>1.3759109684144446</v>
      </c>
      <c r="K1139" s="2">
        <f t="shared" si="68"/>
        <v>906</v>
      </c>
      <c r="L1139" s="2">
        <f t="shared" si="69"/>
        <v>0</v>
      </c>
      <c r="M1139" s="2">
        <f t="shared" si="70"/>
        <v>0</v>
      </c>
      <c r="N1139" s="2">
        <v>-1.9965500313948326</v>
      </c>
      <c r="O1139" s="2">
        <f t="shared" si="71"/>
        <v>0</v>
      </c>
      <c r="P1139" s="2">
        <v>-42.778306541936217</v>
      </c>
      <c r="Q1139" s="2">
        <v>4.8224542053987989</v>
      </c>
    </row>
    <row r="1140" spans="1:17" ht="15">
      <c r="A1140" s="2" t="s">
        <v>81</v>
      </c>
      <c r="B1140" s="2">
        <v>1046.1004443466663</v>
      </c>
      <c r="C1140" s="2">
        <v>1152.6574330753647</v>
      </c>
      <c r="D1140" s="2">
        <v>606.75935614854097</v>
      </c>
      <c r="E1140" s="2">
        <v>118.57521206373349</v>
      </c>
      <c r="F1140" s="2">
        <v>26.82120936922729</v>
      </c>
      <c r="G1140" s="2">
        <v>0.80501439054729418</v>
      </c>
      <c r="H1140" s="2">
        <v>11390</v>
      </c>
      <c r="I1140" s="2">
        <v>1195</v>
      </c>
      <c r="J1140" s="2">
        <f>(IF(A1140='Hybrid Calculator'!$B$6,0,1))^2+((B1140-'Hybrid Calculator'!$B$7)/1500)^2+((C1140-'Hybrid Calculator'!$B$8)/1300)^2+((D1140-'Hybrid Calculator'!$B$9)/800)^2+((E1140-'Hybrid Calculator'!$B$10)/350)^2+((F1140-'Hybrid Calculator'!$B$11)/30)^2+(G1140-'Hybrid Calculator'!$B$12)^2+((H1140-'Hybrid Calculator'!$E$14)/IF(A1140="Lightning",100,30000))^2+((I1140-'Hybrid Calculator'!$E$17)/IF(A1140="Lightning",100,30000))^2</f>
        <v>1.3654444554179395</v>
      </c>
      <c r="K1140" s="2">
        <f t="shared" si="68"/>
        <v>871</v>
      </c>
      <c r="L1140" s="2">
        <f t="shared" si="69"/>
        <v>0</v>
      </c>
      <c r="M1140" s="2">
        <f t="shared" si="70"/>
        <v>0</v>
      </c>
      <c r="N1140" s="2">
        <v>-0.88314090504198361</v>
      </c>
      <c r="O1140" s="2">
        <f t="shared" si="71"/>
        <v>0</v>
      </c>
      <c r="P1140" s="2">
        <v>0.91359312995837172</v>
      </c>
      <c r="Q1140" s="2">
        <v>-7.5859085541296736</v>
      </c>
    </row>
    <row r="1141" spans="1:17" ht="15">
      <c r="A1141" s="2" t="s">
        <v>81</v>
      </c>
      <c r="B1141" s="2">
        <v>1077.9014288098551</v>
      </c>
      <c r="C1141" s="2">
        <v>648.53298685047776</v>
      </c>
      <c r="D1141" s="2">
        <v>702.8501377440989</v>
      </c>
      <c r="E1141" s="2">
        <v>311.22230335138738</v>
      </c>
      <c r="F1141" s="2">
        <v>17.988260593730956</v>
      </c>
      <c r="G1141" s="2">
        <v>0.81118542179930964</v>
      </c>
      <c r="H1141" s="2">
        <v>12865</v>
      </c>
      <c r="I1141" s="2">
        <v>1200</v>
      </c>
      <c r="J1141" s="2">
        <f>(IF(A1141='Hybrid Calculator'!$B$6,0,1))^2+((B1141-'Hybrid Calculator'!$B$7)/1500)^2+((C1141-'Hybrid Calculator'!$B$8)/1300)^2+((D1141-'Hybrid Calculator'!$B$9)/800)^2+((E1141-'Hybrid Calculator'!$B$10)/350)^2+((F1141-'Hybrid Calculator'!$B$11)/30)^2+(G1141-'Hybrid Calculator'!$B$12)^2+((H1141-'Hybrid Calculator'!$E$14)/IF(A1141="Lightning",100,30000))^2+((I1141-'Hybrid Calculator'!$E$17)/IF(A1141="Lightning",100,30000))^2</f>
        <v>1.5384154864604158</v>
      </c>
      <c r="K1141" s="2">
        <f t="shared" si="68"/>
        <v>1280</v>
      </c>
      <c r="L1141" s="2">
        <f t="shared" si="69"/>
        <v>0</v>
      </c>
      <c r="M1141" s="2">
        <f t="shared" si="70"/>
        <v>0</v>
      </c>
      <c r="N1141" s="2">
        <v>2.7602758975418453</v>
      </c>
      <c r="O1141" s="2">
        <f t="shared" si="71"/>
        <v>0</v>
      </c>
      <c r="P1141" s="2">
        <v>-44.626685399860889</v>
      </c>
      <c r="Q1141" s="2">
        <v>2.5261818088877135</v>
      </c>
    </row>
    <row r="1142" spans="1:17" ht="15">
      <c r="A1142" s="2" t="s">
        <v>81</v>
      </c>
      <c r="B1142" s="2">
        <v>975.95273933839053</v>
      </c>
      <c r="C1142" s="2">
        <v>898.38219849625602</v>
      </c>
      <c r="D1142" s="2">
        <v>616.08994640409946</v>
      </c>
      <c r="E1142" s="2">
        <v>244.04092049924657</v>
      </c>
      <c r="F1142" s="2">
        <v>9.9545681411400437</v>
      </c>
      <c r="G1142" s="2">
        <v>0.81140926624415444</v>
      </c>
      <c r="H1142" s="2">
        <v>12160</v>
      </c>
      <c r="I1142" s="2">
        <v>1200</v>
      </c>
      <c r="J1142" s="2">
        <f>(IF(A1142='Hybrid Calculator'!$B$6,0,1))^2+((B1142-'Hybrid Calculator'!$B$7)/1500)^2+((C1142-'Hybrid Calculator'!$B$8)/1300)^2+((D1142-'Hybrid Calculator'!$B$9)/800)^2+((E1142-'Hybrid Calculator'!$B$10)/350)^2+((F1142-'Hybrid Calculator'!$B$11)/30)^2+(G1142-'Hybrid Calculator'!$B$12)^2+((H1142-'Hybrid Calculator'!$E$14)/IF(A1142="Lightning",100,30000))^2+((I1142-'Hybrid Calculator'!$E$17)/IF(A1142="Lightning",100,30000))^2</f>
        <v>1.4299482977543447</v>
      </c>
      <c r="K1142" s="2">
        <f t="shared" si="68"/>
        <v>1060</v>
      </c>
      <c r="L1142" s="2">
        <f t="shared" si="69"/>
        <v>0</v>
      </c>
      <c r="M1142" s="2">
        <f t="shared" si="70"/>
        <v>0</v>
      </c>
      <c r="N1142" s="2">
        <v>3.23336957337537</v>
      </c>
      <c r="O1142" s="2">
        <f t="shared" si="71"/>
        <v>0</v>
      </c>
      <c r="P1142" s="2">
        <v>12.038102875640561</v>
      </c>
      <c r="Q1142" s="2">
        <v>0.83125047951682518</v>
      </c>
    </row>
    <row r="1143" spans="1:17" ht="15">
      <c r="A1143" s="2" t="s">
        <v>81</v>
      </c>
      <c r="B1143" s="2">
        <v>1090.2754903188907</v>
      </c>
      <c r="C1143" s="2">
        <v>1232.3774054180831</v>
      </c>
      <c r="D1143" s="2">
        <v>414.12167204543948</v>
      </c>
      <c r="E1143" s="2">
        <v>217.86789018195122</v>
      </c>
      <c r="F1143" s="2">
        <v>17.585145290475339</v>
      </c>
      <c r="G1143" s="2">
        <v>0.82550312139093884</v>
      </c>
      <c r="H1143" s="2">
        <v>11470</v>
      </c>
      <c r="I1143" s="2">
        <v>1195</v>
      </c>
      <c r="J1143" s="2">
        <f>(IF(A1143='Hybrid Calculator'!$B$6,0,1))^2+((B1143-'Hybrid Calculator'!$B$7)/1500)^2+((C1143-'Hybrid Calculator'!$B$8)/1300)^2+((D1143-'Hybrid Calculator'!$B$9)/800)^2+((E1143-'Hybrid Calculator'!$B$10)/350)^2+((F1143-'Hybrid Calculator'!$B$11)/30)^2+(G1143-'Hybrid Calculator'!$B$12)^2+((H1143-'Hybrid Calculator'!$E$14)/IF(A1143="Lightning",100,30000))^2+((I1143-'Hybrid Calculator'!$E$17)/IF(A1143="Lightning",100,30000))^2</f>
        <v>1.3328243732866456</v>
      </c>
      <c r="K1143" s="2">
        <f t="shared" si="68"/>
        <v>782</v>
      </c>
      <c r="L1143" s="2">
        <f t="shared" si="69"/>
        <v>0</v>
      </c>
      <c r="M1143" s="2">
        <f t="shared" si="70"/>
        <v>0</v>
      </c>
      <c r="N1143" s="2">
        <v>1.2264664714566038</v>
      </c>
      <c r="O1143" s="2">
        <f t="shared" si="71"/>
        <v>0</v>
      </c>
      <c r="P1143" s="2">
        <v>72.28668455189154</v>
      </c>
      <c r="Q1143" s="2">
        <v>-8.6145274612017602</v>
      </c>
    </row>
    <row r="1144" spans="1:17" ht="15">
      <c r="A1144" s="2" t="s">
        <v>81</v>
      </c>
      <c r="B1144" s="2">
        <v>957.97254960052669</v>
      </c>
      <c r="C1144" s="2">
        <v>788.64738800330088</v>
      </c>
      <c r="D1144" s="2">
        <v>717.36023183912039</v>
      </c>
      <c r="E1144" s="2">
        <v>320.20575062604621</v>
      </c>
      <c r="F1144" s="2">
        <v>11.174847524613142</v>
      </c>
      <c r="G1144" s="2">
        <v>0.8544935521134176</v>
      </c>
      <c r="H1144" s="2">
        <v>13660</v>
      </c>
      <c r="I1144" s="2">
        <v>1200</v>
      </c>
      <c r="J1144" s="2">
        <f>(IF(A1144='Hybrid Calculator'!$B$6,0,1))^2+((B1144-'Hybrid Calculator'!$B$7)/1500)^2+((C1144-'Hybrid Calculator'!$B$8)/1300)^2+((D1144-'Hybrid Calculator'!$B$9)/800)^2+((E1144-'Hybrid Calculator'!$B$10)/350)^2+((F1144-'Hybrid Calculator'!$B$11)/30)^2+(G1144-'Hybrid Calculator'!$B$12)^2+((H1144-'Hybrid Calculator'!$E$14)/IF(A1144="Lightning",100,30000))^2+((I1144-'Hybrid Calculator'!$E$17)/IF(A1144="Lightning",100,30000))^2</f>
        <v>1.6776350871157522</v>
      </c>
      <c r="K1144" s="2">
        <f t="shared" si="68"/>
        <v>1389</v>
      </c>
      <c r="L1144" s="2">
        <f t="shared" si="69"/>
        <v>0</v>
      </c>
      <c r="M1144" s="2">
        <f t="shared" si="70"/>
        <v>0</v>
      </c>
      <c r="N1144" s="2">
        <v>4.4541678122124893</v>
      </c>
      <c r="O1144" s="2">
        <f t="shared" si="71"/>
        <v>0</v>
      </c>
      <c r="P1144" s="2">
        <v>8.1687659380304467</v>
      </c>
      <c r="Q1144" s="2">
        <v>-1.2469111524460459</v>
      </c>
    </row>
    <row r="1145" spans="1:17" ht="15">
      <c r="A1145" s="2" t="s">
        <v>81</v>
      </c>
      <c r="B1145" s="2">
        <v>1078.4170948085375</v>
      </c>
      <c r="C1145" s="2">
        <v>817.30096626561135</v>
      </c>
      <c r="D1145" s="2">
        <v>438.81073789671063</v>
      </c>
      <c r="E1145" s="2">
        <v>197.45294462889433</v>
      </c>
      <c r="F1145" s="2">
        <v>23.107435511890799</v>
      </c>
      <c r="G1145" s="2">
        <v>0.8068283991096542</v>
      </c>
      <c r="H1145" s="2">
        <v>14715</v>
      </c>
      <c r="I1145" s="2">
        <v>1200</v>
      </c>
      <c r="J1145" s="2">
        <f>(IF(A1145='Hybrid Calculator'!$B$6,0,1))^2+((B1145-'Hybrid Calculator'!$B$7)/1500)^2+((C1145-'Hybrid Calculator'!$B$8)/1300)^2+((D1145-'Hybrid Calculator'!$B$9)/800)^2+((E1145-'Hybrid Calculator'!$B$10)/350)^2+((F1145-'Hybrid Calculator'!$B$11)/30)^2+(G1145-'Hybrid Calculator'!$B$12)^2+((H1145-'Hybrid Calculator'!$E$14)/IF(A1145="Lightning",100,30000))^2+((I1145-'Hybrid Calculator'!$E$17)/IF(A1145="Lightning",100,30000))^2</f>
        <v>1.342504033118332</v>
      </c>
      <c r="K1145" s="2">
        <f t="shared" si="68"/>
        <v>808</v>
      </c>
      <c r="L1145" s="2">
        <f t="shared" si="69"/>
        <v>0</v>
      </c>
      <c r="M1145" s="2">
        <f t="shared" si="70"/>
        <v>0</v>
      </c>
      <c r="N1145" s="2">
        <v>-1.5420792760338884</v>
      </c>
      <c r="O1145" s="2">
        <f t="shared" si="71"/>
        <v>0</v>
      </c>
      <c r="P1145" s="2">
        <v>-7.3821032304558685</v>
      </c>
      <c r="Q1145" s="2">
        <v>2.5894472720970043</v>
      </c>
    </row>
    <row r="1146" spans="1:17" ht="15">
      <c r="A1146" s="2" t="s">
        <v>81</v>
      </c>
      <c r="B1146" s="2">
        <v>979.78627721313387</v>
      </c>
      <c r="C1146" s="2">
        <v>983.44967953162268</v>
      </c>
      <c r="D1146" s="2">
        <v>400.01018866896629</v>
      </c>
      <c r="E1146" s="2">
        <v>144.82587516075</v>
      </c>
      <c r="F1146" s="2">
        <v>16.700466773472726</v>
      </c>
      <c r="G1146" s="2">
        <v>0.82706694120308388</v>
      </c>
      <c r="H1146" s="2">
        <v>16325</v>
      </c>
      <c r="I1146" s="2">
        <v>1200</v>
      </c>
      <c r="J1146" s="2">
        <f>(IF(A1146='Hybrid Calculator'!$B$6,0,1))^2+((B1146-'Hybrid Calculator'!$B$7)/1500)^2+((C1146-'Hybrid Calculator'!$B$8)/1300)^2+((D1146-'Hybrid Calculator'!$B$9)/800)^2+((E1146-'Hybrid Calculator'!$B$10)/350)^2+((F1146-'Hybrid Calculator'!$B$11)/30)^2+(G1146-'Hybrid Calculator'!$B$12)^2+((H1146-'Hybrid Calculator'!$E$14)/IF(A1146="Lightning",100,30000))^2+((I1146-'Hybrid Calculator'!$E$17)/IF(A1146="Lightning",100,30000))^2</f>
        <v>1.4139621443650028</v>
      </c>
      <c r="K1146" s="2">
        <f t="shared" si="68"/>
        <v>1022</v>
      </c>
      <c r="L1146" s="2">
        <f t="shared" si="69"/>
        <v>0</v>
      </c>
      <c r="M1146" s="2">
        <f t="shared" si="70"/>
        <v>0</v>
      </c>
      <c r="N1146" s="2">
        <v>-0.56230733791798571</v>
      </c>
      <c r="O1146" s="2">
        <f t="shared" si="71"/>
        <v>0</v>
      </c>
      <c r="P1146" s="2">
        <v>1.6861159552604477</v>
      </c>
      <c r="Q1146" s="2">
        <v>2.5855318654254233</v>
      </c>
    </row>
    <row r="1147" spans="1:17" ht="15">
      <c r="A1147" s="2" t="s">
        <v>81</v>
      </c>
      <c r="B1147" s="2">
        <v>1013.0085756885819</v>
      </c>
      <c r="C1147" s="2">
        <v>1184.3856751918793</v>
      </c>
      <c r="D1147" s="2">
        <v>577.34950473532081</v>
      </c>
      <c r="E1147" s="2">
        <v>222.9979681270197</v>
      </c>
      <c r="F1147" s="2">
        <v>8.168398620095104</v>
      </c>
      <c r="G1147" s="2">
        <v>0.81197557474486537</v>
      </c>
      <c r="H1147" s="2">
        <v>10775</v>
      </c>
      <c r="I1147" s="2">
        <v>1195</v>
      </c>
      <c r="J1147" s="2">
        <f>(IF(A1147='Hybrid Calculator'!$B$6,0,1))^2+((B1147-'Hybrid Calculator'!$B$7)/1500)^2+((C1147-'Hybrid Calculator'!$B$8)/1300)^2+((D1147-'Hybrid Calculator'!$B$9)/800)^2+((E1147-'Hybrid Calculator'!$B$10)/350)^2+((F1147-'Hybrid Calculator'!$B$11)/30)^2+(G1147-'Hybrid Calculator'!$B$12)^2+((H1147-'Hybrid Calculator'!$E$14)/IF(A1147="Lightning",100,30000))^2+((I1147-'Hybrid Calculator'!$E$17)/IF(A1147="Lightning",100,30000))^2</f>
        <v>1.4424424584596169</v>
      </c>
      <c r="K1147" s="2">
        <f t="shared" si="68"/>
        <v>1090</v>
      </c>
      <c r="L1147" s="2">
        <f t="shared" si="69"/>
        <v>0</v>
      </c>
      <c r="M1147" s="2">
        <f t="shared" si="70"/>
        <v>0</v>
      </c>
      <c r="N1147" s="2">
        <v>5.5175789628049188</v>
      </c>
      <c r="O1147" s="2">
        <f t="shared" si="71"/>
        <v>0</v>
      </c>
      <c r="P1147" s="2">
        <v>60.518068502220558</v>
      </c>
      <c r="Q1147" s="2">
        <v>-1.5603709838551367</v>
      </c>
    </row>
    <row r="1148" spans="1:17" ht="15">
      <c r="A1148" s="2" t="s">
        <v>81</v>
      </c>
      <c r="B1148" s="2">
        <v>1018.592646624893</v>
      </c>
      <c r="C1148" s="2">
        <v>862.31181541224942</v>
      </c>
      <c r="D1148" s="2">
        <v>490.30354265123606</v>
      </c>
      <c r="E1148" s="2">
        <v>110.47421114752069</v>
      </c>
      <c r="F1148" s="2">
        <v>20.788804167881608</v>
      </c>
      <c r="G1148" s="2">
        <v>0.79461694079684098</v>
      </c>
      <c r="H1148" s="2">
        <v>14615</v>
      </c>
      <c r="I1148" s="2">
        <v>1200</v>
      </c>
      <c r="J1148" s="2">
        <f>(IF(A1148='Hybrid Calculator'!$B$6,0,1))^2+((B1148-'Hybrid Calculator'!$B$7)/1500)^2+((C1148-'Hybrid Calculator'!$B$8)/1300)^2+((D1148-'Hybrid Calculator'!$B$9)/800)^2+((E1148-'Hybrid Calculator'!$B$10)/350)^2+((F1148-'Hybrid Calculator'!$B$11)/30)^2+(G1148-'Hybrid Calculator'!$B$12)^2+((H1148-'Hybrid Calculator'!$E$14)/IF(A1148="Lightning",100,30000))^2+((I1148-'Hybrid Calculator'!$E$17)/IF(A1148="Lightning",100,30000))^2</f>
        <v>1.3301067712228689</v>
      </c>
      <c r="K1148" s="2">
        <f t="shared" si="68"/>
        <v>776</v>
      </c>
      <c r="L1148" s="2">
        <f t="shared" si="69"/>
        <v>0</v>
      </c>
      <c r="M1148" s="2">
        <f t="shared" si="70"/>
        <v>0</v>
      </c>
      <c r="N1148" s="2">
        <v>-3.3613414821902268</v>
      </c>
      <c r="O1148" s="2">
        <f t="shared" si="71"/>
        <v>0</v>
      </c>
      <c r="P1148" s="2">
        <v>-5.7739742040466808</v>
      </c>
      <c r="Q1148" s="2">
        <v>0.80061583171561779</v>
      </c>
    </row>
    <row r="1149" spans="1:17" ht="15">
      <c r="A1149" s="2" t="s">
        <v>81</v>
      </c>
      <c r="B1149" s="2">
        <v>1092.2168144606985</v>
      </c>
      <c r="C1149" s="2">
        <v>940.16835719812661</v>
      </c>
      <c r="D1149" s="2">
        <v>742.74424249306321</v>
      </c>
      <c r="E1149" s="2">
        <v>270.41434698738158</v>
      </c>
      <c r="F1149" s="2">
        <v>29.994382478762418</v>
      </c>
      <c r="G1149" s="2">
        <v>0.80491940996143974</v>
      </c>
      <c r="H1149" s="2">
        <v>10950</v>
      </c>
      <c r="I1149" s="2">
        <v>1195</v>
      </c>
      <c r="J1149" s="2">
        <f>(IF(A1149='Hybrid Calculator'!$B$6,0,1))^2+((B1149-'Hybrid Calculator'!$B$7)/1500)^2+((C1149-'Hybrid Calculator'!$B$8)/1300)^2+((D1149-'Hybrid Calculator'!$B$9)/800)^2+((E1149-'Hybrid Calculator'!$B$10)/350)^2+((F1149-'Hybrid Calculator'!$B$11)/30)^2+(G1149-'Hybrid Calculator'!$B$12)^2+((H1149-'Hybrid Calculator'!$E$14)/IF(A1149="Lightning",100,30000))^2+((I1149-'Hybrid Calculator'!$E$17)/IF(A1149="Lightning",100,30000))^2</f>
        <v>1.5450253000740051</v>
      </c>
      <c r="K1149" s="2">
        <f t="shared" si="68"/>
        <v>1291</v>
      </c>
      <c r="L1149" s="2">
        <f t="shared" si="69"/>
        <v>0</v>
      </c>
      <c r="M1149" s="2">
        <f t="shared" si="70"/>
        <v>0</v>
      </c>
      <c r="N1149" s="2">
        <v>2.2506469445284267</v>
      </c>
      <c r="O1149" s="2">
        <f t="shared" si="71"/>
        <v>0</v>
      </c>
      <c r="P1149" s="2">
        <v>6.918491207029092</v>
      </c>
      <c r="Q1149" s="2">
        <v>-19.678372177338815</v>
      </c>
    </row>
    <row r="1150" spans="1:17" ht="15">
      <c r="A1150" s="2" t="s">
        <v>81</v>
      </c>
      <c r="B1150" s="2">
        <v>1003.2991727814078</v>
      </c>
      <c r="C1150" s="2">
        <v>777.59806480025873</v>
      </c>
      <c r="D1150" s="2">
        <v>640.61897415667772</v>
      </c>
      <c r="E1150" s="2">
        <v>231.49083320284262</v>
      </c>
      <c r="F1150" s="2">
        <v>15.757548024877906</v>
      </c>
      <c r="G1150" s="2">
        <v>0.79578965322347361</v>
      </c>
      <c r="H1150" s="2">
        <v>12965</v>
      </c>
      <c r="I1150" s="2">
        <v>1200</v>
      </c>
      <c r="J1150" s="2">
        <f>(IF(A1150='Hybrid Calculator'!$B$6,0,1))^2+((B1150-'Hybrid Calculator'!$B$7)/1500)^2+((C1150-'Hybrid Calculator'!$B$8)/1300)^2+((D1150-'Hybrid Calculator'!$B$9)/800)^2+((E1150-'Hybrid Calculator'!$B$10)/350)^2+((F1150-'Hybrid Calculator'!$B$11)/30)^2+(G1150-'Hybrid Calculator'!$B$12)^2+((H1150-'Hybrid Calculator'!$E$14)/IF(A1150="Lightning",100,30000))^2+((I1150-'Hybrid Calculator'!$E$17)/IF(A1150="Lightning",100,30000))^2</f>
        <v>1.3630518451133511</v>
      </c>
      <c r="K1150" s="2">
        <f t="shared" si="68"/>
        <v>863</v>
      </c>
      <c r="L1150" s="2">
        <f t="shared" si="69"/>
        <v>0</v>
      </c>
      <c r="M1150" s="2">
        <f t="shared" si="70"/>
        <v>0</v>
      </c>
      <c r="N1150" s="2">
        <v>3.9277629283479882</v>
      </c>
      <c r="O1150" s="2">
        <f t="shared" si="71"/>
        <v>0</v>
      </c>
      <c r="P1150" s="2">
        <v>-35.289362031297969</v>
      </c>
      <c r="Q1150" s="2">
        <v>4.6730527214427866</v>
      </c>
    </row>
    <row r="1151" spans="1:17" ht="15">
      <c r="A1151" s="2" t="s">
        <v>81</v>
      </c>
      <c r="B1151" s="2">
        <v>1065.2713943854906</v>
      </c>
      <c r="C1151" s="2">
        <v>1046.9820533180609</v>
      </c>
      <c r="D1151" s="2">
        <v>476.61134013906121</v>
      </c>
      <c r="E1151" s="2">
        <v>227.10760000161827</v>
      </c>
      <c r="F1151" s="2">
        <v>15.648052443284541</v>
      </c>
      <c r="G1151" s="2">
        <v>0.83354844328481703</v>
      </c>
      <c r="H1151" s="2">
        <v>12215</v>
      </c>
      <c r="I1151" s="2">
        <v>1200</v>
      </c>
      <c r="J1151" s="2">
        <f>(IF(A1151='Hybrid Calculator'!$B$6,0,1))^2+((B1151-'Hybrid Calculator'!$B$7)/1500)^2+((C1151-'Hybrid Calculator'!$B$8)/1300)^2+((D1151-'Hybrid Calculator'!$B$9)/800)^2+((E1151-'Hybrid Calculator'!$B$10)/350)^2+((F1151-'Hybrid Calculator'!$B$11)/30)^2+(G1151-'Hybrid Calculator'!$B$12)^2+((H1151-'Hybrid Calculator'!$E$14)/IF(A1151="Lightning",100,30000))^2+((I1151-'Hybrid Calculator'!$E$17)/IF(A1151="Lightning",100,30000))^2</f>
        <v>1.3050481814014081</v>
      </c>
      <c r="K1151" s="2">
        <f t="shared" si="68"/>
        <v>740</v>
      </c>
      <c r="L1151" s="2">
        <f t="shared" si="69"/>
        <v>0</v>
      </c>
      <c r="M1151" s="2">
        <f t="shared" si="70"/>
        <v>0</v>
      </c>
      <c r="N1151" s="2">
        <v>1.9186227451075695</v>
      </c>
      <c r="O1151" s="2">
        <f t="shared" si="71"/>
        <v>0</v>
      </c>
      <c r="P1151" s="2">
        <v>-25.199882462376991</v>
      </c>
      <c r="Q1151" s="2">
        <v>0.20772481813992272</v>
      </c>
    </row>
    <row r="1152" spans="1:17" ht="15">
      <c r="A1152" s="2" t="s">
        <v>81</v>
      </c>
      <c r="B1152" s="2">
        <v>1017.2170168487355</v>
      </c>
      <c r="C1152" s="2">
        <v>774.98146208235994</v>
      </c>
      <c r="D1152" s="2">
        <v>394.07189078629017</v>
      </c>
      <c r="E1152" s="2">
        <v>116.52389923809096</v>
      </c>
      <c r="F1152" s="2">
        <v>8.2108723381534219</v>
      </c>
      <c r="G1152" s="2">
        <v>0.85195687344996263</v>
      </c>
      <c r="H1152" s="2">
        <v>19410</v>
      </c>
      <c r="I1152" s="2">
        <v>1200</v>
      </c>
      <c r="J1152" s="2">
        <f>(IF(A1152='Hybrid Calculator'!$B$6,0,1))^2+((B1152-'Hybrid Calculator'!$B$7)/1500)^2+((C1152-'Hybrid Calculator'!$B$8)/1300)^2+((D1152-'Hybrid Calculator'!$B$9)/800)^2+((E1152-'Hybrid Calculator'!$B$10)/350)^2+((F1152-'Hybrid Calculator'!$B$11)/30)^2+(G1152-'Hybrid Calculator'!$B$12)^2+((H1152-'Hybrid Calculator'!$E$14)/IF(A1152="Lightning",100,30000))^2+((I1152-'Hybrid Calculator'!$E$17)/IF(A1152="Lightning",100,30000))^2</f>
        <v>1.640555400116313</v>
      </c>
      <c r="K1152" s="2">
        <f t="shared" si="68"/>
        <v>1374</v>
      </c>
      <c r="L1152" s="2">
        <f t="shared" si="69"/>
        <v>0</v>
      </c>
      <c r="M1152" s="2">
        <f t="shared" si="70"/>
        <v>0</v>
      </c>
      <c r="N1152" s="2">
        <v>-1.3051721575034207</v>
      </c>
      <c r="O1152" s="2">
        <f t="shared" si="71"/>
        <v>0</v>
      </c>
      <c r="P1152" s="2">
        <v>21.401194586964266</v>
      </c>
      <c r="Q1152" s="2">
        <v>18.167370506387897</v>
      </c>
    </row>
    <row r="1153" spans="1:17" ht="15">
      <c r="A1153" s="2" t="s">
        <v>81</v>
      </c>
      <c r="B1153" s="2">
        <v>1001.0563230491243</v>
      </c>
      <c r="C1153" s="2">
        <v>1083.3120049443096</v>
      </c>
      <c r="D1153" s="2">
        <v>484.44560570642352</v>
      </c>
      <c r="E1153" s="2">
        <v>183.91604609321803</v>
      </c>
      <c r="F1153" s="2">
        <v>22.57634701160714</v>
      </c>
      <c r="G1153" s="2">
        <v>0.85746406156569721</v>
      </c>
      <c r="H1153" s="2">
        <v>14245</v>
      </c>
      <c r="I1153" s="2">
        <v>1200</v>
      </c>
      <c r="J1153" s="2">
        <f>(IF(A1153='Hybrid Calculator'!$B$6,0,1))^2+((B1153-'Hybrid Calculator'!$B$7)/1500)^2+((C1153-'Hybrid Calculator'!$B$8)/1300)^2+((D1153-'Hybrid Calculator'!$B$9)/800)^2+((E1153-'Hybrid Calculator'!$B$10)/350)^2+((F1153-'Hybrid Calculator'!$B$11)/30)^2+(G1153-'Hybrid Calculator'!$B$12)^2+((H1153-'Hybrid Calculator'!$E$14)/IF(A1153="Lightning",100,30000))^2+((I1153-'Hybrid Calculator'!$E$17)/IF(A1153="Lightning",100,30000))^2</f>
        <v>1.3671443684438673</v>
      </c>
      <c r="K1153" s="2">
        <f t="shared" si="68"/>
        <v>874</v>
      </c>
      <c r="L1153" s="2">
        <f t="shared" si="69"/>
        <v>0</v>
      </c>
      <c r="M1153" s="2">
        <f t="shared" si="70"/>
        <v>0</v>
      </c>
      <c r="N1153" s="2">
        <v>-1.0391477613409847</v>
      </c>
      <c r="O1153" s="2">
        <f t="shared" si="71"/>
        <v>0</v>
      </c>
      <c r="P1153" s="2">
        <v>-23.442833564857665</v>
      </c>
      <c r="Q1153" s="2">
        <v>-5.2453166157010855</v>
      </c>
    </row>
    <row r="1154" spans="1:17" ht="15">
      <c r="A1154" s="2" t="s">
        <v>81</v>
      </c>
      <c r="B1154" s="2">
        <v>1004.2152976151556</v>
      </c>
      <c r="C1154" s="2">
        <v>832.58327197981998</v>
      </c>
      <c r="D1154" s="2">
        <v>457.22239520400763</v>
      </c>
      <c r="E1154" s="2">
        <v>112.37758745672181</v>
      </c>
      <c r="F1154" s="2">
        <v>17.924498591572046</v>
      </c>
      <c r="G1154" s="2">
        <v>0.7938551922910847</v>
      </c>
      <c r="H1154" s="2">
        <v>15250</v>
      </c>
      <c r="I1154" s="2">
        <v>1200</v>
      </c>
      <c r="J1154" s="2">
        <f>(IF(A1154='Hybrid Calculator'!$B$6,0,1))^2+((B1154-'Hybrid Calculator'!$B$7)/1500)^2+((C1154-'Hybrid Calculator'!$B$8)/1300)^2+((D1154-'Hybrid Calculator'!$B$9)/800)^2+((E1154-'Hybrid Calculator'!$B$10)/350)^2+((F1154-'Hybrid Calculator'!$B$11)/30)^2+(G1154-'Hybrid Calculator'!$B$12)^2+((H1154-'Hybrid Calculator'!$E$14)/IF(A1154="Lightning",100,30000))^2+((I1154-'Hybrid Calculator'!$E$17)/IF(A1154="Lightning",100,30000))^2</f>
        <v>1.352583329760477</v>
      </c>
      <c r="K1154" s="2">
        <f t="shared" ref="K1154:K1217" si="72">RANK(J1154,$J$2:$J$1401,1)</f>
        <v>837</v>
      </c>
      <c r="L1154" s="2">
        <f t="shared" ref="L1154:L1217" si="73">IF(K1154&lt;=7,1,0)</f>
        <v>0</v>
      </c>
      <c r="M1154" s="2">
        <f t="shared" ref="M1154:M1217" si="74">IF(L1154=1,1/(J1154+0.000001),0)</f>
        <v>0</v>
      </c>
      <c r="N1154" s="2">
        <v>-0.34669063699487879</v>
      </c>
      <c r="O1154" s="2">
        <f t="shared" ref="O1154:O1217" si="75">M1154</f>
        <v>0</v>
      </c>
      <c r="P1154" s="2">
        <v>2.9862525069215735</v>
      </c>
      <c r="Q1154" s="2">
        <v>5.3264871570512469</v>
      </c>
    </row>
    <row r="1155" spans="1:17" ht="15">
      <c r="A1155" s="2" t="s">
        <v>81</v>
      </c>
      <c r="B1155" s="2">
        <v>1079.0579958003946</v>
      </c>
      <c r="C1155" s="2">
        <v>798.76933998893946</v>
      </c>
      <c r="D1155" s="2">
        <v>466.36262880638242</v>
      </c>
      <c r="E1155" s="2">
        <v>204.46320801973343</v>
      </c>
      <c r="F1155" s="2">
        <v>23.870451519731432</v>
      </c>
      <c r="G1155" s="2">
        <v>0.80434801570605485</v>
      </c>
      <c r="H1155" s="2">
        <v>14550</v>
      </c>
      <c r="I1155" s="2">
        <v>1200</v>
      </c>
      <c r="J1155" s="2">
        <f>(IF(A1155='Hybrid Calculator'!$B$6,0,1))^2+((B1155-'Hybrid Calculator'!$B$7)/1500)^2+((C1155-'Hybrid Calculator'!$B$8)/1300)^2+((D1155-'Hybrid Calculator'!$B$9)/800)^2+((E1155-'Hybrid Calculator'!$B$10)/350)^2+((F1155-'Hybrid Calculator'!$B$11)/30)^2+(G1155-'Hybrid Calculator'!$B$12)^2+((H1155-'Hybrid Calculator'!$E$14)/IF(A1155="Lightning",100,30000))^2+((I1155-'Hybrid Calculator'!$E$17)/IF(A1155="Lightning",100,30000))^2</f>
        <v>1.3481609323958867</v>
      </c>
      <c r="K1155" s="2">
        <f t="shared" si="72"/>
        <v>828</v>
      </c>
      <c r="L1155" s="2">
        <f t="shared" si="73"/>
        <v>0</v>
      </c>
      <c r="M1155" s="2">
        <f t="shared" si="74"/>
        <v>0</v>
      </c>
      <c r="N1155" s="2">
        <v>-0.75350189445759952</v>
      </c>
      <c r="O1155" s="2">
        <f t="shared" si="75"/>
        <v>0</v>
      </c>
      <c r="P1155" s="2">
        <v>2.4408363969546372</v>
      </c>
      <c r="Q1155" s="2">
        <v>-2.957148632278404</v>
      </c>
    </row>
    <row r="1156" spans="1:17" ht="15">
      <c r="A1156" s="2" t="s">
        <v>81</v>
      </c>
      <c r="B1156" s="2">
        <v>1031.3243897864595</v>
      </c>
      <c r="C1156" s="2">
        <v>883.05117721902207</v>
      </c>
      <c r="D1156" s="2">
        <v>697.20287695527077</v>
      </c>
      <c r="E1156" s="2">
        <v>306.99447575723752</v>
      </c>
      <c r="F1156" s="2">
        <v>11.412359192036092</v>
      </c>
      <c r="G1156" s="2">
        <v>0.79756515225162739</v>
      </c>
      <c r="H1156" s="2">
        <v>11330</v>
      </c>
      <c r="I1156" s="2">
        <v>1195</v>
      </c>
      <c r="J1156" s="2">
        <f>(IF(A1156='Hybrid Calculator'!$B$6,0,1))^2+((B1156-'Hybrid Calculator'!$B$7)/1500)^2+((C1156-'Hybrid Calculator'!$B$8)/1300)^2+((D1156-'Hybrid Calculator'!$B$9)/800)^2+((E1156-'Hybrid Calculator'!$B$10)/350)^2+((F1156-'Hybrid Calculator'!$B$11)/30)^2+(G1156-'Hybrid Calculator'!$B$12)^2+((H1156-'Hybrid Calculator'!$E$14)/IF(A1156="Lightning",100,30000))^2+((I1156-'Hybrid Calculator'!$E$17)/IF(A1156="Lightning",100,30000))^2</f>
        <v>1.5307093871766617</v>
      </c>
      <c r="K1156" s="2">
        <f t="shared" si="72"/>
        <v>1264</v>
      </c>
      <c r="L1156" s="2">
        <f t="shared" si="73"/>
        <v>0</v>
      </c>
      <c r="M1156" s="2">
        <f t="shared" si="74"/>
        <v>0</v>
      </c>
      <c r="N1156" s="2">
        <v>2.6023382092572547</v>
      </c>
      <c r="O1156" s="2">
        <f t="shared" si="75"/>
        <v>0</v>
      </c>
      <c r="P1156" s="2">
        <v>-33.432808694631149</v>
      </c>
      <c r="Q1156" s="2">
        <v>-5.8007230370210436</v>
      </c>
    </row>
    <row r="1157" spans="1:17" ht="15">
      <c r="A1157" s="2" t="s">
        <v>81</v>
      </c>
      <c r="B1157" s="2">
        <v>982.35870561329648</v>
      </c>
      <c r="C1157" s="2">
        <v>859.44172907620668</v>
      </c>
      <c r="D1157" s="2">
        <v>594.63677247986197</v>
      </c>
      <c r="E1157" s="2">
        <v>153.83701961953193</v>
      </c>
      <c r="F1157" s="2">
        <v>18.920729124452919</v>
      </c>
      <c r="G1157" s="2">
        <v>0.79585255808196964</v>
      </c>
      <c r="H1157" s="2">
        <v>13300</v>
      </c>
      <c r="I1157" s="2">
        <v>1200</v>
      </c>
      <c r="J1157" s="2">
        <f>(IF(A1157='Hybrid Calculator'!$B$6,0,1))^2+((B1157-'Hybrid Calculator'!$B$7)/1500)^2+((C1157-'Hybrid Calculator'!$B$8)/1300)^2+((D1157-'Hybrid Calculator'!$B$9)/800)^2+((E1157-'Hybrid Calculator'!$B$10)/350)^2+((F1157-'Hybrid Calculator'!$B$11)/30)^2+(G1157-'Hybrid Calculator'!$B$12)^2+((H1157-'Hybrid Calculator'!$E$14)/IF(A1157="Lightning",100,30000))^2+((I1157-'Hybrid Calculator'!$E$17)/IF(A1157="Lightning",100,30000))^2</f>
        <v>1.2986307071474312</v>
      </c>
      <c r="K1157" s="2">
        <f t="shared" si="72"/>
        <v>727</v>
      </c>
      <c r="L1157" s="2">
        <f t="shared" si="73"/>
        <v>0</v>
      </c>
      <c r="M1157" s="2">
        <f t="shared" si="74"/>
        <v>0</v>
      </c>
      <c r="N1157" s="2">
        <v>1.805130849718978</v>
      </c>
      <c r="O1157" s="2">
        <f t="shared" si="75"/>
        <v>0</v>
      </c>
      <c r="P1157" s="2">
        <v>-4.4671382421447561</v>
      </c>
      <c r="Q1157" s="2">
        <v>-1.5011930226010008</v>
      </c>
    </row>
    <row r="1158" spans="1:17" ht="15">
      <c r="A1158" s="2" t="s">
        <v>81</v>
      </c>
      <c r="B1158" s="2">
        <v>1003.3823114819825</v>
      </c>
      <c r="C1158" s="2">
        <v>1152.1955521195196</v>
      </c>
      <c r="D1158" s="2">
        <v>691.4374927058816</v>
      </c>
      <c r="E1158" s="2">
        <v>165.60840418795124</v>
      </c>
      <c r="F1158" s="2">
        <v>20.143818961456418</v>
      </c>
      <c r="G1158" s="2">
        <v>0.81370554342167456</v>
      </c>
      <c r="H1158" s="2">
        <v>10645</v>
      </c>
      <c r="I1158" s="2">
        <v>1195</v>
      </c>
      <c r="J1158" s="2">
        <f>(IF(A1158='Hybrid Calculator'!$B$6,0,1))^2+((B1158-'Hybrid Calculator'!$B$7)/1500)^2+((C1158-'Hybrid Calculator'!$B$8)/1300)^2+((D1158-'Hybrid Calculator'!$B$9)/800)^2+((E1158-'Hybrid Calculator'!$B$10)/350)^2+((F1158-'Hybrid Calculator'!$B$11)/30)^2+(G1158-'Hybrid Calculator'!$B$12)^2+((H1158-'Hybrid Calculator'!$E$14)/IF(A1158="Lightning",100,30000))^2+((I1158-'Hybrid Calculator'!$E$17)/IF(A1158="Lightning",100,30000))^2</f>
        <v>1.3215833128948711</v>
      </c>
      <c r="K1158" s="2">
        <f t="shared" si="72"/>
        <v>762</v>
      </c>
      <c r="L1158" s="2">
        <f t="shared" si="73"/>
        <v>0</v>
      </c>
      <c r="M1158" s="2">
        <f t="shared" si="74"/>
        <v>0</v>
      </c>
      <c r="N1158" s="2">
        <v>2.636858054470764</v>
      </c>
      <c r="O1158" s="2">
        <f t="shared" si="75"/>
        <v>0</v>
      </c>
      <c r="P1158" s="2">
        <v>28.36528648897638</v>
      </c>
      <c r="Q1158" s="2">
        <v>-12.931392962917243</v>
      </c>
    </row>
    <row r="1159" spans="1:17" ht="15">
      <c r="A1159" s="2" t="s">
        <v>81</v>
      </c>
      <c r="B1159" s="2">
        <v>997.68114682519808</v>
      </c>
      <c r="C1159" s="2">
        <v>1234.0941046597436</v>
      </c>
      <c r="D1159" s="2">
        <v>468.77104127779603</v>
      </c>
      <c r="E1159" s="2">
        <v>243.69382035918534</v>
      </c>
      <c r="F1159" s="2">
        <v>9.3508322243578732</v>
      </c>
      <c r="G1159" s="2">
        <v>0.82564191492740069</v>
      </c>
      <c r="H1159" s="2">
        <v>10985</v>
      </c>
      <c r="I1159" s="2">
        <v>1195</v>
      </c>
      <c r="J1159" s="2">
        <f>(IF(A1159='Hybrid Calculator'!$B$6,0,1))^2+((B1159-'Hybrid Calculator'!$B$7)/1500)^2+((C1159-'Hybrid Calculator'!$B$8)/1300)^2+((D1159-'Hybrid Calculator'!$B$9)/800)^2+((E1159-'Hybrid Calculator'!$B$10)/350)^2+((F1159-'Hybrid Calculator'!$B$11)/30)^2+(G1159-'Hybrid Calculator'!$B$12)^2+((H1159-'Hybrid Calculator'!$E$14)/IF(A1159="Lightning",100,30000))^2+((I1159-'Hybrid Calculator'!$E$17)/IF(A1159="Lightning",100,30000))^2</f>
        <v>1.4690574901196007</v>
      </c>
      <c r="K1159" s="2">
        <f t="shared" si="72"/>
        <v>1156</v>
      </c>
      <c r="L1159" s="2">
        <f t="shared" si="73"/>
        <v>0</v>
      </c>
      <c r="M1159" s="2">
        <f t="shared" si="74"/>
        <v>0</v>
      </c>
      <c r="N1159" s="2">
        <v>4.9528605903498431</v>
      </c>
      <c r="O1159" s="2">
        <f t="shared" si="75"/>
        <v>0</v>
      </c>
      <c r="P1159" s="2">
        <v>-8.5174022312280613</v>
      </c>
      <c r="Q1159" s="2">
        <v>-5.9793647259972431</v>
      </c>
    </row>
    <row r="1160" spans="1:17" ht="15">
      <c r="A1160" s="2" t="s">
        <v>81</v>
      </c>
      <c r="B1160" s="2">
        <v>964.06497859861702</v>
      </c>
      <c r="C1160" s="2">
        <v>1223.6189219751395</v>
      </c>
      <c r="D1160" s="2">
        <v>497.41221629083157</v>
      </c>
      <c r="E1160" s="2">
        <v>213.5929284687154</v>
      </c>
      <c r="F1160" s="2">
        <v>14.888321590609848</v>
      </c>
      <c r="G1160" s="2">
        <v>0.80491988037480044</v>
      </c>
      <c r="H1160" s="2">
        <v>12895</v>
      </c>
      <c r="I1160" s="2">
        <v>1200</v>
      </c>
      <c r="J1160" s="2">
        <f>(IF(A1160='Hybrid Calculator'!$B$6,0,1))^2+((B1160-'Hybrid Calculator'!$B$7)/1500)^2+((C1160-'Hybrid Calculator'!$B$8)/1300)^2+((D1160-'Hybrid Calculator'!$B$9)/800)^2+((E1160-'Hybrid Calculator'!$B$10)/350)^2+((F1160-'Hybrid Calculator'!$B$11)/30)^2+(G1160-'Hybrid Calculator'!$B$12)^2+((H1160-'Hybrid Calculator'!$E$14)/IF(A1160="Lightning",100,30000))^2+((I1160-'Hybrid Calculator'!$E$17)/IF(A1160="Lightning",100,30000))^2</f>
        <v>1.409630349930352</v>
      </c>
      <c r="K1160" s="2">
        <f t="shared" si="72"/>
        <v>1007</v>
      </c>
      <c r="L1160" s="2">
        <f t="shared" si="73"/>
        <v>0</v>
      </c>
      <c r="M1160" s="2">
        <f t="shared" si="74"/>
        <v>0</v>
      </c>
      <c r="N1160" s="2">
        <v>-0.35557477840796992</v>
      </c>
      <c r="O1160" s="2">
        <f t="shared" si="75"/>
        <v>0</v>
      </c>
      <c r="P1160" s="2">
        <v>32.298520669719437</v>
      </c>
      <c r="Q1160" s="2">
        <v>-6.5653477527577024</v>
      </c>
    </row>
    <row r="1161" spans="1:17" ht="15">
      <c r="A1161" s="2" t="s">
        <v>81</v>
      </c>
      <c r="B1161" s="2">
        <v>985.93199042370543</v>
      </c>
      <c r="C1161" s="2">
        <v>954.33759489096701</v>
      </c>
      <c r="D1161" s="2">
        <v>619.89542720839381</v>
      </c>
      <c r="E1161" s="2">
        <v>192.75077553000301</v>
      </c>
      <c r="F1161" s="2">
        <v>11.841734289657325</v>
      </c>
      <c r="G1161" s="2">
        <v>0.84078814128413804</v>
      </c>
      <c r="H1161" s="2">
        <v>14120</v>
      </c>
      <c r="I1161" s="2">
        <v>1200</v>
      </c>
      <c r="J1161" s="2">
        <f>(IF(A1161='Hybrid Calculator'!$B$6,0,1))^2+((B1161-'Hybrid Calculator'!$B$7)/1500)^2+((C1161-'Hybrid Calculator'!$B$8)/1300)^2+((D1161-'Hybrid Calculator'!$B$9)/800)^2+((E1161-'Hybrid Calculator'!$B$10)/350)^2+((F1161-'Hybrid Calculator'!$B$11)/30)^2+(G1161-'Hybrid Calculator'!$B$12)^2+((H1161-'Hybrid Calculator'!$E$14)/IF(A1161="Lightning",100,30000))^2+((I1161-'Hybrid Calculator'!$E$17)/IF(A1161="Lightning",100,30000))^2</f>
        <v>1.4006876678448328</v>
      </c>
      <c r="K1161" s="2">
        <f t="shared" si="72"/>
        <v>976</v>
      </c>
      <c r="L1161" s="2">
        <f t="shared" si="73"/>
        <v>0</v>
      </c>
      <c r="M1161" s="2">
        <f t="shared" si="74"/>
        <v>0</v>
      </c>
      <c r="N1161" s="2">
        <v>4.1892413517960563</v>
      </c>
      <c r="O1161" s="2">
        <f t="shared" si="75"/>
        <v>0</v>
      </c>
      <c r="P1161" s="2">
        <v>-4.2553297115282476</v>
      </c>
      <c r="Q1161" s="2">
        <v>-0.4740950799168786</v>
      </c>
    </row>
    <row r="1162" spans="1:17" ht="15">
      <c r="A1162" s="2" t="s">
        <v>81</v>
      </c>
      <c r="B1162" s="2">
        <v>1088.2303935009986</v>
      </c>
      <c r="C1162" s="2">
        <v>1168.3272644761018</v>
      </c>
      <c r="D1162" s="2">
        <v>376.67462509125471</v>
      </c>
      <c r="E1162" s="2">
        <v>251.72325617866591</v>
      </c>
      <c r="F1162" s="2">
        <v>26.656685262918472</v>
      </c>
      <c r="G1162" s="2">
        <v>0.80982512882212176</v>
      </c>
      <c r="H1162" s="2">
        <v>11905</v>
      </c>
      <c r="I1162" s="2">
        <v>1195</v>
      </c>
      <c r="J1162" s="2">
        <f>(IF(A1162='Hybrid Calculator'!$B$6,0,1))^2+((B1162-'Hybrid Calculator'!$B$7)/1500)^2+((C1162-'Hybrid Calculator'!$B$8)/1300)^2+((D1162-'Hybrid Calculator'!$B$9)/800)^2+((E1162-'Hybrid Calculator'!$B$10)/350)^2+((F1162-'Hybrid Calculator'!$B$11)/30)^2+(G1162-'Hybrid Calculator'!$B$12)^2+((H1162-'Hybrid Calculator'!$E$14)/IF(A1162="Lightning",100,30000))^2+((I1162-'Hybrid Calculator'!$E$17)/IF(A1162="Lightning",100,30000))^2</f>
        <v>1.4503058242902274</v>
      </c>
      <c r="K1162" s="2">
        <f t="shared" si="72"/>
        <v>1110</v>
      </c>
      <c r="L1162" s="2">
        <f t="shared" si="73"/>
        <v>0</v>
      </c>
      <c r="M1162" s="2">
        <f t="shared" si="74"/>
        <v>0</v>
      </c>
      <c r="N1162" s="2">
        <v>-5.5639972089039702E-2</v>
      </c>
      <c r="O1162" s="2">
        <f t="shared" si="75"/>
        <v>0</v>
      </c>
      <c r="P1162" s="2">
        <v>67.244245064367988</v>
      </c>
      <c r="Q1162" s="2">
        <v>-13.089059056999758</v>
      </c>
    </row>
    <row r="1163" spans="1:17" ht="15">
      <c r="A1163" s="2" t="s">
        <v>81</v>
      </c>
      <c r="B1163" s="2">
        <v>978.37641026126221</v>
      </c>
      <c r="C1163" s="2">
        <v>945.36806808318943</v>
      </c>
      <c r="D1163" s="2">
        <v>526.59714045003057</v>
      </c>
      <c r="E1163" s="2">
        <v>111.02173516526818</v>
      </c>
      <c r="F1163" s="2">
        <v>9.1213805885054171</v>
      </c>
      <c r="G1163" s="2">
        <v>0.80023774621542543</v>
      </c>
      <c r="H1163" s="2">
        <v>13510</v>
      </c>
      <c r="I1163" s="2">
        <v>1200</v>
      </c>
      <c r="J1163" s="2">
        <f>(IF(A1163='Hybrid Calculator'!$B$6,0,1))^2+((B1163-'Hybrid Calculator'!$B$7)/1500)^2+((C1163-'Hybrid Calculator'!$B$8)/1300)^2+((D1163-'Hybrid Calculator'!$B$9)/800)^2+((E1163-'Hybrid Calculator'!$B$10)/350)^2+((F1163-'Hybrid Calculator'!$B$11)/30)^2+(G1163-'Hybrid Calculator'!$B$12)^2+((H1163-'Hybrid Calculator'!$E$14)/IF(A1163="Lightning",100,30000))^2+((I1163-'Hybrid Calculator'!$E$17)/IF(A1163="Lightning",100,30000))^2</f>
        <v>1.4085020367691508</v>
      </c>
      <c r="K1163" s="2">
        <f t="shared" si="72"/>
        <v>999</v>
      </c>
      <c r="L1163" s="2">
        <f t="shared" si="73"/>
        <v>0</v>
      </c>
      <c r="M1163" s="2">
        <f t="shared" si="74"/>
        <v>0</v>
      </c>
      <c r="N1163" s="2">
        <v>3.638086214623911</v>
      </c>
      <c r="O1163" s="2">
        <f t="shared" si="75"/>
        <v>0</v>
      </c>
      <c r="P1163" s="2">
        <v>40.344053858307234</v>
      </c>
      <c r="Q1163" s="2">
        <v>6.7993407101870389</v>
      </c>
    </row>
    <row r="1164" spans="1:17" ht="15">
      <c r="A1164" s="2" t="s">
        <v>81</v>
      </c>
      <c r="B1164" s="2">
        <v>951.8507796805352</v>
      </c>
      <c r="C1164" s="2">
        <v>619.31773469550535</v>
      </c>
      <c r="D1164" s="2">
        <v>445.86967285722494</v>
      </c>
      <c r="E1164" s="2">
        <v>306.0249134269543</v>
      </c>
      <c r="F1164" s="2">
        <v>23.667431499809027</v>
      </c>
      <c r="G1164" s="2">
        <v>0.83648863870883361</v>
      </c>
      <c r="H1164" s="2">
        <v>18195</v>
      </c>
      <c r="I1164" s="2">
        <v>1200</v>
      </c>
      <c r="J1164" s="2">
        <f>(IF(A1164='Hybrid Calculator'!$B$6,0,1))^2+((B1164-'Hybrid Calculator'!$B$7)/1500)^2+((C1164-'Hybrid Calculator'!$B$8)/1300)^2+((D1164-'Hybrid Calculator'!$B$9)/800)^2+((E1164-'Hybrid Calculator'!$B$10)/350)^2+((F1164-'Hybrid Calculator'!$B$11)/30)^2+(G1164-'Hybrid Calculator'!$B$12)^2+((H1164-'Hybrid Calculator'!$E$14)/IF(A1164="Lightning",100,30000))^2+((I1164-'Hybrid Calculator'!$E$17)/IF(A1164="Lightning",100,30000))^2</f>
        <v>1.7315871075587048</v>
      </c>
      <c r="K1164" s="2">
        <f t="shared" si="72"/>
        <v>1394</v>
      </c>
      <c r="L1164" s="2">
        <f t="shared" si="73"/>
        <v>0</v>
      </c>
      <c r="M1164" s="2">
        <f t="shared" si="74"/>
        <v>0</v>
      </c>
      <c r="N1164" s="2">
        <v>-3.7468700318733852</v>
      </c>
      <c r="O1164" s="2">
        <f t="shared" si="75"/>
        <v>0</v>
      </c>
      <c r="P1164" s="2">
        <v>-50.942382456991254</v>
      </c>
      <c r="Q1164" s="2">
        <v>-2.0201779345578643</v>
      </c>
    </row>
    <row r="1165" spans="1:17" ht="15">
      <c r="A1165" s="2" t="s">
        <v>81</v>
      </c>
      <c r="B1165" s="2">
        <v>1054.6049002674408</v>
      </c>
      <c r="C1165" s="2">
        <v>847.12071742396802</v>
      </c>
      <c r="D1165" s="2">
        <v>698.07034628465772</v>
      </c>
      <c r="E1165" s="2">
        <v>259.73541188985109</v>
      </c>
      <c r="F1165" s="2">
        <v>20.803379388991743</v>
      </c>
      <c r="G1165" s="2">
        <v>0.8481348628131673</v>
      </c>
      <c r="H1165" s="2">
        <v>11850</v>
      </c>
      <c r="I1165" s="2">
        <v>1195</v>
      </c>
      <c r="J1165" s="2">
        <f>(IF(A1165='Hybrid Calculator'!$B$6,0,1))^2+((B1165-'Hybrid Calculator'!$B$7)/1500)^2+((C1165-'Hybrid Calculator'!$B$8)/1300)^2+((D1165-'Hybrid Calculator'!$B$9)/800)^2+((E1165-'Hybrid Calculator'!$B$10)/350)^2+((F1165-'Hybrid Calculator'!$B$11)/30)^2+(G1165-'Hybrid Calculator'!$B$12)^2+((H1165-'Hybrid Calculator'!$E$14)/IF(A1165="Lightning",100,30000))^2+((I1165-'Hybrid Calculator'!$E$17)/IF(A1165="Lightning",100,30000))^2</f>
        <v>1.3834987952740239</v>
      </c>
      <c r="K1165" s="2">
        <f t="shared" si="72"/>
        <v>925</v>
      </c>
      <c r="L1165" s="2">
        <f t="shared" si="73"/>
        <v>0</v>
      </c>
      <c r="M1165" s="2">
        <f t="shared" si="74"/>
        <v>0</v>
      </c>
      <c r="N1165" s="2">
        <v>3.5203338976572525</v>
      </c>
      <c r="O1165" s="2">
        <f t="shared" si="75"/>
        <v>0</v>
      </c>
      <c r="P1165" s="2">
        <v>21.000091305948445</v>
      </c>
      <c r="Q1165" s="2">
        <v>1.1779736766584392E-2</v>
      </c>
    </row>
    <row r="1166" spans="1:17" ht="15">
      <c r="A1166" s="2" t="s">
        <v>81</v>
      </c>
      <c r="B1166" s="2">
        <v>1003.9210498565808</v>
      </c>
      <c r="C1166" s="2">
        <v>690.66512464778498</v>
      </c>
      <c r="D1166" s="2">
        <v>423.87602254748344</v>
      </c>
      <c r="E1166" s="2">
        <v>193.0362743861042</v>
      </c>
      <c r="F1166" s="2">
        <v>9.2002780502662063</v>
      </c>
      <c r="G1166" s="2">
        <v>0.82822991059860218</v>
      </c>
      <c r="H1166" s="2">
        <v>16355</v>
      </c>
      <c r="I1166" s="2">
        <v>1200</v>
      </c>
      <c r="J1166" s="2">
        <f>(IF(A1166='Hybrid Calculator'!$B$6,0,1))^2+((B1166-'Hybrid Calculator'!$B$7)/1500)^2+((C1166-'Hybrid Calculator'!$B$8)/1300)^2+((D1166-'Hybrid Calculator'!$B$9)/800)^2+((E1166-'Hybrid Calculator'!$B$10)/350)^2+((F1166-'Hybrid Calculator'!$B$11)/30)^2+(G1166-'Hybrid Calculator'!$B$12)^2+((H1166-'Hybrid Calculator'!$E$14)/IF(A1166="Lightning",100,30000))^2+((I1166-'Hybrid Calculator'!$E$17)/IF(A1166="Lightning",100,30000))^2</f>
        <v>1.5110876614215851</v>
      </c>
      <c r="K1166" s="2">
        <f t="shared" si="72"/>
        <v>1230</v>
      </c>
      <c r="L1166" s="2">
        <f t="shared" si="73"/>
        <v>0</v>
      </c>
      <c r="M1166" s="2">
        <f t="shared" si="74"/>
        <v>0</v>
      </c>
      <c r="N1166" s="2">
        <v>0.29474031280676627</v>
      </c>
      <c r="O1166" s="2">
        <f t="shared" si="75"/>
        <v>0</v>
      </c>
      <c r="P1166" s="2">
        <v>-23.60358260687326</v>
      </c>
      <c r="Q1166" s="2">
        <v>17.760573536823131</v>
      </c>
    </row>
    <row r="1167" spans="1:17" ht="15">
      <c r="A1167" s="2" t="s">
        <v>81</v>
      </c>
      <c r="B1167" s="2">
        <v>1078.5320104914717</v>
      </c>
      <c r="C1167" s="2">
        <v>947.41855598986149</v>
      </c>
      <c r="D1167" s="2">
        <v>488.67889633402228</v>
      </c>
      <c r="E1167" s="2">
        <v>195.21723598707467</v>
      </c>
      <c r="F1167" s="2">
        <v>10.529857323970646</v>
      </c>
      <c r="G1167" s="2">
        <v>0.84713170158676809</v>
      </c>
      <c r="H1167" s="2">
        <v>13110</v>
      </c>
      <c r="I1167" s="2">
        <v>1200</v>
      </c>
      <c r="J1167" s="2">
        <f>(IF(A1167='Hybrid Calculator'!$B$6,0,1))^2+((B1167-'Hybrid Calculator'!$B$7)/1500)^2+((C1167-'Hybrid Calculator'!$B$8)/1300)^2+((D1167-'Hybrid Calculator'!$B$9)/800)^2+((E1167-'Hybrid Calculator'!$B$10)/350)^2+((F1167-'Hybrid Calculator'!$B$11)/30)^2+(G1167-'Hybrid Calculator'!$B$12)^2+((H1167-'Hybrid Calculator'!$E$14)/IF(A1167="Lightning",100,30000))^2+((I1167-'Hybrid Calculator'!$E$17)/IF(A1167="Lightning",100,30000))^2</f>
        <v>1.3382241816096614</v>
      </c>
      <c r="K1167" s="2">
        <f t="shared" si="72"/>
        <v>796</v>
      </c>
      <c r="L1167" s="2">
        <f t="shared" si="73"/>
        <v>0</v>
      </c>
      <c r="M1167" s="2">
        <f t="shared" si="74"/>
        <v>0</v>
      </c>
      <c r="N1167" s="2">
        <v>3.9680942901051992</v>
      </c>
      <c r="O1167" s="2">
        <f t="shared" si="75"/>
        <v>0</v>
      </c>
      <c r="P1167" s="2">
        <v>-23.336049687929517</v>
      </c>
      <c r="Q1167" s="2">
        <v>10.984131344599064</v>
      </c>
    </row>
    <row r="1168" spans="1:17" ht="15">
      <c r="A1168" s="2" t="s">
        <v>81</v>
      </c>
      <c r="B1168" s="2">
        <v>1013.1912286393344</v>
      </c>
      <c r="C1168" s="2">
        <v>1099.4646977051161</v>
      </c>
      <c r="D1168" s="2">
        <v>460.39494816213846</v>
      </c>
      <c r="E1168" s="2">
        <v>108.44798291334882</v>
      </c>
      <c r="F1168" s="2">
        <v>24.524273494258523</v>
      </c>
      <c r="G1168" s="2">
        <v>0.82669121931539857</v>
      </c>
      <c r="H1168" s="2">
        <v>12820</v>
      </c>
      <c r="I1168" s="2">
        <v>1200</v>
      </c>
      <c r="J1168" s="2">
        <f>(IF(A1168='Hybrid Calculator'!$B$6,0,1))^2+((B1168-'Hybrid Calculator'!$B$7)/1500)^2+((C1168-'Hybrid Calculator'!$B$8)/1300)^2+((D1168-'Hybrid Calculator'!$B$9)/800)^2+((E1168-'Hybrid Calculator'!$B$10)/350)^2+((F1168-'Hybrid Calculator'!$B$11)/30)^2+(G1168-'Hybrid Calculator'!$B$12)^2+((H1168-'Hybrid Calculator'!$E$14)/IF(A1168="Lightning",100,30000))^2+((I1168-'Hybrid Calculator'!$E$17)/IF(A1168="Lightning",100,30000))^2</f>
        <v>1.3518363442299839</v>
      </c>
      <c r="K1168" s="2">
        <f t="shared" si="72"/>
        <v>835</v>
      </c>
      <c r="L1168" s="2">
        <f t="shared" si="73"/>
        <v>0</v>
      </c>
      <c r="M1168" s="2">
        <f t="shared" si="74"/>
        <v>0</v>
      </c>
      <c r="N1168" s="2">
        <v>-3.1305908140674887</v>
      </c>
      <c r="O1168" s="2">
        <f t="shared" si="75"/>
        <v>0</v>
      </c>
      <c r="P1168" s="2">
        <v>7.0764979826194576</v>
      </c>
      <c r="Q1168" s="2">
        <v>-12.525273253604496</v>
      </c>
    </row>
    <row r="1169" spans="1:17" ht="15">
      <c r="A1169" s="2" t="s">
        <v>81</v>
      </c>
      <c r="B1169" s="2">
        <v>1015.0973429554142</v>
      </c>
      <c r="C1169" s="2">
        <v>990.83657928276807</v>
      </c>
      <c r="D1169" s="2">
        <v>571.89220422878861</v>
      </c>
      <c r="E1169" s="2">
        <v>89.794445941224694</v>
      </c>
      <c r="F1169" s="2">
        <v>22.00496330158785</v>
      </c>
      <c r="G1169" s="2">
        <v>0.85596886201296007</v>
      </c>
      <c r="H1169" s="2">
        <v>15100</v>
      </c>
      <c r="I1169" s="2">
        <v>1200</v>
      </c>
      <c r="J1169" s="2">
        <f>(IF(A1169='Hybrid Calculator'!$B$6,0,1))^2+((B1169-'Hybrid Calculator'!$B$7)/1500)^2+((C1169-'Hybrid Calculator'!$B$8)/1300)^2+((D1169-'Hybrid Calculator'!$B$9)/800)^2+((E1169-'Hybrid Calculator'!$B$10)/350)^2+((F1169-'Hybrid Calculator'!$B$11)/30)^2+(G1169-'Hybrid Calculator'!$B$12)^2+((H1169-'Hybrid Calculator'!$E$14)/IF(A1169="Lightning",100,30000))^2+((I1169-'Hybrid Calculator'!$E$17)/IF(A1169="Lightning",100,30000))^2</f>
        <v>1.3922244877340437</v>
      </c>
      <c r="K1169" s="2">
        <f t="shared" si="72"/>
        <v>955</v>
      </c>
      <c r="L1169" s="2">
        <f t="shared" si="73"/>
        <v>0</v>
      </c>
      <c r="M1169" s="2">
        <f t="shared" si="74"/>
        <v>0</v>
      </c>
      <c r="N1169" s="2">
        <v>-2.9055213046512449</v>
      </c>
      <c r="O1169" s="2">
        <f t="shared" si="75"/>
        <v>0</v>
      </c>
      <c r="P1169" s="2">
        <v>20.264671003380499</v>
      </c>
      <c r="Q1169" s="2">
        <v>-8.0897617383169518</v>
      </c>
    </row>
    <row r="1170" spans="1:17" ht="15">
      <c r="A1170" s="2" t="s">
        <v>81</v>
      </c>
      <c r="B1170" s="2">
        <v>1011.0648739850149</v>
      </c>
      <c r="C1170" s="2">
        <v>1227.3804453783669</v>
      </c>
      <c r="D1170" s="2">
        <v>712.63852827250957</v>
      </c>
      <c r="E1170" s="2">
        <v>199.18749258620664</v>
      </c>
      <c r="F1170" s="2">
        <v>18.570036296732724</v>
      </c>
      <c r="G1170" s="2">
        <v>0.83091918230755257</v>
      </c>
      <c r="H1170" s="2">
        <v>9995</v>
      </c>
      <c r="I1170" s="2">
        <v>1195</v>
      </c>
      <c r="J1170" s="2">
        <f>(IF(A1170='Hybrid Calculator'!$B$6,0,1))^2+((B1170-'Hybrid Calculator'!$B$7)/1500)^2+((C1170-'Hybrid Calculator'!$B$8)/1300)^2+((D1170-'Hybrid Calculator'!$B$9)/800)^2+((E1170-'Hybrid Calculator'!$B$10)/350)^2+((F1170-'Hybrid Calculator'!$B$11)/30)^2+(G1170-'Hybrid Calculator'!$B$12)^2+((H1170-'Hybrid Calculator'!$E$14)/IF(A1170="Lightning",100,30000))^2+((I1170-'Hybrid Calculator'!$E$17)/IF(A1170="Lightning",100,30000))^2</f>
        <v>1.3623588227678869</v>
      </c>
      <c r="K1170" s="2">
        <f t="shared" si="72"/>
        <v>861</v>
      </c>
      <c r="L1170" s="2">
        <f t="shared" si="73"/>
        <v>0</v>
      </c>
      <c r="M1170" s="2">
        <f t="shared" si="74"/>
        <v>0</v>
      </c>
      <c r="N1170" s="2">
        <v>2.8250013260014271</v>
      </c>
      <c r="O1170" s="2">
        <f t="shared" si="75"/>
        <v>0</v>
      </c>
      <c r="P1170" s="2">
        <v>37.910119787507938</v>
      </c>
      <c r="Q1170" s="2">
        <v>-10.226309654271745</v>
      </c>
    </row>
    <row r="1171" spans="1:17" ht="15">
      <c r="A1171" s="2" t="s">
        <v>81</v>
      </c>
      <c r="B1171" s="2">
        <v>1081.117965222802</v>
      </c>
      <c r="C1171" s="2">
        <v>888.04828193970025</v>
      </c>
      <c r="D1171" s="2">
        <v>546.88606886193156</v>
      </c>
      <c r="E1171" s="2">
        <v>253.87474735733122</v>
      </c>
      <c r="F1171" s="2">
        <v>23.211852035950869</v>
      </c>
      <c r="G1171" s="2">
        <v>0.81928429802879699</v>
      </c>
      <c r="H1171" s="2">
        <v>12665</v>
      </c>
      <c r="I1171" s="2">
        <v>1200</v>
      </c>
      <c r="J1171" s="2">
        <f>(IF(A1171='Hybrid Calculator'!$B$6,0,1))^2+((B1171-'Hybrid Calculator'!$B$7)/1500)^2+((C1171-'Hybrid Calculator'!$B$8)/1300)^2+((D1171-'Hybrid Calculator'!$B$9)/800)^2+((E1171-'Hybrid Calculator'!$B$10)/350)^2+((F1171-'Hybrid Calculator'!$B$11)/30)^2+(G1171-'Hybrid Calculator'!$B$12)^2+((H1171-'Hybrid Calculator'!$E$14)/IF(A1171="Lightning",100,30000))^2+((I1171-'Hybrid Calculator'!$E$17)/IF(A1171="Lightning",100,30000))^2</f>
        <v>1.3479536826771932</v>
      </c>
      <c r="K1171" s="2">
        <f t="shared" si="72"/>
        <v>827</v>
      </c>
      <c r="L1171" s="2">
        <f t="shared" si="73"/>
        <v>0</v>
      </c>
      <c r="M1171" s="2">
        <f t="shared" si="74"/>
        <v>0</v>
      </c>
      <c r="N1171" s="2">
        <v>-0.71451060392323029</v>
      </c>
      <c r="O1171" s="2">
        <f t="shared" si="75"/>
        <v>0</v>
      </c>
      <c r="P1171" s="2">
        <v>-15.82992431645971</v>
      </c>
      <c r="Q1171" s="2">
        <v>-1.3297394618841736</v>
      </c>
    </row>
    <row r="1172" spans="1:17" ht="15">
      <c r="A1172" s="2" t="s">
        <v>81</v>
      </c>
      <c r="B1172" s="2">
        <v>985.54800995625556</v>
      </c>
      <c r="C1172" s="2">
        <v>975.6247395533137</v>
      </c>
      <c r="D1172" s="2">
        <v>733.41486882418394</v>
      </c>
      <c r="E1172" s="2">
        <v>160.59797744499519</v>
      </c>
      <c r="F1172" s="2">
        <v>21.853278897702694</v>
      </c>
      <c r="G1172" s="2">
        <v>0.82261584447929637</v>
      </c>
      <c r="H1172" s="2">
        <v>13345</v>
      </c>
      <c r="I1172" s="2">
        <v>1200</v>
      </c>
      <c r="J1172" s="2">
        <f>(IF(A1172='Hybrid Calculator'!$B$6,0,1))^2+((B1172-'Hybrid Calculator'!$B$7)/1500)^2+((C1172-'Hybrid Calculator'!$B$8)/1300)^2+((D1172-'Hybrid Calculator'!$B$9)/800)^2+((E1172-'Hybrid Calculator'!$B$10)/350)^2+((F1172-'Hybrid Calculator'!$B$11)/30)^2+(G1172-'Hybrid Calculator'!$B$12)^2+((H1172-'Hybrid Calculator'!$E$14)/IF(A1172="Lightning",100,30000))^2+((I1172-'Hybrid Calculator'!$E$17)/IF(A1172="Lightning",100,30000))^2</f>
        <v>1.3916456684231273</v>
      </c>
      <c r="K1172" s="2">
        <f t="shared" si="72"/>
        <v>952</v>
      </c>
      <c r="L1172" s="2">
        <f t="shared" si="73"/>
        <v>0</v>
      </c>
      <c r="M1172" s="2">
        <f t="shared" si="74"/>
        <v>0</v>
      </c>
      <c r="N1172" s="2">
        <v>-1.8911220524307168</v>
      </c>
      <c r="O1172" s="2">
        <f t="shared" si="75"/>
        <v>0</v>
      </c>
      <c r="P1172" s="2">
        <v>-21.79765279638832</v>
      </c>
      <c r="Q1172" s="2">
        <v>-9.6106559474583264</v>
      </c>
    </row>
    <row r="1173" spans="1:17" ht="15">
      <c r="A1173" s="2" t="s">
        <v>81</v>
      </c>
      <c r="B1173" s="2">
        <v>1008.565437712241</v>
      </c>
      <c r="C1173" s="2">
        <v>689.34537654276937</v>
      </c>
      <c r="D1173" s="2">
        <v>575.436329562217</v>
      </c>
      <c r="E1173" s="2">
        <v>143.0573364906013</v>
      </c>
      <c r="F1173" s="2">
        <v>14.339432998094708</v>
      </c>
      <c r="G1173" s="2">
        <v>0.80242388316895819</v>
      </c>
      <c r="H1173" s="2">
        <v>15190</v>
      </c>
      <c r="I1173" s="2">
        <v>1200</v>
      </c>
      <c r="J1173" s="2">
        <f>(IF(A1173='Hybrid Calculator'!$B$6,0,1))^2+((B1173-'Hybrid Calculator'!$B$7)/1500)^2+((C1173-'Hybrid Calculator'!$B$8)/1300)^2+((D1173-'Hybrid Calculator'!$B$9)/800)^2+((E1173-'Hybrid Calculator'!$B$10)/350)^2+((F1173-'Hybrid Calculator'!$B$11)/30)^2+(G1173-'Hybrid Calculator'!$B$12)^2+((H1173-'Hybrid Calculator'!$E$14)/IF(A1173="Lightning",100,30000))^2+((I1173-'Hybrid Calculator'!$E$17)/IF(A1173="Lightning",100,30000))^2</f>
        <v>1.3773968654539508</v>
      </c>
      <c r="K1173" s="2">
        <f t="shared" si="72"/>
        <v>910</v>
      </c>
      <c r="L1173" s="2">
        <f t="shared" si="73"/>
        <v>0</v>
      </c>
      <c r="M1173" s="2">
        <f t="shared" si="74"/>
        <v>0</v>
      </c>
      <c r="N1173" s="2">
        <v>2.2057205885237465</v>
      </c>
      <c r="O1173" s="2">
        <f t="shared" si="75"/>
        <v>0</v>
      </c>
      <c r="P1173" s="2">
        <v>-27.568020091675862</v>
      </c>
      <c r="Q1173" s="2">
        <v>11.974047861895883</v>
      </c>
    </row>
    <row r="1174" spans="1:17" ht="15">
      <c r="A1174" s="2" t="s">
        <v>81</v>
      </c>
      <c r="B1174" s="2">
        <v>1024.6118395822123</v>
      </c>
      <c r="C1174" s="2">
        <v>849.99337048502639</v>
      </c>
      <c r="D1174" s="2">
        <v>422.89278209209442</v>
      </c>
      <c r="E1174" s="2">
        <v>300.33689537784085</v>
      </c>
      <c r="F1174" s="2">
        <v>15.02202984970063</v>
      </c>
      <c r="G1174" s="2">
        <v>0.83272885381942618</v>
      </c>
      <c r="H1174" s="2">
        <v>13595</v>
      </c>
      <c r="I1174" s="2">
        <v>1200</v>
      </c>
      <c r="J1174" s="2">
        <f>(IF(A1174='Hybrid Calculator'!$B$6,0,1))^2+((B1174-'Hybrid Calculator'!$B$7)/1500)^2+((C1174-'Hybrid Calculator'!$B$8)/1300)^2+((D1174-'Hybrid Calculator'!$B$9)/800)^2+((E1174-'Hybrid Calculator'!$B$10)/350)^2+((F1174-'Hybrid Calculator'!$B$11)/30)^2+(G1174-'Hybrid Calculator'!$B$12)^2+((H1174-'Hybrid Calculator'!$E$14)/IF(A1174="Lightning",100,30000))^2+((I1174-'Hybrid Calculator'!$E$17)/IF(A1174="Lightning",100,30000))^2</f>
        <v>1.4840271248470653</v>
      </c>
      <c r="K1174" s="2">
        <f t="shared" si="72"/>
        <v>1184</v>
      </c>
      <c r="L1174" s="2">
        <f t="shared" si="73"/>
        <v>0</v>
      </c>
      <c r="M1174" s="2">
        <f t="shared" si="74"/>
        <v>0</v>
      </c>
      <c r="N1174" s="2">
        <v>1.3418748901850108</v>
      </c>
      <c r="O1174" s="2">
        <f t="shared" si="75"/>
        <v>0</v>
      </c>
      <c r="P1174" s="2">
        <v>35.559662017368282</v>
      </c>
      <c r="Q1174" s="2">
        <v>4.1338869130470357</v>
      </c>
    </row>
    <row r="1175" spans="1:17" ht="15">
      <c r="A1175" s="2" t="s">
        <v>81</v>
      </c>
      <c r="B1175" s="2">
        <v>1085.8903338084929</v>
      </c>
      <c r="C1175" s="2">
        <v>1004.2687025852501</v>
      </c>
      <c r="D1175" s="2">
        <v>605.76301282271743</v>
      </c>
      <c r="E1175" s="2">
        <v>94.591201790608466</v>
      </c>
      <c r="F1175" s="2">
        <v>28.167620507534593</v>
      </c>
      <c r="G1175" s="2">
        <v>0.85910527088679378</v>
      </c>
      <c r="H1175" s="2">
        <v>12545</v>
      </c>
      <c r="I1175" s="2">
        <v>1200</v>
      </c>
      <c r="J1175" s="2">
        <f>(IF(A1175='Hybrid Calculator'!$B$6,0,1))^2+((B1175-'Hybrid Calculator'!$B$7)/1500)^2+((C1175-'Hybrid Calculator'!$B$8)/1300)^2+((D1175-'Hybrid Calculator'!$B$9)/800)^2+((E1175-'Hybrid Calculator'!$B$10)/350)^2+((F1175-'Hybrid Calculator'!$B$11)/30)^2+(G1175-'Hybrid Calculator'!$B$12)^2+((H1175-'Hybrid Calculator'!$E$14)/IF(A1175="Lightning",100,30000))^2+((I1175-'Hybrid Calculator'!$E$17)/IF(A1175="Lightning",100,30000))^2</f>
        <v>1.3881145139202395</v>
      </c>
      <c r="K1175" s="2">
        <f t="shared" si="72"/>
        <v>942</v>
      </c>
      <c r="L1175" s="2">
        <f t="shared" si="73"/>
        <v>0</v>
      </c>
      <c r="M1175" s="2">
        <f t="shared" si="74"/>
        <v>0</v>
      </c>
      <c r="N1175" s="2">
        <v>-0.71763585897318194</v>
      </c>
      <c r="O1175" s="2">
        <f t="shared" si="75"/>
        <v>0</v>
      </c>
      <c r="P1175" s="2">
        <v>47.065716967773369</v>
      </c>
      <c r="Q1175" s="2">
        <v>-15.131723647988338</v>
      </c>
    </row>
    <row r="1176" spans="1:17" ht="15">
      <c r="A1176" s="2" t="s">
        <v>81</v>
      </c>
      <c r="B1176" s="2">
        <v>1080.5935131385922</v>
      </c>
      <c r="C1176" s="2">
        <v>1045.7579151145183</v>
      </c>
      <c r="D1176" s="2">
        <v>563.60010821372271</v>
      </c>
      <c r="E1176" s="2">
        <v>89.094772452954203</v>
      </c>
      <c r="F1176" s="2">
        <v>11.091813718900084</v>
      </c>
      <c r="G1176" s="2">
        <v>0.82953074225457391</v>
      </c>
      <c r="H1176" s="2">
        <v>12590</v>
      </c>
      <c r="I1176" s="2">
        <v>1200</v>
      </c>
      <c r="J1176" s="2">
        <f>(IF(A1176='Hybrid Calculator'!$B$6,0,1))^2+((B1176-'Hybrid Calculator'!$B$7)/1500)^2+((C1176-'Hybrid Calculator'!$B$8)/1300)^2+((D1176-'Hybrid Calculator'!$B$9)/800)^2+((E1176-'Hybrid Calculator'!$B$10)/350)^2+((F1176-'Hybrid Calculator'!$B$11)/30)^2+(G1176-'Hybrid Calculator'!$B$12)^2+((H1176-'Hybrid Calculator'!$E$14)/IF(A1176="Lightning",100,30000))^2+((I1176-'Hybrid Calculator'!$E$17)/IF(A1176="Lightning",100,30000))^2</f>
        <v>1.3493228592358846</v>
      </c>
      <c r="K1176" s="2">
        <f t="shared" si="72"/>
        <v>831</v>
      </c>
      <c r="L1176" s="2">
        <f t="shared" si="73"/>
        <v>0</v>
      </c>
      <c r="M1176" s="2">
        <f t="shared" si="74"/>
        <v>0</v>
      </c>
      <c r="N1176" s="2">
        <v>4.5685272673943871</v>
      </c>
      <c r="O1176" s="2">
        <f t="shared" si="75"/>
        <v>0</v>
      </c>
      <c r="P1176" s="2">
        <v>45.223471273365249</v>
      </c>
      <c r="Q1176" s="2">
        <v>2.9816016213621879</v>
      </c>
    </row>
    <row r="1177" spans="1:17" ht="15">
      <c r="A1177" s="2" t="s">
        <v>81</v>
      </c>
      <c r="B1177" s="2">
        <v>982.8756601200439</v>
      </c>
      <c r="C1177" s="2">
        <v>1222.1432186895981</v>
      </c>
      <c r="D1177" s="2">
        <v>500.48214504495263</v>
      </c>
      <c r="E1177" s="2">
        <v>196.81758682243526</v>
      </c>
      <c r="F1177" s="2">
        <v>17.039589439053088</v>
      </c>
      <c r="G1177" s="2">
        <v>0.83392352123279134</v>
      </c>
      <c r="H1177" s="2">
        <v>13000</v>
      </c>
      <c r="I1177" s="2">
        <v>1200</v>
      </c>
      <c r="J1177" s="2">
        <f>(IF(A1177='Hybrid Calculator'!$B$6,0,1))^2+((B1177-'Hybrid Calculator'!$B$7)/1500)^2+((C1177-'Hybrid Calculator'!$B$8)/1300)^2+((D1177-'Hybrid Calculator'!$B$9)/800)^2+((E1177-'Hybrid Calculator'!$B$10)/350)^2+((F1177-'Hybrid Calculator'!$B$11)/30)^2+(G1177-'Hybrid Calculator'!$B$12)^2+((H1177-'Hybrid Calculator'!$E$14)/IF(A1177="Lightning",100,30000))^2+((I1177-'Hybrid Calculator'!$E$17)/IF(A1177="Lightning",100,30000))^2</f>
        <v>1.3771514827280624</v>
      </c>
      <c r="K1177" s="2">
        <f t="shared" si="72"/>
        <v>909</v>
      </c>
      <c r="L1177" s="2">
        <f t="shared" si="73"/>
        <v>0</v>
      </c>
      <c r="M1177" s="2">
        <f t="shared" si="74"/>
        <v>0</v>
      </c>
      <c r="N1177" s="2">
        <v>2.1290576375143644</v>
      </c>
      <c r="O1177" s="2">
        <f t="shared" si="75"/>
        <v>0</v>
      </c>
      <c r="P1177" s="2">
        <v>23.15455848822694</v>
      </c>
      <c r="Q1177" s="2">
        <v>1.5738370810327069</v>
      </c>
    </row>
    <row r="1178" spans="1:17" ht="15">
      <c r="A1178" s="2" t="s">
        <v>81</v>
      </c>
      <c r="B1178" s="2">
        <v>1005.0926097668707</v>
      </c>
      <c r="C1178" s="2">
        <v>1083.9570512413047</v>
      </c>
      <c r="D1178" s="2">
        <v>420.25330159813166</v>
      </c>
      <c r="E1178" s="2">
        <v>124.54363702097908</v>
      </c>
      <c r="F1178" s="2">
        <v>12.965781779959798</v>
      </c>
      <c r="G1178" s="2">
        <v>0.81898885495262219</v>
      </c>
      <c r="H1178" s="2">
        <v>13130</v>
      </c>
      <c r="I1178" s="2">
        <v>1200</v>
      </c>
      <c r="J1178" s="2">
        <f>(IF(A1178='Hybrid Calculator'!$B$6,0,1))^2+((B1178-'Hybrid Calculator'!$B$7)/1500)^2+((C1178-'Hybrid Calculator'!$B$8)/1300)^2+((D1178-'Hybrid Calculator'!$B$9)/800)^2+((E1178-'Hybrid Calculator'!$B$10)/350)^2+((F1178-'Hybrid Calculator'!$B$11)/30)^2+(G1178-'Hybrid Calculator'!$B$12)^2+((H1178-'Hybrid Calculator'!$E$14)/IF(A1178="Lightning",100,30000))^2+((I1178-'Hybrid Calculator'!$E$17)/IF(A1178="Lightning",100,30000))^2</f>
        <v>1.3516420084788634</v>
      </c>
      <c r="K1178" s="2">
        <f t="shared" si="72"/>
        <v>834</v>
      </c>
      <c r="L1178" s="2">
        <f t="shared" si="73"/>
        <v>0</v>
      </c>
      <c r="M1178" s="2">
        <f t="shared" si="74"/>
        <v>0</v>
      </c>
      <c r="N1178" s="2">
        <v>-0.71359998892373255</v>
      </c>
      <c r="O1178" s="2">
        <f t="shared" si="75"/>
        <v>0</v>
      </c>
      <c r="P1178" s="2">
        <v>15.10119978024386</v>
      </c>
      <c r="Q1178" s="2">
        <v>7.2642776303453047</v>
      </c>
    </row>
    <row r="1179" spans="1:17" ht="15">
      <c r="A1179" s="2" t="s">
        <v>81</v>
      </c>
      <c r="B1179" s="2">
        <v>1037.0763342478313</v>
      </c>
      <c r="C1179" s="2">
        <v>1122.9209580691531</v>
      </c>
      <c r="D1179" s="2">
        <v>449.18414736166596</v>
      </c>
      <c r="E1179" s="2">
        <v>197.07147886045277</v>
      </c>
      <c r="F1179" s="2">
        <v>26.688312575686723</v>
      </c>
      <c r="G1179" s="2">
        <v>0.80490217382553964</v>
      </c>
      <c r="H1179" s="2">
        <v>12090</v>
      </c>
      <c r="I1179" s="2">
        <v>1200</v>
      </c>
      <c r="J1179" s="2">
        <f>(IF(A1179='Hybrid Calculator'!$B$6,0,1))^2+((B1179-'Hybrid Calculator'!$B$7)/1500)^2+((C1179-'Hybrid Calculator'!$B$8)/1300)^2+((D1179-'Hybrid Calculator'!$B$9)/800)^2+((E1179-'Hybrid Calculator'!$B$10)/350)^2+((F1179-'Hybrid Calculator'!$B$11)/30)^2+(G1179-'Hybrid Calculator'!$B$12)^2+((H1179-'Hybrid Calculator'!$E$14)/IF(A1179="Lightning",100,30000))^2+((I1179-'Hybrid Calculator'!$E$17)/IF(A1179="Lightning",100,30000))^2</f>
        <v>1.3704076067449296</v>
      </c>
      <c r="K1179" s="2">
        <f t="shared" si="72"/>
        <v>889</v>
      </c>
      <c r="L1179" s="2">
        <f t="shared" si="73"/>
        <v>0</v>
      </c>
      <c r="M1179" s="2">
        <f t="shared" si="74"/>
        <v>0</v>
      </c>
      <c r="N1179" s="2">
        <v>2.2311624144591633</v>
      </c>
      <c r="O1179" s="2">
        <f t="shared" si="75"/>
        <v>0</v>
      </c>
      <c r="P1179" s="2">
        <v>30.182553544254461</v>
      </c>
      <c r="Q1179" s="2">
        <v>-7.8305928623772161</v>
      </c>
    </row>
    <row r="1180" spans="1:17" ht="15">
      <c r="A1180" s="2" t="s">
        <v>81</v>
      </c>
      <c r="B1180" s="2">
        <v>965.65648184623569</v>
      </c>
      <c r="C1180" s="2">
        <v>993.70630603516474</v>
      </c>
      <c r="D1180" s="2">
        <v>499.22914765775204</v>
      </c>
      <c r="E1180" s="2">
        <v>168.39513052953407</v>
      </c>
      <c r="F1180" s="2">
        <v>26.802226600237191</v>
      </c>
      <c r="G1180" s="2">
        <v>0.85817126658512288</v>
      </c>
      <c r="H1180" s="2">
        <v>15020</v>
      </c>
      <c r="I1180" s="2">
        <v>1200</v>
      </c>
      <c r="J1180" s="2">
        <f>(IF(A1180='Hybrid Calculator'!$B$6,0,1))^2+((B1180-'Hybrid Calculator'!$B$7)/1500)^2+((C1180-'Hybrid Calculator'!$B$8)/1300)^2+((D1180-'Hybrid Calculator'!$B$9)/800)^2+((E1180-'Hybrid Calculator'!$B$10)/350)^2+((F1180-'Hybrid Calculator'!$B$11)/30)^2+(G1180-'Hybrid Calculator'!$B$12)^2+((H1180-'Hybrid Calculator'!$E$14)/IF(A1180="Lightning",100,30000))^2+((I1180-'Hybrid Calculator'!$E$17)/IF(A1180="Lightning",100,30000))^2</f>
        <v>1.4373368444083956</v>
      </c>
      <c r="K1180" s="2">
        <f t="shared" si="72"/>
        <v>1077</v>
      </c>
      <c r="L1180" s="2">
        <f t="shared" si="73"/>
        <v>0</v>
      </c>
      <c r="M1180" s="2">
        <f t="shared" si="74"/>
        <v>0</v>
      </c>
      <c r="N1180" s="2">
        <v>1.365926568178736</v>
      </c>
      <c r="O1180" s="2">
        <f t="shared" si="75"/>
        <v>0</v>
      </c>
      <c r="P1180" s="2">
        <v>-31.542608139030108</v>
      </c>
      <c r="Q1180" s="2">
        <v>-13.371277686237249</v>
      </c>
    </row>
    <row r="1181" spans="1:17" ht="15">
      <c r="A1181" s="2" t="s">
        <v>81</v>
      </c>
      <c r="B1181" s="2">
        <v>982.98379679908976</v>
      </c>
      <c r="C1181" s="2">
        <v>1205.7012035045773</v>
      </c>
      <c r="D1181" s="2">
        <v>564.8970085196197</v>
      </c>
      <c r="E1181" s="2">
        <v>290.95831820275635</v>
      </c>
      <c r="F1181" s="2">
        <v>25.918862387072295</v>
      </c>
      <c r="G1181" s="2">
        <v>0.82057198109105234</v>
      </c>
      <c r="H1181" s="2">
        <v>12105</v>
      </c>
      <c r="I1181" s="2">
        <v>1200</v>
      </c>
      <c r="J1181" s="2">
        <f>(IF(A1181='Hybrid Calculator'!$B$6,0,1))^2+((B1181-'Hybrid Calculator'!$B$7)/1500)^2+((C1181-'Hybrid Calculator'!$B$8)/1300)^2+((D1181-'Hybrid Calculator'!$B$9)/800)^2+((E1181-'Hybrid Calculator'!$B$10)/350)^2+((F1181-'Hybrid Calculator'!$B$11)/30)^2+(G1181-'Hybrid Calculator'!$B$12)^2+((H1181-'Hybrid Calculator'!$E$14)/IF(A1181="Lightning",100,30000))^2+((I1181-'Hybrid Calculator'!$E$17)/IF(A1181="Lightning",100,30000))^2</f>
        <v>1.5546386973541133</v>
      </c>
      <c r="K1181" s="2">
        <f t="shared" si="72"/>
        <v>1308</v>
      </c>
      <c r="L1181" s="2">
        <f t="shared" si="73"/>
        <v>0</v>
      </c>
      <c r="M1181" s="2">
        <f t="shared" si="74"/>
        <v>0</v>
      </c>
      <c r="N1181" s="2">
        <v>-1.0453951735216265</v>
      </c>
      <c r="O1181" s="2">
        <f t="shared" si="75"/>
        <v>0</v>
      </c>
      <c r="P1181" s="2">
        <v>-9.3532506122896848</v>
      </c>
      <c r="Q1181" s="2">
        <v>-18.724252253760596</v>
      </c>
    </row>
    <row r="1182" spans="1:17" ht="15">
      <c r="A1182" s="2" t="s">
        <v>81</v>
      </c>
      <c r="B1182" s="2">
        <v>1024.702162342146</v>
      </c>
      <c r="C1182" s="2">
        <v>1042.7919451030903</v>
      </c>
      <c r="D1182" s="2">
        <v>452.07194071263075</v>
      </c>
      <c r="E1182" s="2">
        <v>199.71367552177981</v>
      </c>
      <c r="F1182" s="2">
        <v>26.899309769272804</v>
      </c>
      <c r="G1182" s="2">
        <v>0.8115956179634668</v>
      </c>
      <c r="H1182" s="2">
        <v>12620</v>
      </c>
      <c r="I1182" s="2">
        <v>1200</v>
      </c>
      <c r="J1182" s="2">
        <f>(IF(A1182='Hybrid Calculator'!$B$6,0,1))^2+((B1182-'Hybrid Calculator'!$B$7)/1500)^2+((C1182-'Hybrid Calculator'!$B$8)/1300)^2+((D1182-'Hybrid Calculator'!$B$9)/800)^2+((E1182-'Hybrid Calculator'!$B$10)/350)^2+((F1182-'Hybrid Calculator'!$B$11)/30)^2+(G1182-'Hybrid Calculator'!$B$12)^2+((H1182-'Hybrid Calculator'!$E$14)/IF(A1182="Lightning",100,30000))^2+((I1182-'Hybrid Calculator'!$E$17)/IF(A1182="Lightning",100,30000))^2</f>
        <v>1.3725274750086642</v>
      </c>
      <c r="K1182" s="2">
        <f t="shared" si="72"/>
        <v>897</v>
      </c>
      <c r="L1182" s="2">
        <f t="shared" si="73"/>
        <v>0</v>
      </c>
      <c r="M1182" s="2">
        <f t="shared" si="74"/>
        <v>0</v>
      </c>
      <c r="N1182" s="2">
        <v>1.4079995065571609</v>
      </c>
      <c r="O1182" s="2">
        <f t="shared" si="75"/>
        <v>0</v>
      </c>
      <c r="P1182" s="2">
        <v>7.3480546016226072</v>
      </c>
      <c r="Q1182" s="2">
        <v>-11.423423690900904</v>
      </c>
    </row>
    <row r="1183" spans="1:17" ht="15">
      <c r="A1183" s="2" t="s">
        <v>81</v>
      </c>
      <c r="B1183" s="2">
        <v>976.35616260813549</v>
      </c>
      <c r="C1183" s="2">
        <v>716.89384484197944</v>
      </c>
      <c r="D1183" s="2">
        <v>707.24909426644444</v>
      </c>
      <c r="E1183" s="2">
        <v>169.41315161064267</v>
      </c>
      <c r="F1183" s="2">
        <v>28.697749441955239</v>
      </c>
      <c r="G1183" s="2">
        <v>0.83640161891933529</v>
      </c>
      <c r="H1183" s="2">
        <v>15655</v>
      </c>
      <c r="I1183" s="2">
        <v>1200</v>
      </c>
      <c r="J1183" s="2">
        <f>(IF(A1183='Hybrid Calculator'!$B$6,0,1))^2+((B1183-'Hybrid Calculator'!$B$7)/1500)^2+((C1183-'Hybrid Calculator'!$B$8)/1300)^2+((D1183-'Hybrid Calculator'!$B$9)/800)^2+((E1183-'Hybrid Calculator'!$B$10)/350)^2+((F1183-'Hybrid Calculator'!$B$11)/30)^2+(G1183-'Hybrid Calculator'!$B$12)^2+((H1183-'Hybrid Calculator'!$E$14)/IF(A1183="Lightning",100,30000))^2+((I1183-'Hybrid Calculator'!$E$17)/IF(A1183="Lightning",100,30000))^2</f>
        <v>1.5580566121753838</v>
      </c>
      <c r="K1183" s="2">
        <f t="shared" si="72"/>
        <v>1314</v>
      </c>
      <c r="L1183" s="2">
        <f t="shared" si="73"/>
        <v>0</v>
      </c>
      <c r="M1183" s="2">
        <f t="shared" si="74"/>
        <v>0</v>
      </c>
      <c r="N1183" s="2">
        <v>-4.4235497939684478</v>
      </c>
      <c r="O1183" s="2">
        <f t="shared" si="75"/>
        <v>0</v>
      </c>
      <c r="P1183" s="2">
        <v>-8.4516514685064976</v>
      </c>
      <c r="Q1183" s="2">
        <v>-14.032788873863865</v>
      </c>
    </row>
    <row r="1184" spans="1:17" ht="15">
      <c r="A1184" s="2" t="s">
        <v>81</v>
      </c>
      <c r="B1184" s="2">
        <v>987.61447046417743</v>
      </c>
      <c r="C1184" s="2">
        <v>1084.7248504054733</v>
      </c>
      <c r="D1184" s="2">
        <v>494.65560168027878</v>
      </c>
      <c r="E1184" s="2">
        <v>179.88378448178992</v>
      </c>
      <c r="F1184" s="2">
        <v>18.153575922362506</v>
      </c>
      <c r="G1184" s="2">
        <v>0.79685893680667508</v>
      </c>
      <c r="H1184" s="2">
        <v>12155</v>
      </c>
      <c r="I1184" s="2">
        <v>1200</v>
      </c>
      <c r="J1184" s="2">
        <f>(IF(A1184='Hybrid Calculator'!$B$6,0,1))^2+((B1184-'Hybrid Calculator'!$B$7)/1500)^2+((C1184-'Hybrid Calculator'!$B$8)/1300)^2+((D1184-'Hybrid Calculator'!$B$9)/800)^2+((E1184-'Hybrid Calculator'!$B$10)/350)^2+((F1184-'Hybrid Calculator'!$B$11)/30)^2+(G1184-'Hybrid Calculator'!$B$12)^2+((H1184-'Hybrid Calculator'!$E$14)/IF(A1184="Lightning",100,30000))^2+((I1184-'Hybrid Calculator'!$E$17)/IF(A1184="Lightning",100,30000))^2</f>
        <v>1.2899758594979076</v>
      </c>
      <c r="K1184" s="2">
        <f t="shared" si="72"/>
        <v>717</v>
      </c>
      <c r="L1184" s="2">
        <f t="shared" si="73"/>
        <v>0</v>
      </c>
      <c r="M1184" s="2">
        <f t="shared" si="74"/>
        <v>0</v>
      </c>
      <c r="N1184" s="2">
        <v>0.45038554124940333</v>
      </c>
      <c r="O1184" s="2">
        <f t="shared" si="75"/>
        <v>0</v>
      </c>
      <c r="P1184" s="2">
        <v>10.301281282213495</v>
      </c>
      <c r="Q1184" s="2">
        <v>4.2461026122950898</v>
      </c>
    </row>
    <row r="1185" spans="1:17" ht="15">
      <c r="A1185" s="2" t="s">
        <v>81</v>
      </c>
      <c r="B1185" s="2">
        <v>1081.9935495848767</v>
      </c>
      <c r="C1185" s="2">
        <v>1026.9761725328863</v>
      </c>
      <c r="D1185" s="2">
        <v>391.24891376122832</v>
      </c>
      <c r="E1185" s="2">
        <v>294.12849857006222</v>
      </c>
      <c r="F1185" s="2">
        <v>12.232740690466017</v>
      </c>
      <c r="G1185" s="2">
        <v>0.81510866065509624</v>
      </c>
      <c r="H1185" s="2">
        <v>12490</v>
      </c>
      <c r="I1185" s="2">
        <v>1200</v>
      </c>
      <c r="J1185" s="2">
        <f>(IF(A1185='Hybrid Calculator'!$B$6,0,1))^2+((B1185-'Hybrid Calculator'!$B$7)/1500)^2+((C1185-'Hybrid Calculator'!$B$8)/1300)^2+((D1185-'Hybrid Calculator'!$B$9)/800)^2+((E1185-'Hybrid Calculator'!$B$10)/350)^2+((F1185-'Hybrid Calculator'!$B$11)/30)^2+(G1185-'Hybrid Calculator'!$B$12)^2+((H1185-'Hybrid Calculator'!$E$14)/IF(A1185="Lightning",100,30000))^2+((I1185-'Hybrid Calculator'!$E$17)/IF(A1185="Lightning",100,30000))^2</f>
        <v>1.4760275890161423</v>
      </c>
      <c r="K1185" s="2">
        <f t="shared" si="72"/>
        <v>1170</v>
      </c>
      <c r="L1185" s="2">
        <f t="shared" si="73"/>
        <v>0</v>
      </c>
      <c r="M1185" s="2">
        <f t="shared" si="74"/>
        <v>0</v>
      </c>
      <c r="N1185" s="2">
        <v>0.64930639607032958</v>
      </c>
      <c r="O1185" s="2">
        <f t="shared" si="75"/>
        <v>0</v>
      </c>
      <c r="P1185" s="2">
        <v>50.768304250233996</v>
      </c>
      <c r="Q1185" s="2">
        <v>0.21058836645943302</v>
      </c>
    </row>
    <row r="1186" spans="1:17" ht="15">
      <c r="A1186" s="2" t="s">
        <v>81</v>
      </c>
      <c r="B1186" s="2">
        <v>1070.3042984008789</v>
      </c>
      <c r="C1186" s="2">
        <v>1240.058981848415</v>
      </c>
      <c r="D1186" s="2">
        <v>430.12640941888094</v>
      </c>
      <c r="E1186" s="2">
        <v>146.2907199584879</v>
      </c>
      <c r="F1186" s="2">
        <v>18.529718784615397</v>
      </c>
      <c r="G1186" s="2">
        <v>0.80067009155871349</v>
      </c>
      <c r="H1186" s="2">
        <v>11775</v>
      </c>
      <c r="I1186" s="2">
        <v>1195</v>
      </c>
      <c r="J1186" s="2">
        <f>(IF(A1186='Hybrid Calculator'!$B$6,0,1))^2+((B1186-'Hybrid Calculator'!$B$7)/1500)^2+((C1186-'Hybrid Calculator'!$B$8)/1300)^2+((D1186-'Hybrid Calculator'!$B$9)/800)^2+((E1186-'Hybrid Calculator'!$B$10)/350)^2+((F1186-'Hybrid Calculator'!$B$11)/30)^2+(G1186-'Hybrid Calculator'!$B$12)^2+((H1186-'Hybrid Calculator'!$E$14)/IF(A1186="Lightning",100,30000))^2+((I1186-'Hybrid Calculator'!$E$17)/IF(A1186="Lightning",100,30000))^2</f>
        <v>1.3083296141123182</v>
      </c>
      <c r="K1186" s="2">
        <f t="shared" si="72"/>
        <v>746</v>
      </c>
      <c r="L1186" s="2">
        <f t="shared" si="73"/>
        <v>0</v>
      </c>
      <c r="M1186" s="2">
        <f t="shared" si="74"/>
        <v>0</v>
      </c>
      <c r="N1186" s="2">
        <v>1.7055538849788263</v>
      </c>
      <c r="O1186" s="2">
        <f t="shared" si="75"/>
        <v>0</v>
      </c>
      <c r="P1186" s="2">
        <v>26.560085522913596</v>
      </c>
      <c r="Q1186" s="2">
        <v>1.40136091861973</v>
      </c>
    </row>
    <row r="1187" spans="1:17" ht="15">
      <c r="A1187" s="2" t="s">
        <v>81</v>
      </c>
      <c r="B1187" s="2">
        <v>1094.4255730719306</v>
      </c>
      <c r="C1187" s="2">
        <v>1087.1869215974584</v>
      </c>
      <c r="D1187" s="2">
        <v>450.99457958713174</v>
      </c>
      <c r="E1187" s="2">
        <v>140.63403724692762</v>
      </c>
      <c r="F1187" s="2">
        <v>23.8281583157368</v>
      </c>
      <c r="G1187" s="2">
        <v>0.8104081729101017</v>
      </c>
      <c r="H1187" s="2">
        <v>12740</v>
      </c>
      <c r="I1187" s="2">
        <v>1200</v>
      </c>
      <c r="J1187" s="2">
        <f>(IF(A1187='Hybrid Calculator'!$B$6,0,1))^2+((B1187-'Hybrid Calculator'!$B$7)/1500)^2+((C1187-'Hybrid Calculator'!$B$8)/1300)^2+((D1187-'Hybrid Calculator'!$B$9)/800)^2+((E1187-'Hybrid Calculator'!$B$10)/350)^2+((F1187-'Hybrid Calculator'!$B$11)/30)^2+(G1187-'Hybrid Calculator'!$B$12)^2+((H1187-'Hybrid Calculator'!$E$14)/IF(A1187="Lightning",100,30000))^2+((I1187-'Hybrid Calculator'!$E$17)/IF(A1187="Lightning",100,30000))^2</f>
        <v>1.2984243369589885</v>
      </c>
      <c r="K1187" s="2">
        <f t="shared" si="72"/>
        <v>725</v>
      </c>
      <c r="L1187" s="2">
        <f t="shared" si="73"/>
        <v>0</v>
      </c>
      <c r="M1187" s="2">
        <f t="shared" si="74"/>
        <v>0</v>
      </c>
      <c r="N1187" s="2">
        <v>0.65121952539638528</v>
      </c>
      <c r="O1187" s="2">
        <f t="shared" si="75"/>
        <v>0</v>
      </c>
      <c r="P1187" s="2">
        <v>12.835775688181457</v>
      </c>
      <c r="Q1187" s="2">
        <v>-6.935270160865457</v>
      </c>
    </row>
    <row r="1188" spans="1:17" ht="15">
      <c r="A1188" s="2" t="s">
        <v>81</v>
      </c>
      <c r="B1188" s="2">
        <v>1039.4692123634741</v>
      </c>
      <c r="C1188" s="2">
        <v>713.1845329538919</v>
      </c>
      <c r="D1188" s="2">
        <v>373.482621088624</v>
      </c>
      <c r="E1188" s="2">
        <v>270.18420687643811</v>
      </c>
      <c r="F1188" s="2">
        <v>23.485183679498732</v>
      </c>
      <c r="G1188" s="2">
        <v>0.84268331418512399</v>
      </c>
      <c r="H1188" s="2">
        <v>15760</v>
      </c>
      <c r="I1188" s="2">
        <v>1200</v>
      </c>
      <c r="J1188" s="2">
        <f>(IF(A1188='Hybrid Calculator'!$B$6,0,1))^2+((B1188-'Hybrid Calculator'!$B$7)/1500)^2+((C1188-'Hybrid Calculator'!$B$8)/1300)^2+((D1188-'Hybrid Calculator'!$B$9)/800)^2+((E1188-'Hybrid Calculator'!$B$10)/350)^2+((F1188-'Hybrid Calculator'!$B$11)/30)^2+(G1188-'Hybrid Calculator'!$B$12)^2+((H1188-'Hybrid Calculator'!$E$14)/IF(A1188="Lightning",100,30000))^2+((I1188-'Hybrid Calculator'!$E$17)/IF(A1188="Lightning",100,30000))^2</f>
        <v>1.5239468821820279</v>
      </c>
      <c r="K1188" s="2">
        <f t="shared" si="72"/>
        <v>1251</v>
      </c>
      <c r="L1188" s="2">
        <f t="shared" si="73"/>
        <v>0</v>
      </c>
      <c r="M1188" s="2">
        <f t="shared" si="74"/>
        <v>0</v>
      </c>
      <c r="N1188" s="2">
        <v>-5.310417243472358</v>
      </c>
      <c r="O1188" s="2">
        <f t="shared" si="75"/>
        <v>0</v>
      </c>
      <c r="P1188" s="2">
        <v>-58.188793452327445</v>
      </c>
      <c r="Q1188" s="2">
        <v>0.47081539114242332</v>
      </c>
    </row>
    <row r="1189" spans="1:17" ht="15">
      <c r="A1189" s="2" t="s">
        <v>81</v>
      </c>
      <c r="B1189" s="2">
        <v>1071.0861467174254</v>
      </c>
      <c r="C1189" s="2">
        <v>616.35841350071132</v>
      </c>
      <c r="D1189" s="2">
        <v>744.87781776115298</v>
      </c>
      <c r="E1189" s="2">
        <v>138.77254519145936</v>
      </c>
      <c r="F1189" s="2">
        <v>23.822559024672955</v>
      </c>
      <c r="G1189" s="2">
        <v>0.83535376094281677</v>
      </c>
      <c r="H1189" s="2">
        <v>14255</v>
      </c>
      <c r="I1189" s="2">
        <v>1200</v>
      </c>
      <c r="J1189" s="2">
        <f>(IF(A1189='Hybrid Calculator'!$B$6,0,1))^2+((B1189-'Hybrid Calculator'!$B$7)/1500)^2+((C1189-'Hybrid Calculator'!$B$8)/1300)^2+((D1189-'Hybrid Calculator'!$B$9)/800)^2+((E1189-'Hybrid Calculator'!$B$10)/350)^2+((F1189-'Hybrid Calculator'!$B$11)/30)^2+(G1189-'Hybrid Calculator'!$B$12)^2+((H1189-'Hybrid Calculator'!$E$14)/IF(A1189="Lightning",100,30000))^2+((I1189-'Hybrid Calculator'!$E$17)/IF(A1189="Lightning",100,30000))^2</f>
        <v>1.4401436728492381</v>
      </c>
      <c r="K1189" s="2">
        <f t="shared" si="72"/>
        <v>1085</v>
      </c>
      <c r="L1189" s="2">
        <f t="shared" si="73"/>
        <v>0</v>
      </c>
      <c r="M1189" s="2">
        <f t="shared" si="74"/>
        <v>0</v>
      </c>
      <c r="N1189" s="2">
        <v>-4.177026093673021</v>
      </c>
      <c r="O1189" s="2">
        <f t="shared" si="75"/>
        <v>0</v>
      </c>
      <c r="P1189" s="2">
        <v>-72.420598486932249</v>
      </c>
      <c r="Q1189" s="2">
        <v>3.21616908399983</v>
      </c>
    </row>
    <row r="1190" spans="1:17" ht="15">
      <c r="A1190" s="2" t="s">
        <v>81</v>
      </c>
      <c r="B1190" s="2">
        <v>950.29591764323413</v>
      </c>
      <c r="C1190" s="2">
        <v>1240.1429676334374</v>
      </c>
      <c r="D1190" s="2">
        <v>458.70414134114981</v>
      </c>
      <c r="E1190" s="2">
        <v>114.55816657515243</v>
      </c>
      <c r="F1190" s="2">
        <v>29.228723894804716</v>
      </c>
      <c r="G1190" s="2">
        <v>0.81174612116301437</v>
      </c>
      <c r="H1190" s="2">
        <v>13760</v>
      </c>
      <c r="I1190" s="2">
        <v>1200</v>
      </c>
      <c r="J1190" s="2">
        <f>(IF(A1190='Hybrid Calculator'!$B$6,0,1))^2+((B1190-'Hybrid Calculator'!$B$7)/1500)^2+((C1190-'Hybrid Calculator'!$B$8)/1300)^2+((D1190-'Hybrid Calculator'!$B$9)/800)^2+((E1190-'Hybrid Calculator'!$B$10)/350)^2+((F1190-'Hybrid Calculator'!$B$11)/30)^2+(G1190-'Hybrid Calculator'!$B$12)^2+((H1190-'Hybrid Calculator'!$E$14)/IF(A1190="Lightning",100,30000))^2+((I1190-'Hybrid Calculator'!$E$17)/IF(A1190="Lightning",100,30000))^2</f>
        <v>1.5414837193848265</v>
      </c>
      <c r="K1190" s="2">
        <f t="shared" si="72"/>
        <v>1283</v>
      </c>
      <c r="L1190" s="2">
        <f t="shared" si="73"/>
        <v>0</v>
      </c>
      <c r="M1190" s="2">
        <f t="shared" si="74"/>
        <v>0</v>
      </c>
      <c r="N1190" s="2">
        <v>0.83027068508388879</v>
      </c>
      <c r="O1190" s="2">
        <f t="shared" si="75"/>
        <v>0</v>
      </c>
      <c r="P1190" s="2">
        <v>-4.9098009746790012</v>
      </c>
      <c r="Q1190" s="2">
        <v>-7.2551742507453127</v>
      </c>
    </row>
    <row r="1191" spans="1:17" ht="15">
      <c r="A1191" s="2" t="s">
        <v>81</v>
      </c>
      <c r="B1191" s="2">
        <v>982.50107021303847</v>
      </c>
      <c r="C1191" s="2">
        <v>726.99506643693894</v>
      </c>
      <c r="D1191" s="2">
        <v>421.63392500951886</v>
      </c>
      <c r="E1191" s="2">
        <v>175.90853657573462</v>
      </c>
      <c r="F1191" s="2">
        <v>26.995743172708899</v>
      </c>
      <c r="G1191" s="2">
        <v>0.82372106398921463</v>
      </c>
      <c r="H1191" s="2">
        <v>18835</v>
      </c>
      <c r="I1191" s="2">
        <v>1200</v>
      </c>
      <c r="J1191" s="2">
        <f>(IF(A1191='Hybrid Calculator'!$B$6,0,1))^2+((B1191-'Hybrid Calculator'!$B$7)/1500)^2+((C1191-'Hybrid Calculator'!$B$8)/1300)^2+((D1191-'Hybrid Calculator'!$B$9)/800)^2+((E1191-'Hybrid Calculator'!$B$10)/350)^2+((F1191-'Hybrid Calculator'!$B$11)/30)^2+(G1191-'Hybrid Calculator'!$B$12)^2+((H1191-'Hybrid Calculator'!$E$14)/IF(A1191="Lightning",100,30000))^2+((I1191-'Hybrid Calculator'!$E$17)/IF(A1191="Lightning",100,30000))^2</f>
        <v>1.5848826284416491</v>
      </c>
      <c r="K1191" s="2">
        <f t="shared" si="72"/>
        <v>1338</v>
      </c>
      <c r="L1191" s="2">
        <f t="shared" si="73"/>
        <v>0</v>
      </c>
      <c r="M1191" s="2">
        <f t="shared" si="74"/>
        <v>0</v>
      </c>
      <c r="N1191" s="2">
        <v>-5.8406279723646435</v>
      </c>
      <c r="O1191" s="2">
        <f t="shared" si="75"/>
        <v>0</v>
      </c>
      <c r="P1191" s="2">
        <v>13.919552139578627</v>
      </c>
      <c r="Q1191" s="2">
        <v>-6.2020296119281966</v>
      </c>
    </row>
    <row r="1192" spans="1:17" ht="15">
      <c r="A1192" s="2" t="s">
        <v>81</v>
      </c>
      <c r="B1192" s="2">
        <v>1071.9823709223419</v>
      </c>
      <c r="C1192" s="2">
        <v>779.26873097894713</v>
      </c>
      <c r="D1192" s="2">
        <v>742.53963958472013</v>
      </c>
      <c r="E1192" s="2">
        <v>166.25434088753536</v>
      </c>
      <c r="F1192" s="2">
        <v>13.788887985050678</v>
      </c>
      <c r="G1192" s="2">
        <v>0.84716712871799249</v>
      </c>
      <c r="H1192" s="2">
        <v>12670</v>
      </c>
      <c r="I1192" s="2">
        <v>1200</v>
      </c>
      <c r="J1192" s="2">
        <f>(IF(A1192='Hybrid Calculator'!$B$6,0,1))^2+((B1192-'Hybrid Calculator'!$B$7)/1500)^2+((C1192-'Hybrid Calculator'!$B$8)/1300)^2+((D1192-'Hybrid Calculator'!$B$9)/800)^2+((E1192-'Hybrid Calculator'!$B$10)/350)^2+((F1192-'Hybrid Calculator'!$B$11)/30)^2+(G1192-'Hybrid Calculator'!$B$12)^2+((H1192-'Hybrid Calculator'!$E$14)/IF(A1192="Lightning",100,30000))^2+((I1192-'Hybrid Calculator'!$E$17)/IF(A1192="Lightning",100,30000))^2</f>
        <v>1.3563123498187237</v>
      </c>
      <c r="K1192" s="2">
        <f t="shared" si="72"/>
        <v>848</v>
      </c>
      <c r="L1192" s="2">
        <f t="shared" si="73"/>
        <v>0</v>
      </c>
      <c r="M1192" s="2">
        <f t="shared" si="74"/>
        <v>0</v>
      </c>
      <c r="N1192" s="2">
        <v>0.43487607438046894</v>
      </c>
      <c r="O1192" s="2">
        <f t="shared" si="75"/>
        <v>0</v>
      </c>
      <c r="P1192" s="2">
        <v>-45.344605485162447</v>
      </c>
      <c r="Q1192" s="2">
        <v>-1.2250638684531623</v>
      </c>
    </row>
    <row r="1193" spans="1:17" ht="15">
      <c r="A1193" s="2" t="s">
        <v>81</v>
      </c>
      <c r="B1193" s="2">
        <v>1034.4059030641802</v>
      </c>
      <c r="C1193" s="2">
        <v>908.56843513902277</v>
      </c>
      <c r="D1193" s="2">
        <v>613.35013182833791</v>
      </c>
      <c r="E1193" s="2">
        <v>187.88047080859542</v>
      </c>
      <c r="F1193" s="2">
        <v>12.372691004071385</v>
      </c>
      <c r="G1193" s="2">
        <v>0.79218605966772893</v>
      </c>
      <c r="H1193" s="2">
        <v>12510</v>
      </c>
      <c r="I1193" s="2">
        <v>1200</v>
      </c>
      <c r="J1193" s="2">
        <f>(IF(A1193='Hybrid Calculator'!$B$6,0,1))^2+((B1193-'Hybrid Calculator'!$B$7)/1500)^2+((C1193-'Hybrid Calculator'!$B$8)/1300)^2+((D1193-'Hybrid Calculator'!$B$9)/800)^2+((E1193-'Hybrid Calculator'!$B$10)/350)^2+((F1193-'Hybrid Calculator'!$B$11)/30)^2+(G1193-'Hybrid Calculator'!$B$12)^2+((H1193-'Hybrid Calculator'!$E$14)/IF(A1193="Lightning",100,30000))^2+((I1193-'Hybrid Calculator'!$E$17)/IF(A1193="Lightning",100,30000))^2</f>
        <v>1.3181498427929919</v>
      </c>
      <c r="K1193" s="2">
        <f t="shared" si="72"/>
        <v>758</v>
      </c>
      <c r="L1193" s="2">
        <f t="shared" si="73"/>
        <v>0</v>
      </c>
      <c r="M1193" s="2">
        <f t="shared" si="74"/>
        <v>0</v>
      </c>
      <c r="N1193" s="2">
        <v>1.2703369700320479</v>
      </c>
      <c r="O1193" s="2">
        <f t="shared" si="75"/>
        <v>0</v>
      </c>
      <c r="P1193" s="2">
        <v>19.417129459166972</v>
      </c>
      <c r="Q1193" s="2">
        <v>-2.0340394389056655</v>
      </c>
    </row>
    <row r="1194" spans="1:17" ht="15">
      <c r="A1194" s="2" t="s">
        <v>81</v>
      </c>
      <c r="B1194" s="2">
        <v>1087.2193957911804</v>
      </c>
      <c r="C1194" s="2">
        <v>600.82121231826022</v>
      </c>
      <c r="D1194" s="2">
        <v>431.15583658218384</v>
      </c>
      <c r="E1194" s="2">
        <v>88.3213429315947</v>
      </c>
      <c r="F1194" s="2">
        <v>20.527698117308319</v>
      </c>
      <c r="G1194" s="2">
        <v>0.84059793464606636</v>
      </c>
      <c r="H1194" s="2">
        <v>19090</v>
      </c>
      <c r="I1194" s="2">
        <v>1200</v>
      </c>
      <c r="J1194" s="2">
        <f>(IF(A1194='Hybrid Calculator'!$B$6,0,1))^2+((B1194-'Hybrid Calculator'!$B$7)/1500)^2+((C1194-'Hybrid Calculator'!$B$8)/1300)^2+((D1194-'Hybrid Calculator'!$B$9)/800)^2+((E1194-'Hybrid Calculator'!$B$10)/350)^2+((F1194-'Hybrid Calculator'!$B$11)/30)^2+(G1194-'Hybrid Calculator'!$B$12)^2+((H1194-'Hybrid Calculator'!$E$14)/IF(A1194="Lightning",100,30000))^2+((I1194-'Hybrid Calculator'!$E$17)/IF(A1194="Lightning",100,30000))^2</f>
        <v>1.5352380369102807</v>
      </c>
      <c r="K1194" s="2">
        <f t="shared" si="72"/>
        <v>1275</v>
      </c>
      <c r="L1194" s="2">
        <f t="shared" si="73"/>
        <v>0</v>
      </c>
      <c r="M1194" s="2">
        <f t="shared" si="74"/>
        <v>0</v>
      </c>
      <c r="N1194" s="2">
        <v>-0.21561186830967927</v>
      </c>
      <c r="O1194" s="2">
        <f t="shared" si="75"/>
        <v>0</v>
      </c>
      <c r="P1194" s="2">
        <v>6.7541850176285152</v>
      </c>
      <c r="Q1194" s="2">
        <v>12.777666195119991</v>
      </c>
    </row>
    <row r="1195" spans="1:17" ht="15">
      <c r="A1195" s="2" t="s">
        <v>81</v>
      </c>
      <c r="B1195" s="2">
        <v>1007.7576936106198</v>
      </c>
      <c r="C1195" s="2">
        <v>1078.2587886787951</v>
      </c>
      <c r="D1195" s="2">
        <v>358.41215616092086</v>
      </c>
      <c r="E1195" s="2">
        <v>291.6630912059918</v>
      </c>
      <c r="F1195" s="2">
        <v>13.799784911330789</v>
      </c>
      <c r="G1195" s="2">
        <v>0.80964145363308493</v>
      </c>
      <c r="H1195" s="2">
        <v>12375</v>
      </c>
      <c r="I1195" s="2">
        <v>1200</v>
      </c>
      <c r="J1195" s="2">
        <f>(IF(A1195='Hybrid Calculator'!$B$6,0,1))^2+((B1195-'Hybrid Calculator'!$B$7)/1500)^2+((C1195-'Hybrid Calculator'!$B$8)/1300)^2+((D1195-'Hybrid Calculator'!$B$9)/800)^2+((E1195-'Hybrid Calculator'!$B$10)/350)^2+((F1195-'Hybrid Calculator'!$B$11)/30)^2+(G1195-'Hybrid Calculator'!$B$12)^2+((H1195-'Hybrid Calculator'!$E$14)/IF(A1195="Lightning",100,30000))^2+((I1195-'Hybrid Calculator'!$E$17)/IF(A1195="Lightning",100,30000))^2</f>
        <v>1.4983230679657129</v>
      </c>
      <c r="K1195" s="2">
        <f t="shared" si="72"/>
        <v>1208</v>
      </c>
      <c r="L1195" s="2">
        <f t="shared" si="73"/>
        <v>0</v>
      </c>
      <c r="M1195" s="2">
        <f t="shared" si="74"/>
        <v>0</v>
      </c>
      <c r="N1195" s="2">
        <v>4.5618510308768805</v>
      </c>
      <c r="O1195" s="2">
        <f t="shared" si="75"/>
        <v>0</v>
      </c>
      <c r="P1195" s="2">
        <v>47.247246542466655</v>
      </c>
      <c r="Q1195" s="2">
        <v>8.4120958382300159E-2</v>
      </c>
    </row>
    <row r="1196" spans="1:17" ht="15">
      <c r="A1196" s="2" t="s">
        <v>81</v>
      </c>
      <c r="B1196" s="2">
        <v>1083.0945624038577</v>
      </c>
      <c r="C1196" s="2">
        <v>868.2137344381772</v>
      </c>
      <c r="D1196" s="2">
        <v>362.159931845963</v>
      </c>
      <c r="E1196" s="2">
        <v>208.1144316890277</v>
      </c>
      <c r="F1196" s="2">
        <v>28.541327139362693</v>
      </c>
      <c r="G1196" s="2">
        <v>0.84011409164639195</v>
      </c>
      <c r="H1196" s="2">
        <v>14865</v>
      </c>
      <c r="I1196" s="2">
        <v>1200</v>
      </c>
      <c r="J1196" s="2">
        <f>(IF(A1196='Hybrid Calculator'!$B$6,0,1))^2+((B1196-'Hybrid Calculator'!$B$7)/1500)^2+((C1196-'Hybrid Calculator'!$B$8)/1300)^2+((D1196-'Hybrid Calculator'!$B$9)/800)^2+((E1196-'Hybrid Calculator'!$B$10)/350)^2+((F1196-'Hybrid Calculator'!$B$11)/30)^2+(G1196-'Hybrid Calculator'!$B$12)^2+((H1196-'Hybrid Calculator'!$E$14)/IF(A1196="Lightning",100,30000))^2+((I1196-'Hybrid Calculator'!$E$17)/IF(A1196="Lightning",100,30000))^2</f>
        <v>1.4672499187393928</v>
      </c>
      <c r="K1196" s="2">
        <f t="shared" si="72"/>
        <v>1149</v>
      </c>
      <c r="L1196" s="2">
        <f t="shared" si="73"/>
        <v>0</v>
      </c>
      <c r="M1196" s="2">
        <f t="shared" si="74"/>
        <v>0</v>
      </c>
      <c r="N1196" s="2">
        <v>-1.5095620548080433</v>
      </c>
      <c r="O1196" s="2">
        <f t="shared" si="75"/>
        <v>0</v>
      </c>
      <c r="P1196" s="2">
        <v>-11.813521079752718</v>
      </c>
      <c r="Q1196" s="2">
        <v>-4.6138886466001168</v>
      </c>
    </row>
    <row r="1197" spans="1:17" ht="15">
      <c r="A1197" s="2" t="s">
        <v>81</v>
      </c>
      <c r="B1197" s="2">
        <v>1040.6473052338697</v>
      </c>
      <c r="C1197" s="2">
        <v>778.33661253098398</v>
      </c>
      <c r="D1197" s="2">
        <v>352.10296520963311</v>
      </c>
      <c r="E1197" s="2">
        <v>162.87047105841339</v>
      </c>
      <c r="F1197" s="2">
        <v>10.627283890265971</v>
      </c>
      <c r="G1197" s="2">
        <v>0.79926208299119028</v>
      </c>
      <c r="H1197" s="2">
        <v>16535</v>
      </c>
      <c r="I1197" s="2">
        <v>1200</v>
      </c>
      <c r="J1197" s="2">
        <f>(IF(A1197='Hybrid Calculator'!$B$6,0,1))^2+((B1197-'Hybrid Calculator'!$B$7)/1500)^2+((C1197-'Hybrid Calculator'!$B$8)/1300)^2+((D1197-'Hybrid Calculator'!$B$9)/800)^2+((E1197-'Hybrid Calculator'!$B$10)/350)^2+((F1197-'Hybrid Calculator'!$B$11)/30)^2+(G1197-'Hybrid Calculator'!$B$12)^2+((H1197-'Hybrid Calculator'!$E$14)/IF(A1197="Lightning",100,30000))^2+((I1197-'Hybrid Calculator'!$E$17)/IF(A1197="Lightning",100,30000))^2</f>
        <v>1.4770055414484498</v>
      </c>
      <c r="K1197" s="2">
        <f t="shared" si="72"/>
        <v>1172</v>
      </c>
      <c r="L1197" s="2">
        <f t="shared" si="73"/>
        <v>0</v>
      </c>
      <c r="M1197" s="2">
        <f t="shared" si="74"/>
        <v>0</v>
      </c>
      <c r="N1197" s="2">
        <v>0.77965460231280304</v>
      </c>
      <c r="O1197" s="2">
        <f t="shared" si="75"/>
        <v>0</v>
      </c>
      <c r="P1197" s="2">
        <v>-22.043712940273053</v>
      </c>
      <c r="Q1197" s="2">
        <v>16.745341753269258</v>
      </c>
    </row>
    <row r="1198" spans="1:17" ht="15">
      <c r="A1198" s="2" t="s">
        <v>81</v>
      </c>
      <c r="B1198" s="2">
        <v>991.25170696061105</v>
      </c>
      <c r="C1198" s="2">
        <v>959.40149711677805</v>
      </c>
      <c r="D1198" s="2">
        <v>491.80460758507252</v>
      </c>
      <c r="E1198" s="2">
        <v>210.54233248112723</v>
      </c>
      <c r="F1198" s="2">
        <v>11.079132453538477</v>
      </c>
      <c r="G1198" s="2">
        <v>0.79681138670770457</v>
      </c>
      <c r="H1198" s="2">
        <v>12870</v>
      </c>
      <c r="I1198" s="2">
        <v>1200</v>
      </c>
      <c r="J1198" s="2">
        <f>(IF(A1198='Hybrid Calculator'!$B$6,0,1))^2+((B1198-'Hybrid Calculator'!$B$7)/1500)^2+((C1198-'Hybrid Calculator'!$B$8)/1300)^2+((D1198-'Hybrid Calculator'!$B$9)/800)^2+((E1198-'Hybrid Calculator'!$B$10)/350)^2+((F1198-'Hybrid Calculator'!$B$11)/30)^2+(G1198-'Hybrid Calculator'!$B$12)^2+((H1198-'Hybrid Calculator'!$E$14)/IF(A1198="Lightning",100,30000))^2+((I1198-'Hybrid Calculator'!$E$17)/IF(A1198="Lightning",100,30000))^2</f>
        <v>1.366598732522841</v>
      </c>
      <c r="K1198" s="2">
        <f t="shared" si="72"/>
        <v>873</v>
      </c>
      <c r="L1198" s="2">
        <f t="shared" si="73"/>
        <v>0</v>
      </c>
      <c r="M1198" s="2">
        <f t="shared" si="74"/>
        <v>0</v>
      </c>
      <c r="N1198" s="2">
        <v>3.0620579895681885</v>
      </c>
      <c r="O1198" s="2">
        <f t="shared" si="75"/>
        <v>0</v>
      </c>
      <c r="P1198" s="2">
        <v>25.610663289506647</v>
      </c>
      <c r="Q1198" s="2">
        <v>6.0443544350166576</v>
      </c>
    </row>
    <row r="1199" spans="1:17" ht="15">
      <c r="A1199" s="2" t="s">
        <v>81</v>
      </c>
      <c r="B1199" s="2">
        <v>956.02292999392375</v>
      </c>
      <c r="C1199" s="2">
        <v>1046.152771404013</v>
      </c>
      <c r="D1199" s="2">
        <v>624.00950593873858</v>
      </c>
      <c r="E1199" s="2">
        <v>184.56241748761386</v>
      </c>
      <c r="F1199" s="2">
        <v>13.89472960261628</v>
      </c>
      <c r="G1199" s="2">
        <v>0.84722592357546089</v>
      </c>
      <c r="H1199" s="2">
        <v>13450</v>
      </c>
      <c r="I1199" s="2">
        <v>1200</v>
      </c>
      <c r="J1199" s="2">
        <f>(IF(A1199='Hybrid Calculator'!$B$6,0,1))^2+((B1199-'Hybrid Calculator'!$B$7)/1500)^2+((C1199-'Hybrid Calculator'!$B$8)/1300)^2+((D1199-'Hybrid Calculator'!$B$9)/800)^2+((E1199-'Hybrid Calculator'!$B$10)/350)^2+((F1199-'Hybrid Calculator'!$B$11)/30)^2+(G1199-'Hybrid Calculator'!$B$12)^2+((H1199-'Hybrid Calculator'!$E$14)/IF(A1199="Lightning",100,30000))^2+((I1199-'Hybrid Calculator'!$E$17)/IF(A1199="Lightning",100,30000))^2</f>
        <v>1.3796493024924235</v>
      </c>
      <c r="K1199" s="2">
        <f t="shared" si="72"/>
        <v>915</v>
      </c>
      <c r="L1199" s="2">
        <f t="shared" si="73"/>
        <v>0</v>
      </c>
      <c r="M1199" s="2">
        <f t="shared" si="74"/>
        <v>0</v>
      </c>
      <c r="N1199" s="2">
        <v>1.7386816526347104</v>
      </c>
      <c r="O1199" s="2">
        <f t="shared" si="75"/>
        <v>0</v>
      </c>
      <c r="P1199" s="2">
        <v>-22.751546951512864</v>
      </c>
      <c r="Q1199" s="2">
        <v>3.1245560173583726</v>
      </c>
    </row>
    <row r="1200" spans="1:17" ht="15">
      <c r="A1200" s="2" t="s">
        <v>81</v>
      </c>
      <c r="B1200" s="2">
        <v>1026.6533640678972</v>
      </c>
      <c r="C1200" s="2">
        <v>1147.0196875627153</v>
      </c>
      <c r="D1200" s="2">
        <v>533.92892982810736</v>
      </c>
      <c r="E1200" s="2">
        <v>327.71832471014932</v>
      </c>
      <c r="F1200" s="2">
        <v>21.504053596407175</v>
      </c>
      <c r="G1200" s="2">
        <v>0.79001926608616491</v>
      </c>
      <c r="H1200" s="2">
        <v>10645</v>
      </c>
      <c r="I1200" s="2">
        <v>1195</v>
      </c>
      <c r="J1200" s="2">
        <f>(IF(A1200='Hybrid Calculator'!$B$6,0,1))^2+((B1200-'Hybrid Calculator'!$B$7)/1500)^2+((C1200-'Hybrid Calculator'!$B$8)/1300)^2+((D1200-'Hybrid Calculator'!$B$9)/800)^2+((E1200-'Hybrid Calculator'!$B$10)/350)^2+((F1200-'Hybrid Calculator'!$B$11)/30)^2+(G1200-'Hybrid Calculator'!$B$12)^2+((H1200-'Hybrid Calculator'!$E$14)/IF(A1200="Lightning",100,30000))^2+((I1200-'Hybrid Calculator'!$E$17)/IF(A1200="Lightning",100,30000))^2</f>
        <v>1.5195253083542037</v>
      </c>
      <c r="K1200" s="2">
        <f t="shared" si="72"/>
        <v>1246</v>
      </c>
      <c r="L1200" s="2">
        <f t="shared" si="73"/>
        <v>0</v>
      </c>
      <c r="M1200" s="2">
        <f t="shared" si="74"/>
        <v>0</v>
      </c>
      <c r="N1200" s="2">
        <v>0.53217225392947398</v>
      </c>
      <c r="O1200" s="2">
        <f t="shared" si="75"/>
        <v>0</v>
      </c>
      <c r="P1200" s="2">
        <v>22.590895831011494</v>
      </c>
      <c r="Q1200" s="2">
        <v>-9.5397466442940413</v>
      </c>
    </row>
    <row r="1201" spans="1:17" ht="15">
      <c r="A1201" s="2" t="s">
        <v>81</v>
      </c>
      <c r="B1201" s="2">
        <v>1073.7587219220586</v>
      </c>
      <c r="C1201" s="2">
        <v>695.40921233128756</v>
      </c>
      <c r="D1201" s="2">
        <v>702.36918078735471</v>
      </c>
      <c r="E1201" s="2">
        <v>208.17328795790672</v>
      </c>
      <c r="F1201" s="2">
        <v>25.701651255134493</v>
      </c>
      <c r="G1201" s="2">
        <v>0.80351938046049332</v>
      </c>
      <c r="H1201" s="2">
        <v>13315</v>
      </c>
      <c r="I1201" s="2">
        <v>1200</v>
      </c>
      <c r="J1201" s="2">
        <f>(IF(A1201='Hybrid Calculator'!$B$6,0,1))^2+((B1201-'Hybrid Calculator'!$B$7)/1500)^2+((C1201-'Hybrid Calculator'!$B$8)/1300)^2+((D1201-'Hybrid Calculator'!$B$9)/800)^2+((E1201-'Hybrid Calculator'!$B$10)/350)^2+((F1201-'Hybrid Calculator'!$B$11)/30)^2+(G1201-'Hybrid Calculator'!$B$12)^2+((H1201-'Hybrid Calculator'!$E$14)/IF(A1201="Lightning",100,30000))^2+((I1201-'Hybrid Calculator'!$E$17)/IF(A1201="Lightning",100,30000))^2</f>
        <v>1.415530811295717</v>
      </c>
      <c r="K1201" s="2">
        <f t="shared" si="72"/>
        <v>1026</v>
      </c>
      <c r="L1201" s="2">
        <f t="shared" si="73"/>
        <v>0</v>
      </c>
      <c r="M1201" s="2">
        <f t="shared" si="74"/>
        <v>0</v>
      </c>
      <c r="N1201" s="2">
        <v>-0.62169380679924302</v>
      </c>
      <c r="O1201" s="2">
        <f t="shared" si="75"/>
        <v>0</v>
      </c>
      <c r="P1201" s="2">
        <v>-44.114723985313049</v>
      </c>
      <c r="Q1201" s="2">
        <v>-10.007862935497542</v>
      </c>
    </row>
    <row r="1202" spans="1:17" ht="15">
      <c r="A1202" s="2" t="s">
        <v>81</v>
      </c>
      <c r="B1202" s="2">
        <v>982.03906065318733</v>
      </c>
      <c r="C1202" s="2">
        <v>828.99041782366112</v>
      </c>
      <c r="D1202" s="2">
        <v>613.79822269082069</v>
      </c>
      <c r="E1202" s="2">
        <v>99.407267158385366</v>
      </c>
      <c r="F1202" s="2">
        <v>24.753774805925786</v>
      </c>
      <c r="G1202" s="2">
        <v>0.83518922870745882</v>
      </c>
      <c r="H1202" s="2">
        <v>16180</v>
      </c>
      <c r="I1202" s="2">
        <v>1200</v>
      </c>
      <c r="J1202" s="2">
        <f>(IF(A1202='Hybrid Calculator'!$B$6,0,1))^2+((B1202-'Hybrid Calculator'!$B$7)/1500)^2+((C1202-'Hybrid Calculator'!$B$8)/1300)^2+((D1202-'Hybrid Calculator'!$B$9)/800)^2+((E1202-'Hybrid Calculator'!$B$10)/350)^2+((F1202-'Hybrid Calculator'!$B$11)/30)^2+(G1202-'Hybrid Calculator'!$B$12)^2+((H1202-'Hybrid Calculator'!$E$14)/IF(A1202="Lightning",100,30000))^2+((I1202-'Hybrid Calculator'!$E$17)/IF(A1202="Lightning",100,30000))^2</f>
        <v>1.462902313813673</v>
      </c>
      <c r="K1202" s="2">
        <f t="shared" si="72"/>
        <v>1142</v>
      </c>
      <c r="L1202" s="2">
        <f t="shared" si="73"/>
        <v>0</v>
      </c>
      <c r="M1202" s="2">
        <f t="shared" si="74"/>
        <v>0</v>
      </c>
      <c r="N1202" s="2">
        <v>-0.49598733063083955</v>
      </c>
      <c r="O1202" s="2">
        <f t="shared" si="75"/>
        <v>0</v>
      </c>
      <c r="P1202" s="2">
        <v>19.55211778238845</v>
      </c>
      <c r="Q1202" s="2">
        <v>-3.6875183307466841</v>
      </c>
    </row>
    <row r="1203" spans="1:17" ht="15">
      <c r="A1203" s="2" t="s">
        <v>81</v>
      </c>
      <c r="B1203" s="2">
        <v>979.79608959285542</v>
      </c>
      <c r="C1203" s="2">
        <v>909.57222227007151</v>
      </c>
      <c r="D1203" s="2">
        <v>415.67278346046805</v>
      </c>
      <c r="E1203" s="2">
        <v>132.69795295316726</v>
      </c>
      <c r="F1203" s="2">
        <v>18.485760027077049</v>
      </c>
      <c r="G1203" s="2">
        <v>0.80559907308779666</v>
      </c>
      <c r="H1203" s="2">
        <v>14670</v>
      </c>
      <c r="I1203" s="2">
        <v>1200</v>
      </c>
      <c r="J1203" s="2">
        <f>(IF(A1203='Hybrid Calculator'!$B$6,0,1))^2+((B1203-'Hybrid Calculator'!$B$7)/1500)^2+((C1203-'Hybrid Calculator'!$B$8)/1300)^2+((D1203-'Hybrid Calculator'!$B$9)/800)^2+((E1203-'Hybrid Calculator'!$B$10)/350)^2+((F1203-'Hybrid Calculator'!$B$11)/30)^2+(G1203-'Hybrid Calculator'!$B$12)^2+((H1203-'Hybrid Calculator'!$E$14)/IF(A1203="Lightning",100,30000))^2+((I1203-'Hybrid Calculator'!$E$17)/IF(A1203="Lightning",100,30000))^2</f>
        <v>1.342981939622915</v>
      </c>
      <c r="K1203" s="2">
        <f t="shared" si="72"/>
        <v>812</v>
      </c>
      <c r="L1203" s="2">
        <f t="shared" si="73"/>
        <v>0</v>
      </c>
      <c r="M1203" s="2">
        <f t="shared" si="74"/>
        <v>0</v>
      </c>
      <c r="N1203" s="2">
        <v>-0.78503939096759723</v>
      </c>
      <c r="O1203" s="2">
        <f t="shared" si="75"/>
        <v>0</v>
      </c>
      <c r="P1203" s="2">
        <v>-30.336571554562397</v>
      </c>
      <c r="Q1203" s="2">
        <v>7.4602682419316579</v>
      </c>
    </row>
    <row r="1204" spans="1:17" ht="15">
      <c r="A1204" s="2" t="s">
        <v>81</v>
      </c>
      <c r="B1204" s="2">
        <v>1027.2839699871838</v>
      </c>
      <c r="C1204" s="2">
        <v>970.73015657952055</v>
      </c>
      <c r="D1204" s="2">
        <v>699.12289772182703</v>
      </c>
      <c r="E1204" s="2">
        <v>258.59850829700008</v>
      </c>
      <c r="F1204" s="2">
        <v>29.211525039747357</v>
      </c>
      <c r="G1204" s="2">
        <v>0.79289634823100641</v>
      </c>
      <c r="H1204" s="2">
        <v>11090</v>
      </c>
      <c r="I1204" s="2">
        <v>1195</v>
      </c>
      <c r="J1204" s="2">
        <f>(IF(A1204='Hybrid Calculator'!$B$6,0,1))^2+((B1204-'Hybrid Calculator'!$B$7)/1500)^2+((C1204-'Hybrid Calculator'!$B$8)/1300)^2+((D1204-'Hybrid Calculator'!$B$9)/800)^2+((E1204-'Hybrid Calculator'!$B$10)/350)^2+((F1204-'Hybrid Calculator'!$B$11)/30)^2+(G1204-'Hybrid Calculator'!$B$12)^2+((H1204-'Hybrid Calculator'!$E$14)/IF(A1204="Lightning",100,30000))^2+((I1204-'Hybrid Calculator'!$E$17)/IF(A1204="Lightning",100,30000))^2</f>
        <v>1.5023185669584935</v>
      </c>
      <c r="K1204" s="2">
        <f t="shared" si="72"/>
        <v>1212</v>
      </c>
      <c r="L1204" s="2">
        <f t="shared" si="73"/>
        <v>0</v>
      </c>
      <c r="M1204" s="2">
        <f t="shared" si="74"/>
        <v>0</v>
      </c>
      <c r="N1204" s="2">
        <v>-1.0563613187110832</v>
      </c>
      <c r="O1204" s="2">
        <f t="shared" si="75"/>
        <v>0</v>
      </c>
      <c r="P1204" s="2">
        <v>8.2818485504499222</v>
      </c>
      <c r="Q1204" s="2">
        <v>-14.566886027522969</v>
      </c>
    </row>
    <row r="1205" spans="1:17" ht="15">
      <c r="A1205" s="2" t="s">
        <v>81</v>
      </c>
      <c r="B1205" s="2">
        <v>968.24259978020564</v>
      </c>
      <c r="C1205" s="2">
        <v>811.50715176481754</v>
      </c>
      <c r="D1205" s="2">
        <v>500.91416323557496</v>
      </c>
      <c r="E1205" s="2">
        <v>137.49180284328759</v>
      </c>
      <c r="F1205" s="2">
        <v>16.988735050428659</v>
      </c>
      <c r="G1205" s="2">
        <v>0.85810144143644729</v>
      </c>
      <c r="H1205" s="2">
        <v>17210</v>
      </c>
      <c r="I1205" s="2">
        <v>1200</v>
      </c>
      <c r="J1205" s="2">
        <f>(IF(A1205='Hybrid Calculator'!$B$6,0,1))^2+((B1205-'Hybrid Calculator'!$B$7)/1500)^2+((C1205-'Hybrid Calculator'!$B$8)/1300)^2+((D1205-'Hybrid Calculator'!$B$9)/800)^2+((E1205-'Hybrid Calculator'!$B$10)/350)^2+((F1205-'Hybrid Calculator'!$B$11)/30)^2+(G1205-'Hybrid Calculator'!$B$12)^2+((H1205-'Hybrid Calculator'!$E$14)/IF(A1205="Lightning",100,30000))^2+((I1205-'Hybrid Calculator'!$E$17)/IF(A1205="Lightning",100,30000))^2</f>
        <v>1.4275859275625802</v>
      </c>
      <c r="K1205" s="2">
        <f t="shared" si="72"/>
        <v>1055</v>
      </c>
      <c r="L1205" s="2">
        <f t="shared" si="73"/>
        <v>0</v>
      </c>
      <c r="M1205" s="2">
        <f t="shared" si="74"/>
        <v>0</v>
      </c>
      <c r="N1205" s="2">
        <v>-5.9134678675889063E-2</v>
      </c>
      <c r="O1205" s="2">
        <f t="shared" si="75"/>
        <v>0</v>
      </c>
      <c r="P1205" s="2">
        <v>-16.09943701952534</v>
      </c>
      <c r="Q1205" s="2">
        <v>2.4890763826468856</v>
      </c>
    </row>
    <row r="1206" spans="1:17" ht="15">
      <c r="A1206" s="2" t="s">
        <v>81</v>
      </c>
      <c r="B1206" s="2">
        <v>1000.5248215049505</v>
      </c>
      <c r="C1206" s="2">
        <v>1093.6781360185705</v>
      </c>
      <c r="D1206" s="2">
        <v>351.72338057309389</v>
      </c>
      <c r="E1206" s="2">
        <v>270.29726140433922</v>
      </c>
      <c r="F1206" s="2">
        <v>17.508932484313846</v>
      </c>
      <c r="G1206" s="2">
        <v>0.8060266524297186</v>
      </c>
      <c r="H1206" s="2">
        <v>12465</v>
      </c>
      <c r="I1206" s="2">
        <v>1200</v>
      </c>
      <c r="J1206" s="2">
        <f>(IF(A1206='Hybrid Calculator'!$B$6,0,1))^2+((B1206-'Hybrid Calculator'!$B$7)/1500)^2+((C1206-'Hybrid Calculator'!$B$8)/1300)^2+((D1206-'Hybrid Calculator'!$B$9)/800)^2+((E1206-'Hybrid Calculator'!$B$10)/350)^2+((F1206-'Hybrid Calculator'!$B$11)/30)^2+(G1206-'Hybrid Calculator'!$B$12)^2+((H1206-'Hybrid Calculator'!$E$14)/IF(A1206="Lightning",100,30000))^2+((I1206-'Hybrid Calculator'!$E$17)/IF(A1206="Lightning",100,30000))^2</f>
        <v>1.4417810046371216</v>
      </c>
      <c r="K1206" s="2">
        <f t="shared" si="72"/>
        <v>1088</v>
      </c>
      <c r="L1206" s="2">
        <f t="shared" si="73"/>
        <v>0</v>
      </c>
      <c r="M1206" s="2">
        <f t="shared" si="74"/>
        <v>0</v>
      </c>
      <c r="N1206" s="2">
        <v>3.1113956945924599</v>
      </c>
      <c r="O1206" s="2">
        <f t="shared" si="75"/>
        <v>0</v>
      </c>
      <c r="P1206" s="2">
        <v>25.034188721162536</v>
      </c>
      <c r="Q1206" s="2">
        <v>4.2179877888770534E-2</v>
      </c>
    </row>
    <row r="1207" spans="1:17" ht="15">
      <c r="A1207" s="2" t="s">
        <v>81</v>
      </c>
      <c r="B1207" s="2">
        <v>981.70549893984571</v>
      </c>
      <c r="C1207" s="2">
        <v>1167.809851304628</v>
      </c>
      <c r="D1207" s="2">
        <v>378.42278042808175</v>
      </c>
      <c r="E1207" s="2">
        <v>156.88702619634569</v>
      </c>
      <c r="F1207" s="2">
        <v>24.394088965374976</v>
      </c>
      <c r="G1207" s="2">
        <v>0.84131822877097884</v>
      </c>
      <c r="H1207" s="2">
        <v>14650</v>
      </c>
      <c r="I1207" s="2">
        <v>1200</v>
      </c>
      <c r="J1207" s="2">
        <f>(IF(A1207='Hybrid Calculator'!$B$6,0,1))^2+((B1207-'Hybrid Calculator'!$B$7)/1500)^2+((C1207-'Hybrid Calculator'!$B$8)/1300)^2+((D1207-'Hybrid Calculator'!$B$9)/800)^2+((E1207-'Hybrid Calculator'!$B$10)/350)^2+((F1207-'Hybrid Calculator'!$B$11)/30)^2+(G1207-'Hybrid Calculator'!$B$12)^2+((H1207-'Hybrid Calculator'!$E$14)/IF(A1207="Lightning",100,30000))^2+((I1207-'Hybrid Calculator'!$E$17)/IF(A1207="Lightning",100,30000))^2</f>
        <v>1.4480187257789892</v>
      </c>
      <c r="K1207" s="2">
        <f t="shared" si="72"/>
        <v>1103</v>
      </c>
      <c r="L1207" s="2">
        <f t="shared" si="73"/>
        <v>0</v>
      </c>
      <c r="M1207" s="2">
        <f t="shared" si="74"/>
        <v>0</v>
      </c>
      <c r="N1207" s="2">
        <v>0.75322160192081355</v>
      </c>
      <c r="O1207" s="2">
        <f t="shared" si="75"/>
        <v>0</v>
      </c>
      <c r="P1207" s="2">
        <v>24.273220798730108</v>
      </c>
      <c r="Q1207" s="2">
        <v>-11.488173884013463</v>
      </c>
    </row>
    <row r="1208" spans="1:17" ht="15">
      <c r="A1208" s="2" t="s">
        <v>81</v>
      </c>
      <c r="B1208" s="2">
        <v>985.25535434018821</v>
      </c>
      <c r="C1208" s="2">
        <v>617.73762336233631</v>
      </c>
      <c r="D1208" s="2">
        <v>701.36700011789799</v>
      </c>
      <c r="E1208" s="2">
        <v>111.4365208032541</v>
      </c>
      <c r="F1208" s="2">
        <v>24.175018616952002</v>
      </c>
      <c r="G1208" s="2">
        <v>0.84745370092568928</v>
      </c>
      <c r="H1208" s="2">
        <v>17440</v>
      </c>
      <c r="I1208" s="2">
        <v>1200</v>
      </c>
      <c r="J1208" s="2">
        <f>(IF(A1208='Hybrid Calculator'!$B$6,0,1))^2+((B1208-'Hybrid Calculator'!$B$7)/1500)^2+((C1208-'Hybrid Calculator'!$B$8)/1300)^2+((D1208-'Hybrid Calculator'!$B$9)/800)^2+((E1208-'Hybrid Calculator'!$B$10)/350)^2+((F1208-'Hybrid Calculator'!$B$11)/30)^2+(G1208-'Hybrid Calculator'!$B$12)^2+((H1208-'Hybrid Calculator'!$E$14)/IF(A1208="Lightning",100,30000))^2+((I1208-'Hybrid Calculator'!$E$17)/IF(A1208="Lightning",100,30000))^2</f>
        <v>1.5674478695660459</v>
      </c>
      <c r="K1208" s="2">
        <f t="shared" si="72"/>
        <v>1325</v>
      </c>
      <c r="L1208" s="2">
        <f t="shared" si="73"/>
        <v>0</v>
      </c>
      <c r="M1208" s="2">
        <f t="shared" si="74"/>
        <v>0</v>
      </c>
      <c r="N1208" s="2">
        <v>-0.94641224814648695</v>
      </c>
      <c r="O1208" s="2">
        <f t="shared" si="75"/>
        <v>0</v>
      </c>
      <c r="P1208" s="2">
        <v>-59.907573855900409</v>
      </c>
      <c r="Q1208" s="2">
        <v>-1.0623472680933901</v>
      </c>
    </row>
    <row r="1209" spans="1:17" ht="15">
      <c r="A1209" s="2" t="s">
        <v>81</v>
      </c>
      <c r="B1209" s="2">
        <v>1053.8647745153867</v>
      </c>
      <c r="C1209" s="2">
        <v>813.24515300802886</v>
      </c>
      <c r="D1209" s="2">
        <v>375.69530559703708</v>
      </c>
      <c r="E1209" s="2">
        <v>188.11006079893559</v>
      </c>
      <c r="F1209" s="2">
        <v>26.301214050035924</v>
      </c>
      <c r="G1209" s="2">
        <v>0.80753223642706873</v>
      </c>
      <c r="H1209" s="2">
        <v>15530</v>
      </c>
      <c r="I1209" s="2">
        <v>1200</v>
      </c>
      <c r="J1209" s="2">
        <f>(IF(A1209='Hybrid Calculator'!$B$6,0,1))^2+((B1209-'Hybrid Calculator'!$B$7)/1500)^2+((C1209-'Hybrid Calculator'!$B$8)/1300)^2+((D1209-'Hybrid Calculator'!$B$9)/800)^2+((E1209-'Hybrid Calculator'!$B$10)/350)^2+((F1209-'Hybrid Calculator'!$B$11)/30)^2+(G1209-'Hybrid Calculator'!$B$12)^2+((H1209-'Hybrid Calculator'!$E$14)/IF(A1209="Lightning",100,30000))^2+((I1209-'Hybrid Calculator'!$E$17)/IF(A1209="Lightning",100,30000))^2</f>
        <v>1.4335836093123897</v>
      </c>
      <c r="K1209" s="2">
        <f t="shared" si="72"/>
        <v>1065</v>
      </c>
      <c r="L1209" s="2">
        <f t="shared" si="73"/>
        <v>0</v>
      </c>
      <c r="M1209" s="2">
        <f t="shared" si="74"/>
        <v>0</v>
      </c>
      <c r="N1209" s="2">
        <v>-5.3879995106999559</v>
      </c>
      <c r="O1209" s="2">
        <f t="shared" si="75"/>
        <v>0</v>
      </c>
      <c r="P1209" s="2">
        <v>-25.670141112787405</v>
      </c>
      <c r="Q1209" s="2">
        <v>-5.0679174560084448</v>
      </c>
    </row>
    <row r="1210" spans="1:17" ht="15">
      <c r="A1210" s="2" t="s">
        <v>81</v>
      </c>
      <c r="B1210" s="2">
        <v>999.2491255979985</v>
      </c>
      <c r="C1210" s="2">
        <v>973.51688564522192</v>
      </c>
      <c r="D1210" s="2">
        <v>410.01402791589499</v>
      </c>
      <c r="E1210" s="2">
        <v>170.15243389876559</v>
      </c>
      <c r="F1210" s="2">
        <v>11.43660556897521</v>
      </c>
      <c r="G1210" s="2">
        <v>0.83161243502283477</v>
      </c>
      <c r="H1210" s="2">
        <v>13765</v>
      </c>
      <c r="I1210" s="2">
        <v>1200</v>
      </c>
      <c r="J1210" s="2">
        <f>(IF(A1210='Hybrid Calculator'!$B$6,0,1))^2+((B1210-'Hybrid Calculator'!$B$7)/1500)^2+((C1210-'Hybrid Calculator'!$B$8)/1300)^2+((D1210-'Hybrid Calculator'!$B$9)/800)^2+((E1210-'Hybrid Calculator'!$B$10)/350)^2+((F1210-'Hybrid Calculator'!$B$11)/30)^2+(G1210-'Hybrid Calculator'!$B$12)^2+((H1210-'Hybrid Calculator'!$E$14)/IF(A1210="Lightning",100,30000))^2+((I1210-'Hybrid Calculator'!$E$17)/IF(A1210="Lightning",100,30000))^2</f>
        <v>1.371662018157418</v>
      </c>
      <c r="K1210" s="2">
        <f t="shared" si="72"/>
        <v>895</v>
      </c>
      <c r="L1210" s="2">
        <f t="shared" si="73"/>
        <v>0</v>
      </c>
      <c r="M1210" s="2">
        <f t="shared" si="74"/>
        <v>0</v>
      </c>
      <c r="N1210" s="2">
        <v>0.30235324171684397</v>
      </c>
      <c r="O1210" s="2">
        <f t="shared" si="75"/>
        <v>0</v>
      </c>
      <c r="P1210" s="2">
        <v>-29.671840417753629</v>
      </c>
      <c r="Q1210" s="2">
        <v>8.8638068179296852</v>
      </c>
    </row>
    <row r="1211" spans="1:17" ht="15">
      <c r="A1211" s="2" t="s">
        <v>81</v>
      </c>
      <c r="B1211" s="2">
        <v>986.48914956720546</v>
      </c>
      <c r="C1211" s="2">
        <v>760.73871057014912</v>
      </c>
      <c r="D1211" s="2">
        <v>415.01905219629407</v>
      </c>
      <c r="E1211" s="2">
        <v>287.6776409521699</v>
      </c>
      <c r="F1211" s="2">
        <v>24.220415534917265</v>
      </c>
      <c r="G1211" s="2">
        <v>0.82933285224717113</v>
      </c>
      <c r="H1211" s="2">
        <v>17050</v>
      </c>
      <c r="I1211" s="2">
        <v>1200</v>
      </c>
      <c r="J1211" s="2">
        <f>(IF(A1211='Hybrid Calculator'!$B$6,0,1))^2+((B1211-'Hybrid Calculator'!$B$7)/1500)^2+((C1211-'Hybrid Calculator'!$B$8)/1300)^2+((D1211-'Hybrid Calculator'!$B$9)/800)^2+((E1211-'Hybrid Calculator'!$B$10)/350)^2+((F1211-'Hybrid Calculator'!$B$11)/30)^2+(G1211-'Hybrid Calculator'!$B$12)^2+((H1211-'Hybrid Calculator'!$E$14)/IF(A1211="Lightning",100,30000))^2+((I1211-'Hybrid Calculator'!$E$17)/IF(A1211="Lightning",100,30000))^2</f>
        <v>1.6152886314940964</v>
      </c>
      <c r="K1211" s="2">
        <f t="shared" si="72"/>
        <v>1362</v>
      </c>
      <c r="L1211" s="2">
        <f t="shared" si="73"/>
        <v>0</v>
      </c>
      <c r="M1211" s="2">
        <f t="shared" si="74"/>
        <v>0</v>
      </c>
      <c r="N1211" s="2">
        <v>-2.9815501570384129</v>
      </c>
      <c r="O1211" s="2">
        <f t="shared" si="75"/>
        <v>0</v>
      </c>
      <c r="P1211" s="2">
        <v>-39.05619160142578</v>
      </c>
      <c r="Q1211" s="2">
        <v>-1.1488297755955728</v>
      </c>
    </row>
    <row r="1212" spans="1:17" ht="15">
      <c r="A1212" s="2" t="s">
        <v>81</v>
      </c>
      <c r="B1212" s="2">
        <v>980.80564069095999</v>
      </c>
      <c r="C1212" s="2">
        <v>792.75236978428438</v>
      </c>
      <c r="D1212" s="2">
        <v>744.92884203791618</v>
      </c>
      <c r="E1212" s="2">
        <v>220.76271973317489</v>
      </c>
      <c r="F1212" s="2">
        <v>19.007115340791643</v>
      </c>
      <c r="G1212" s="2">
        <v>0.79590585740050301</v>
      </c>
      <c r="H1212" s="2">
        <v>12160</v>
      </c>
      <c r="I1212" s="2">
        <v>1200</v>
      </c>
      <c r="J1212" s="2">
        <f>(IF(A1212='Hybrid Calculator'!$B$6,0,1))^2+((B1212-'Hybrid Calculator'!$B$7)/1500)^2+((C1212-'Hybrid Calculator'!$B$8)/1300)^2+((D1212-'Hybrid Calculator'!$B$9)/800)^2+((E1212-'Hybrid Calculator'!$B$10)/350)^2+((F1212-'Hybrid Calculator'!$B$11)/30)^2+(G1212-'Hybrid Calculator'!$B$12)^2+((H1212-'Hybrid Calculator'!$E$14)/IF(A1212="Lightning",100,30000))^2+((I1212-'Hybrid Calculator'!$E$17)/IF(A1212="Lightning",100,30000))^2</f>
        <v>1.389590041401241</v>
      </c>
      <c r="K1212" s="2">
        <f t="shared" si="72"/>
        <v>950</v>
      </c>
      <c r="L1212" s="2">
        <f t="shared" si="73"/>
        <v>0</v>
      </c>
      <c r="M1212" s="2">
        <f t="shared" si="74"/>
        <v>0</v>
      </c>
      <c r="N1212" s="2">
        <v>-1.0095698484079207</v>
      </c>
      <c r="O1212" s="2">
        <f t="shared" si="75"/>
        <v>0</v>
      </c>
      <c r="P1212" s="2">
        <v>-37.609388871985175</v>
      </c>
      <c r="Q1212" s="2">
        <v>-1.9421848775476747</v>
      </c>
    </row>
    <row r="1213" spans="1:17" ht="15">
      <c r="A1213" s="2" t="s">
        <v>81</v>
      </c>
      <c r="B1213" s="2">
        <v>1074.4715059059672</v>
      </c>
      <c r="C1213" s="2">
        <v>1114.7060792893171</v>
      </c>
      <c r="D1213" s="2">
        <v>559.27583565935493</v>
      </c>
      <c r="E1213" s="2">
        <v>176.73629805911332</v>
      </c>
      <c r="F1213" s="2">
        <v>12.007857815828174</v>
      </c>
      <c r="G1213" s="2">
        <v>0.8368503216188401</v>
      </c>
      <c r="H1213" s="2">
        <v>11555</v>
      </c>
      <c r="I1213" s="2">
        <v>1195</v>
      </c>
      <c r="J1213" s="2">
        <f>(IF(A1213='Hybrid Calculator'!$B$6,0,1))^2+((B1213-'Hybrid Calculator'!$B$7)/1500)^2+((C1213-'Hybrid Calculator'!$B$8)/1300)^2+((D1213-'Hybrid Calculator'!$B$9)/800)^2+((E1213-'Hybrid Calculator'!$B$10)/350)^2+((F1213-'Hybrid Calculator'!$B$11)/30)^2+(G1213-'Hybrid Calculator'!$B$12)^2+((H1213-'Hybrid Calculator'!$E$14)/IF(A1213="Lightning",100,30000))^2+((I1213-'Hybrid Calculator'!$E$17)/IF(A1213="Lightning",100,30000))^2</f>
        <v>1.3031036953415713</v>
      </c>
      <c r="K1213" s="2">
        <f t="shared" si="72"/>
        <v>736</v>
      </c>
      <c r="L1213" s="2">
        <f t="shared" si="73"/>
        <v>0</v>
      </c>
      <c r="M1213" s="2">
        <f t="shared" si="74"/>
        <v>0</v>
      </c>
      <c r="N1213" s="2">
        <v>3.7931528573634523</v>
      </c>
      <c r="O1213" s="2">
        <f t="shared" si="75"/>
        <v>0</v>
      </c>
      <c r="P1213" s="2">
        <v>18.030944177424772</v>
      </c>
      <c r="Q1213" s="2">
        <v>-4.5547754001333942</v>
      </c>
    </row>
    <row r="1214" spans="1:17" ht="15">
      <c r="A1214" s="2" t="s">
        <v>81</v>
      </c>
      <c r="B1214" s="2">
        <v>1001.1637317948043</v>
      </c>
      <c r="C1214" s="2">
        <v>1016.329084651079</v>
      </c>
      <c r="D1214" s="2">
        <v>733.42955056577921</v>
      </c>
      <c r="E1214" s="2">
        <v>184.42668298492208</v>
      </c>
      <c r="F1214" s="2">
        <v>19.749097416177392</v>
      </c>
      <c r="G1214" s="2">
        <v>0.83317777569638574</v>
      </c>
      <c r="H1214" s="2">
        <v>11055</v>
      </c>
      <c r="I1214" s="2">
        <v>1195</v>
      </c>
      <c r="J1214" s="2">
        <f>(IF(A1214='Hybrid Calculator'!$B$6,0,1))^2+((B1214-'Hybrid Calculator'!$B$7)/1500)^2+((C1214-'Hybrid Calculator'!$B$8)/1300)^2+((D1214-'Hybrid Calculator'!$B$9)/800)^2+((E1214-'Hybrid Calculator'!$B$10)/350)^2+((F1214-'Hybrid Calculator'!$B$11)/30)^2+(G1214-'Hybrid Calculator'!$B$12)^2+((H1214-'Hybrid Calculator'!$E$14)/IF(A1214="Lightning",100,30000))^2+((I1214-'Hybrid Calculator'!$E$17)/IF(A1214="Lightning",100,30000))^2</f>
        <v>1.3290184296164154</v>
      </c>
      <c r="K1214" s="2">
        <f t="shared" si="72"/>
        <v>774</v>
      </c>
      <c r="L1214" s="2">
        <f t="shared" si="73"/>
        <v>0</v>
      </c>
      <c r="M1214" s="2">
        <f t="shared" si="74"/>
        <v>0</v>
      </c>
      <c r="N1214" s="2">
        <v>1.3451362500213975</v>
      </c>
      <c r="O1214" s="2">
        <f t="shared" si="75"/>
        <v>0</v>
      </c>
      <c r="P1214" s="2">
        <v>19.123249326919904</v>
      </c>
      <c r="Q1214" s="2">
        <v>-6.9547289961336674</v>
      </c>
    </row>
    <row r="1215" spans="1:17" ht="15">
      <c r="A1215" s="2" t="s">
        <v>81</v>
      </c>
      <c r="B1215" s="2">
        <v>1068.8529086881317</v>
      </c>
      <c r="C1215" s="2">
        <v>700.72533630300313</v>
      </c>
      <c r="D1215" s="2">
        <v>530.83319300785661</v>
      </c>
      <c r="E1215" s="2">
        <v>245.63661978580058</v>
      </c>
      <c r="F1215" s="2">
        <v>17.113803856540471</v>
      </c>
      <c r="G1215" s="2">
        <v>0.83950210182461893</v>
      </c>
      <c r="H1215" s="2">
        <v>14475</v>
      </c>
      <c r="I1215" s="2">
        <v>1200</v>
      </c>
      <c r="J1215" s="2">
        <f>(IF(A1215='Hybrid Calculator'!$B$6,0,1))^2+((B1215-'Hybrid Calculator'!$B$7)/1500)^2+((C1215-'Hybrid Calculator'!$B$8)/1300)^2+((D1215-'Hybrid Calculator'!$B$9)/800)^2+((E1215-'Hybrid Calculator'!$B$10)/350)^2+((F1215-'Hybrid Calculator'!$B$11)/30)^2+(G1215-'Hybrid Calculator'!$B$12)^2+((H1215-'Hybrid Calculator'!$E$14)/IF(A1215="Lightning",100,30000))^2+((I1215-'Hybrid Calculator'!$E$17)/IF(A1215="Lightning",100,30000))^2</f>
        <v>1.3809585628343373</v>
      </c>
      <c r="K1215" s="2">
        <f t="shared" si="72"/>
        <v>920</v>
      </c>
      <c r="L1215" s="2">
        <f t="shared" si="73"/>
        <v>0</v>
      </c>
      <c r="M1215" s="2">
        <f t="shared" si="74"/>
        <v>0</v>
      </c>
      <c r="N1215" s="2">
        <v>-2.1550411139553205</v>
      </c>
      <c r="O1215" s="2">
        <f t="shared" si="75"/>
        <v>0</v>
      </c>
      <c r="P1215" s="2">
        <v>3.8522260475406256</v>
      </c>
      <c r="Q1215" s="2">
        <v>0.34516026082678763</v>
      </c>
    </row>
    <row r="1216" spans="1:17" ht="15">
      <c r="A1216" s="2" t="s">
        <v>81</v>
      </c>
      <c r="B1216" s="2">
        <v>1041.9417243218049</v>
      </c>
      <c r="C1216" s="2">
        <v>747.71010928088799</v>
      </c>
      <c r="D1216" s="2">
        <v>518.05843226611614</v>
      </c>
      <c r="E1216" s="2">
        <v>302.74684131843969</v>
      </c>
      <c r="F1216" s="2">
        <v>29.565506075508893</v>
      </c>
      <c r="G1216" s="2">
        <v>0.81288946495158598</v>
      </c>
      <c r="H1216" s="2">
        <v>13635</v>
      </c>
      <c r="I1216" s="2">
        <v>1200</v>
      </c>
      <c r="J1216" s="2">
        <f>(IF(A1216='Hybrid Calculator'!$B$6,0,1))^2+((B1216-'Hybrid Calculator'!$B$7)/1500)^2+((C1216-'Hybrid Calculator'!$B$8)/1300)^2+((D1216-'Hybrid Calculator'!$B$9)/800)^2+((E1216-'Hybrid Calculator'!$B$10)/350)^2+((F1216-'Hybrid Calculator'!$B$11)/30)^2+(G1216-'Hybrid Calculator'!$B$12)^2+((H1216-'Hybrid Calculator'!$E$14)/IF(A1216="Lightning",100,30000))^2+((I1216-'Hybrid Calculator'!$E$17)/IF(A1216="Lightning",100,30000))^2</f>
        <v>1.6050708577072723</v>
      </c>
      <c r="K1216" s="2">
        <f t="shared" si="72"/>
        <v>1356</v>
      </c>
      <c r="L1216" s="2">
        <f t="shared" si="73"/>
        <v>0</v>
      </c>
      <c r="M1216" s="2">
        <f t="shared" si="74"/>
        <v>0</v>
      </c>
      <c r="N1216" s="2">
        <v>-3.5070636510743043</v>
      </c>
      <c r="O1216" s="2">
        <f t="shared" si="75"/>
        <v>0</v>
      </c>
      <c r="P1216" s="2">
        <v>-50.584989532845611</v>
      </c>
      <c r="Q1216" s="2">
        <v>-3.0469024098242699</v>
      </c>
    </row>
    <row r="1217" spans="1:17" ht="15">
      <c r="A1217" s="2" t="s">
        <v>81</v>
      </c>
      <c r="B1217" s="2">
        <v>1092.8434766246937</v>
      </c>
      <c r="C1217" s="2">
        <v>917.80196172185242</v>
      </c>
      <c r="D1217" s="2">
        <v>727.71030692383647</v>
      </c>
      <c r="E1217" s="2">
        <v>294.41224252339453</v>
      </c>
      <c r="F1217" s="2">
        <v>16.536285690497607</v>
      </c>
      <c r="G1217" s="2">
        <v>0.82860331660136588</v>
      </c>
      <c r="H1217" s="2">
        <v>11025</v>
      </c>
      <c r="I1217" s="2">
        <v>1195</v>
      </c>
      <c r="J1217" s="2">
        <f>(IF(A1217='Hybrid Calculator'!$B$6,0,1))^2+((B1217-'Hybrid Calculator'!$B$7)/1500)^2+((C1217-'Hybrid Calculator'!$B$8)/1300)^2+((D1217-'Hybrid Calculator'!$B$9)/800)^2+((E1217-'Hybrid Calculator'!$B$10)/350)^2+((F1217-'Hybrid Calculator'!$B$11)/30)^2+(G1217-'Hybrid Calculator'!$B$12)^2+((H1217-'Hybrid Calculator'!$E$14)/IF(A1217="Lightning",100,30000))^2+((I1217-'Hybrid Calculator'!$E$17)/IF(A1217="Lightning",100,30000))^2</f>
        <v>1.4427312827644447</v>
      </c>
      <c r="K1217" s="2">
        <f t="shared" si="72"/>
        <v>1092</v>
      </c>
      <c r="L1217" s="2">
        <f t="shared" si="73"/>
        <v>0</v>
      </c>
      <c r="M1217" s="2">
        <f t="shared" si="74"/>
        <v>0</v>
      </c>
      <c r="N1217" s="2">
        <v>3.7417539068613905</v>
      </c>
      <c r="O1217" s="2">
        <f t="shared" si="75"/>
        <v>0</v>
      </c>
      <c r="P1217" s="2">
        <v>46.848569414486064</v>
      </c>
      <c r="Q1217" s="2">
        <v>-1.7033090287418418</v>
      </c>
    </row>
    <row r="1218" spans="1:17" ht="15">
      <c r="A1218" s="2" t="s">
        <v>81</v>
      </c>
      <c r="B1218" s="2">
        <v>950.36614709533751</v>
      </c>
      <c r="C1218" s="2">
        <v>801.08427124796435</v>
      </c>
      <c r="D1218" s="2">
        <v>503.87273859232664</v>
      </c>
      <c r="E1218" s="2">
        <v>276.64536352502182</v>
      </c>
      <c r="F1218" s="2">
        <v>24.080986253917217</v>
      </c>
      <c r="G1218" s="2">
        <v>0.81175662668654702</v>
      </c>
      <c r="H1218" s="2">
        <v>15775</v>
      </c>
      <c r="I1218" s="2">
        <v>1200</v>
      </c>
      <c r="J1218" s="2">
        <f>(IF(A1218='Hybrid Calculator'!$B$6,0,1))^2+((B1218-'Hybrid Calculator'!$B$7)/1500)^2+((C1218-'Hybrid Calculator'!$B$8)/1300)^2+((D1218-'Hybrid Calculator'!$B$9)/800)^2+((E1218-'Hybrid Calculator'!$B$10)/350)^2+((F1218-'Hybrid Calculator'!$B$11)/30)^2+(G1218-'Hybrid Calculator'!$B$12)^2+((H1218-'Hybrid Calculator'!$E$14)/IF(A1218="Lightning",100,30000))^2+((I1218-'Hybrid Calculator'!$E$17)/IF(A1218="Lightning",100,30000))^2</f>
        <v>1.5434544149580296</v>
      </c>
      <c r="K1218" s="2">
        <f t="shared" ref="K1218:K1281" si="76">RANK(J1218,$J$2:$J$1401,1)</f>
        <v>1287</v>
      </c>
      <c r="L1218" s="2">
        <f t="shared" ref="L1218:L1281" si="77">IF(K1218&lt;=7,1,0)</f>
        <v>0</v>
      </c>
      <c r="M1218" s="2">
        <f t="shared" ref="M1218:M1281" si="78">IF(L1218=1,1/(J1218+0.000001),0)</f>
        <v>0</v>
      </c>
      <c r="N1218" s="2">
        <v>-1.2001681531206145</v>
      </c>
      <c r="O1218" s="2">
        <f t="shared" ref="O1218:O1281" si="79">M1218</f>
        <v>0</v>
      </c>
      <c r="P1218" s="2">
        <v>-30.575804158113897</v>
      </c>
      <c r="Q1218" s="2">
        <v>1.6470592957024337</v>
      </c>
    </row>
    <row r="1219" spans="1:17" ht="15">
      <c r="A1219" s="2" t="s">
        <v>81</v>
      </c>
      <c r="B1219" s="2">
        <v>1006.0816249926575</v>
      </c>
      <c r="C1219" s="2">
        <v>1043.0880959844217</v>
      </c>
      <c r="D1219" s="2">
        <v>606.25393958762288</v>
      </c>
      <c r="E1219" s="2">
        <v>319.51204819604754</v>
      </c>
      <c r="F1219" s="2">
        <v>16.891565694008023</v>
      </c>
      <c r="G1219" s="2">
        <v>0.79821009033825252</v>
      </c>
      <c r="H1219" s="2">
        <v>10860</v>
      </c>
      <c r="I1219" s="2">
        <v>1195</v>
      </c>
      <c r="J1219" s="2">
        <f>(IF(A1219='Hybrid Calculator'!$B$6,0,1))^2+((B1219-'Hybrid Calculator'!$B$7)/1500)^2+((C1219-'Hybrid Calculator'!$B$8)/1300)^2+((D1219-'Hybrid Calculator'!$B$9)/800)^2+((E1219-'Hybrid Calculator'!$B$10)/350)^2+((F1219-'Hybrid Calculator'!$B$11)/30)^2+(G1219-'Hybrid Calculator'!$B$12)^2+((H1219-'Hybrid Calculator'!$E$14)/IF(A1219="Lightning",100,30000))^2+((I1219-'Hybrid Calculator'!$E$17)/IF(A1219="Lightning",100,30000))^2</f>
        <v>1.4869745550583966</v>
      </c>
      <c r="K1219" s="2">
        <f t="shared" si="76"/>
        <v>1187</v>
      </c>
      <c r="L1219" s="2">
        <f t="shared" si="77"/>
        <v>0</v>
      </c>
      <c r="M1219" s="2">
        <f t="shared" si="78"/>
        <v>0</v>
      </c>
      <c r="N1219" s="2">
        <v>1.6431034147552737</v>
      </c>
      <c r="O1219" s="2">
        <f t="shared" si="79"/>
        <v>0</v>
      </c>
      <c r="P1219" s="2">
        <v>-16.052863801935018</v>
      </c>
      <c r="Q1219" s="2">
        <v>-9.5609686796613005</v>
      </c>
    </row>
    <row r="1220" spans="1:17" ht="15">
      <c r="A1220" s="2" t="s">
        <v>81</v>
      </c>
      <c r="B1220" s="2">
        <v>955.34440218470991</v>
      </c>
      <c r="C1220" s="2">
        <v>714.64570079697296</v>
      </c>
      <c r="D1220" s="2">
        <v>681.42354693263769</v>
      </c>
      <c r="E1220" s="2">
        <v>126.17827368201688</v>
      </c>
      <c r="F1220" s="2">
        <v>25.601544607430696</v>
      </c>
      <c r="G1220" s="2">
        <v>0.79709920585388316</v>
      </c>
      <c r="H1220" s="2">
        <v>16390</v>
      </c>
      <c r="I1220" s="2">
        <v>1200</v>
      </c>
      <c r="J1220" s="2">
        <f>(IF(A1220='Hybrid Calculator'!$B$6,0,1))^2+((B1220-'Hybrid Calculator'!$B$7)/1500)^2+((C1220-'Hybrid Calculator'!$B$8)/1300)^2+((D1220-'Hybrid Calculator'!$B$9)/800)^2+((E1220-'Hybrid Calculator'!$B$10)/350)^2+((F1220-'Hybrid Calculator'!$B$11)/30)^2+(G1220-'Hybrid Calculator'!$B$12)^2+((H1220-'Hybrid Calculator'!$E$14)/IF(A1220="Lightning",100,30000))^2+((I1220-'Hybrid Calculator'!$E$17)/IF(A1220="Lightning",100,30000))^2</f>
        <v>1.5196917426518324</v>
      </c>
      <c r="K1220" s="2">
        <f t="shared" si="76"/>
        <v>1247</v>
      </c>
      <c r="L1220" s="2">
        <f t="shared" si="77"/>
        <v>0</v>
      </c>
      <c r="M1220" s="2">
        <f t="shared" si="78"/>
        <v>0</v>
      </c>
      <c r="N1220" s="2">
        <v>-0.30408527719453105</v>
      </c>
      <c r="O1220" s="2">
        <f t="shared" si="79"/>
        <v>0</v>
      </c>
      <c r="P1220" s="2">
        <v>-39.134905721428368</v>
      </c>
      <c r="Q1220" s="2">
        <v>-2.5352454320685638</v>
      </c>
    </row>
    <row r="1221" spans="1:17" ht="15">
      <c r="A1221" s="2" t="s">
        <v>81</v>
      </c>
      <c r="B1221" s="2">
        <v>982.70025720121339</v>
      </c>
      <c r="C1221" s="2">
        <v>951.12153112422675</v>
      </c>
      <c r="D1221" s="2">
        <v>731.56229900196195</v>
      </c>
      <c r="E1221" s="2">
        <v>130.10839365422726</v>
      </c>
      <c r="F1221" s="2">
        <v>28.50085803354159</v>
      </c>
      <c r="G1221" s="2">
        <v>0.84699201523792</v>
      </c>
      <c r="H1221" s="2">
        <v>13765</v>
      </c>
      <c r="I1221" s="2">
        <v>1200</v>
      </c>
      <c r="J1221" s="2">
        <f>(IF(A1221='Hybrid Calculator'!$B$6,0,1))^2+((B1221-'Hybrid Calculator'!$B$7)/1500)^2+((C1221-'Hybrid Calculator'!$B$8)/1300)^2+((D1221-'Hybrid Calculator'!$B$9)/800)^2+((E1221-'Hybrid Calculator'!$B$10)/350)^2+((F1221-'Hybrid Calculator'!$B$11)/30)^2+(G1221-'Hybrid Calculator'!$B$12)^2+((H1221-'Hybrid Calculator'!$E$14)/IF(A1221="Lightning",100,30000))^2+((I1221-'Hybrid Calculator'!$E$17)/IF(A1221="Lightning",100,30000))^2</f>
        <v>1.5024039910386224</v>
      </c>
      <c r="K1221" s="2">
        <f t="shared" si="76"/>
        <v>1213</v>
      </c>
      <c r="L1221" s="2">
        <f t="shared" si="77"/>
        <v>0</v>
      </c>
      <c r="M1221" s="2">
        <f t="shared" si="78"/>
        <v>0</v>
      </c>
      <c r="N1221" s="2">
        <v>-1.6047744524082361</v>
      </c>
      <c r="O1221" s="2">
        <f t="shared" si="79"/>
        <v>0</v>
      </c>
      <c r="P1221" s="2">
        <v>-9.7068452978114692</v>
      </c>
      <c r="Q1221" s="2">
        <v>-11.884935692430304</v>
      </c>
    </row>
    <row r="1222" spans="1:17" ht="15">
      <c r="A1222" s="2" t="s">
        <v>81</v>
      </c>
      <c r="B1222" s="2">
        <v>1043.6201175907627</v>
      </c>
      <c r="C1222" s="2">
        <v>650.4528273944743</v>
      </c>
      <c r="D1222" s="2">
        <v>439.82336595654488</v>
      </c>
      <c r="E1222" s="2">
        <v>162.90375437354669</v>
      </c>
      <c r="F1222" s="2">
        <v>23.907374649308622</v>
      </c>
      <c r="G1222" s="2">
        <v>0.84721429584315056</v>
      </c>
      <c r="H1222" s="2">
        <v>17065</v>
      </c>
      <c r="I1222" s="2">
        <v>1200</v>
      </c>
      <c r="J1222" s="2">
        <f>(IF(A1222='Hybrid Calculator'!$B$6,0,1))^2+((B1222-'Hybrid Calculator'!$B$7)/1500)^2+((C1222-'Hybrid Calculator'!$B$8)/1300)^2+((D1222-'Hybrid Calculator'!$B$9)/800)^2+((E1222-'Hybrid Calculator'!$B$10)/350)^2+((F1222-'Hybrid Calculator'!$B$11)/30)^2+(G1222-'Hybrid Calculator'!$B$12)^2+((H1222-'Hybrid Calculator'!$E$14)/IF(A1222="Lightning",100,30000))^2+((I1222-'Hybrid Calculator'!$E$17)/IF(A1222="Lightning",100,30000))^2</f>
        <v>1.4516649370699513</v>
      </c>
      <c r="K1222" s="2">
        <f t="shared" si="76"/>
        <v>1111</v>
      </c>
      <c r="L1222" s="2">
        <f t="shared" si="77"/>
        <v>0</v>
      </c>
      <c r="M1222" s="2">
        <f t="shared" si="78"/>
        <v>0</v>
      </c>
      <c r="N1222" s="2">
        <v>-0.52125272145840995</v>
      </c>
      <c r="O1222" s="2">
        <f t="shared" si="79"/>
        <v>0</v>
      </c>
      <c r="P1222" s="2">
        <v>-28.079134275506931</v>
      </c>
      <c r="Q1222" s="2">
        <v>-0.3750014715819816</v>
      </c>
    </row>
    <row r="1223" spans="1:17" ht="15">
      <c r="A1223" s="2" t="s">
        <v>81</v>
      </c>
      <c r="B1223" s="2">
        <v>1038.7915998580866</v>
      </c>
      <c r="C1223" s="2">
        <v>1133.7105689570308</v>
      </c>
      <c r="D1223" s="2">
        <v>496.60762092098594</v>
      </c>
      <c r="E1223" s="2">
        <v>170.40043328423053</v>
      </c>
      <c r="F1223" s="2">
        <v>15.940189579036087</v>
      </c>
      <c r="G1223" s="2">
        <v>0.84489444687031212</v>
      </c>
      <c r="H1223" s="2">
        <v>11875</v>
      </c>
      <c r="I1223" s="2">
        <v>1195</v>
      </c>
      <c r="J1223" s="2">
        <f>(IF(A1223='Hybrid Calculator'!$B$6,0,1))^2+((B1223-'Hybrid Calculator'!$B$7)/1500)^2+((C1223-'Hybrid Calculator'!$B$8)/1300)^2+((D1223-'Hybrid Calculator'!$B$9)/800)^2+((E1223-'Hybrid Calculator'!$B$10)/350)^2+((F1223-'Hybrid Calculator'!$B$11)/30)^2+(G1223-'Hybrid Calculator'!$B$12)^2+((H1223-'Hybrid Calculator'!$E$14)/IF(A1223="Lightning",100,30000))^2+((I1223-'Hybrid Calculator'!$E$17)/IF(A1223="Lightning",100,30000))^2</f>
        <v>1.2821243296139166</v>
      </c>
      <c r="K1223" s="2">
        <f t="shared" si="76"/>
        <v>711</v>
      </c>
      <c r="L1223" s="2">
        <f t="shared" si="77"/>
        <v>0</v>
      </c>
      <c r="M1223" s="2">
        <f t="shared" si="78"/>
        <v>0</v>
      </c>
      <c r="N1223" s="2">
        <v>0.96286665575360075</v>
      </c>
      <c r="O1223" s="2">
        <f t="shared" si="79"/>
        <v>0</v>
      </c>
      <c r="P1223" s="2">
        <v>59.864524681720013</v>
      </c>
      <c r="Q1223" s="2">
        <v>3.5059303485211331</v>
      </c>
    </row>
    <row r="1224" spans="1:17" ht="15">
      <c r="A1224" s="2" t="s">
        <v>81</v>
      </c>
      <c r="B1224" s="2">
        <v>1088.0655230022967</v>
      </c>
      <c r="C1224" s="2">
        <v>817.03757321229205</v>
      </c>
      <c r="D1224" s="2">
        <v>639.22792170196772</v>
      </c>
      <c r="E1224" s="2">
        <v>80.498848094139248</v>
      </c>
      <c r="F1224" s="2">
        <v>21.564398350194097</v>
      </c>
      <c r="G1224" s="2">
        <v>0.83886430255370215</v>
      </c>
      <c r="H1224" s="2">
        <v>13915</v>
      </c>
      <c r="I1224" s="2">
        <v>1200</v>
      </c>
      <c r="J1224" s="2">
        <f>(IF(A1224='Hybrid Calculator'!$B$6,0,1))^2+((B1224-'Hybrid Calculator'!$B$7)/1500)^2+((C1224-'Hybrid Calculator'!$B$8)/1300)^2+((D1224-'Hybrid Calculator'!$B$9)/800)^2+((E1224-'Hybrid Calculator'!$B$10)/350)^2+((F1224-'Hybrid Calculator'!$B$11)/30)^2+(G1224-'Hybrid Calculator'!$B$12)^2+((H1224-'Hybrid Calculator'!$E$14)/IF(A1224="Lightning",100,30000))^2+((I1224-'Hybrid Calculator'!$E$17)/IF(A1224="Lightning",100,30000))^2</f>
        <v>1.3467403116346992</v>
      </c>
      <c r="K1224" s="2">
        <f t="shared" si="76"/>
        <v>824</v>
      </c>
      <c r="L1224" s="2">
        <f t="shared" si="77"/>
        <v>0</v>
      </c>
      <c r="M1224" s="2">
        <f t="shared" si="78"/>
        <v>0</v>
      </c>
      <c r="N1224" s="2">
        <v>1.9789747605084358</v>
      </c>
      <c r="O1224" s="2">
        <f t="shared" si="79"/>
        <v>0</v>
      </c>
      <c r="P1224" s="2">
        <v>-27.845091254032468</v>
      </c>
      <c r="Q1224" s="2">
        <v>4.2106494522906814</v>
      </c>
    </row>
    <row r="1225" spans="1:17" ht="15">
      <c r="A1225" s="2" t="s">
        <v>81</v>
      </c>
      <c r="B1225" s="2">
        <v>975.62208209419623</v>
      </c>
      <c r="C1225" s="2">
        <v>736.96816426236182</v>
      </c>
      <c r="D1225" s="2">
        <v>495.88491702452302</v>
      </c>
      <c r="E1225" s="2">
        <v>321.21089582331479</v>
      </c>
      <c r="F1225" s="2">
        <v>19.03408207045868</v>
      </c>
      <c r="G1225" s="2">
        <v>0.81752853611949838</v>
      </c>
      <c r="H1225" s="2">
        <v>16055</v>
      </c>
      <c r="I1225" s="2">
        <v>1200</v>
      </c>
      <c r="J1225" s="2">
        <f>(IF(A1225='Hybrid Calculator'!$B$6,0,1))^2+((B1225-'Hybrid Calculator'!$B$7)/1500)^2+((C1225-'Hybrid Calculator'!$B$8)/1300)^2+((D1225-'Hybrid Calculator'!$B$9)/800)^2+((E1225-'Hybrid Calculator'!$B$10)/350)^2+((F1225-'Hybrid Calculator'!$B$11)/30)^2+(G1225-'Hybrid Calculator'!$B$12)^2+((H1225-'Hybrid Calculator'!$E$14)/IF(A1225="Lightning",100,30000))^2+((I1225-'Hybrid Calculator'!$E$17)/IF(A1225="Lightning",100,30000))^2</f>
        <v>1.6231081915224741</v>
      </c>
      <c r="K1225" s="2">
        <f t="shared" si="76"/>
        <v>1364</v>
      </c>
      <c r="L1225" s="2">
        <f t="shared" si="77"/>
        <v>0</v>
      </c>
      <c r="M1225" s="2">
        <f t="shared" si="78"/>
        <v>0</v>
      </c>
      <c r="N1225" s="2">
        <v>-1.3143568193367514</v>
      </c>
      <c r="O1225" s="2">
        <f t="shared" si="79"/>
        <v>0</v>
      </c>
      <c r="P1225" s="2">
        <v>-56.339527310245103</v>
      </c>
      <c r="Q1225" s="2">
        <v>6.9871702472725019</v>
      </c>
    </row>
    <row r="1226" spans="1:17" ht="15">
      <c r="A1226" s="2" t="s">
        <v>81</v>
      </c>
      <c r="B1226" s="2">
        <v>1063.5380605002865</v>
      </c>
      <c r="C1226" s="2">
        <v>710.77921983087435</v>
      </c>
      <c r="D1226" s="2">
        <v>555.74348829686642</v>
      </c>
      <c r="E1226" s="2">
        <v>126.4278316940181</v>
      </c>
      <c r="F1226" s="2">
        <v>16.409938124008477</v>
      </c>
      <c r="G1226" s="2">
        <v>0.79461160194827252</v>
      </c>
      <c r="H1226" s="2">
        <v>15355</v>
      </c>
      <c r="I1226" s="2">
        <v>1200</v>
      </c>
      <c r="J1226" s="2">
        <f>(IF(A1226='Hybrid Calculator'!$B$6,0,1))^2+((B1226-'Hybrid Calculator'!$B$7)/1500)^2+((C1226-'Hybrid Calculator'!$B$8)/1300)^2+((D1226-'Hybrid Calculator'!$B$9)/800)^2+((E1226-'Hybrid Calculator'!$B$10)/350)^2+((F1226-'Hybrid Calculator'!$B$11)/30)^2+(G1226-'Hybrid Calculator'!$B$12)^2+((H1226-'Hybrid Calculator'!$E$14)/IF(A1226="Lightning",100,30000))^2+((I1226-'Hybrid Calculator'!$E$17)/IF(A1226="Lightning",100,30000))^2</f>
        <v>1.3462311276895571</v>
      </c>
      <c r="K1226" s="2">
        <f t="shared" si="76"/>
        <v>823</v>
      </c>
      <c r="L1226" s="2">
        <f t="shared" si="77"/>
        <v>0</v>
      </c>
      <c r="M1226" s="2">
        <f t="shared" si="78"/>
        <v>0</v>
      </c>
      <c r="N1226" s="2">
        <v>-2.3626999079536972</v>
      </c>
      <c r="O1226" s="2">
        <f t="shared" si="79"/>
        <v>0</v>
      </c>
      <c r="P1226" s="2">
        <v>-39.07579951852631</v>
      </c>
      <c r="Q1226" s="2">
        <v>11.885792984838645</v>
      </c>
    </row>
    <row r="1227" spans="1:17" ht="15">
      <c r="A1227" s="2" t="s">
        <v>81</v>
      </c>
      <c r="B1227" s="2">
        <v>1002.3598266183399</v>
      </c>
      <c r="C1227" s="2">
        <v>928.5190484020859</v>
      </c>
      <c r="D1227" s="2">
        <v>486.91425500437617</v>
      </c>
      <c r="E1227" s="2">
        <v>139.2114677419886</v>
      </c>
      <c r="F1227" s="2">
        <v>10.407699957024306</v>
      </c>
      <c r="G1227" s="2">
        <v>0.81534146772697569</v>
      </c>
      <c r="H1227" s="2">
        <v>13755</v>
      </c>
      <c r="I1227" s="2">
        <v>1200</v>
      </c>
      <c r="J1227" s="2">
        <f>(IF(A1227='Hybrid Calculator'!$B$6,0,1))^2+((B1227-'Hybrid Calculator'!$B$7)/1500)^2+((C1227-'Hybrid Calculator'!$B$8)/1300)^2+((D1227-'Hybrid Calculator'!$B$9)/800)^2+((E1227-'Hybrid Calculator'!$B$10)/350)^2+((F1227-'Hybrid Calculator'!$B$11)/30)^2+(G1227-'Hybrid Calculator'!$B$12)^2+((H1227-'Hybrid Calculator'!$E$14)/IF(A1227="Lightning",100,30000))^2+((I1227-'Hybrid Calculator'!$E$17)/IF(A1227="Lightning",100,30000))^2</f>
        <v>1.3672684247568885</v>
      </c>
      <c r="K1227" s="2">
        <f t="shared" si="76"/>
        <v>875</v>
      </c>
      <c r="L1227" s="2">
        <f t="shared" si="77"/>
        <v>0</v>
      </c>
      <c r="M1227" s="2">
        <f t="shared" si="78"/>
        <v>0</v>
      </c>
      <c r="N1227" s="2">
        <v>-0.64369564125610168</v>
      </c>
      <c r="O1227" s="2">
        <f t="shared" si="79"/>
        <v>0</v>
      </c>
      <c r="P1227" s="2">
        <v>30.345351453565399</v>
      </c>
      <c r="Q1227" s="2">
        <v>9.3212345455568766</v>
      </c>
    </row>
    <row r="1228" spans="1:17" ht="15">
      <c r="A1228" s="2" t="s">
        <v>81</v>
      </c>
      <c r="B1228" s="2">
        <v>1023.9608645904809</v>
      </c>
      <c r="C1228" s="2">
        <v>1005.3515534731559</v>
      </c>
      <c r="D1228" s="2">
        <v>594.91636138409376</v>
      </c>
      <c r="E1228" s="2">
        <v>268.03752987878397</v>
      </c>
      <c r="F1228" s="2">
        <v>28.102585896849632</v>
      </c>
      <c r="G1228" s="2">
        <v>0.82176551966229461</v>
      </c>
      <c r="H1228" s="2">
        <v>11445</v>
      </c>
      <c r="I1228" s="2">
        <v>1195</v>
      </c>
      <c r="J1228" s="2">
        <f>(IF(A1228='Hybrid Calculator'!$B$6,0,1))^2+((B1228-'Hybrid Calculator'!$B$7)/1500)^2+((C1228-'Hybrid Calculator'!$B$8)/1300)^2+((D1228-'Hybrid Calculator'!$B$9)/800)^2+((E1228-'Hybrid Calculator'!$B$10)/350)^2+((F1228-'Hybrid Calculator'!$B$11)/30)^2+(G1228-'Hybrid Calculator'!$B$12)^2+((H1228-'Hybrid Calculator'!$E$14)/IF(A1228="Lightning",100,30000))^2+((I1228-'Hybrid Calculator'!$E$17)/IF(A1228="Lightning",100,30000))^2</f>
        <v>1.4618286116896417</v>
      </c>
      <c r="K1228" s="2">
        <f t="shared" si="76"/>
        <v>1139</v>
      </c>
      <c r="L1228" s="2">
        <f t="shared" si="77"/>
        <v>0</v>
      </c>
      <c r="M1228" s="2">
        <f t="shared" si="78"/>
        <v>0</v>
      </c>
      <c r="N1228" s="2">
        <v>-1.5553294335582848</v>
      </c>
      <c r="O1228" s="2">
        <f t="shared" si="79"/>
        <v>0</v>
      </c>
      <c r="P1228" s="2">
        <v>-16.207948723786103</v>
      </c>
      <c r="Q1228" s="2">
        <v>-15.200146090374346</v>
      </c>
    </row>
    <row r="1229" spans="1:17" ht="15">
      <c r="A1229" s="2" t="s">
        <v>81</v>
      </c>
      <c r="B1229" s="2">
        <v>1052.3171645705588</v>
      </c>
      <c r="C1229" s="2">
        <v>1092.9903564741835</v>
      </c>
      <c r="D1229" s="2">
        <v>643.26422931626439</v>
      </c>
      <c r="E1229" s="2">
        <v>164.83115257695317</v>
      </c>
      <c r="F1229" s="2">
        <v>19.726892864797264</v>
      </c>
      <c r="G1229" s="2">
        <v>0.8330795020377264</v>
      </c>
      <c r="H1229" s="2">
        <v>11250</v>
      </c>
      <c r="I1229" s="2">
        <v>1195</v>
      </c>
      <c r="J1229" s="2">
        <f>(IF(A1229='Hybrid Calculator'!$B$6,0,1))^2+((B1229-'Hybrid Calculator'!$B$7)/1500)^2+((C1229-'Hybrid Calculator'!$B$8)/1300)^2+((D1229-'Hybrid Calculator'!$B$9)/800)^2+((E1229-'Hybrid Calculator'!$B$10)/350)^2+((F1229-'Hybrid Calculator'!$B$11)/30)^2+(G1229-'Hybrid Calculator'!$B$12)^2+((H1229-'Hybrid Calculator'!$E$14)/IF(A1229="Lightning",100,30000))^2+((I1229-'Hybrid Calculator'!$E$17)/IF(A1229="Lightning",100,30000))^2</f>
        <v>1.2732751968002032</v>
      </c>
      <c r="K1229" s="2">
        <f t="shared" si="76"/>
        <v>704</v>
      </c>
      <c r="L1229" s="2">
        <f t="shared" si="77"/>
        <v>0</v>
      </c>
      <c r="M1229" s="2">
        <f t="shared" si="78"/>
        <v>0</v>
      </c>
      <c r="N1229" s="2">
        <v>2.1495511316852856</v>
      </c>
      <c r="O1229" s="2">
        <f t="shared" si="79"/>
        <v>0</v>
      </c>
      <c r="P1229" s="2">
        <v>65.084340338143193</v>
      </c>
      <c r="Q1229" s="2">
        <v>-10.237068289257422</v>
      </c>
    </row>
    <row r="1230" spans="1:17" ht="15">
      <c r="A1230" s="2" t="s">
        <v>81</v>
      </c>
      <c r="B1230" s="2">
        <v>1031.7633559228852</v>
      </c>
      <c r="C1230" s="2">
        <v>970.18685807706788</v>
      </c>
      <c r="D1230" s="2">
        <v>585.92917770147324</v>
      </c>
      <c r="E1230" s="2">
        <v>148.08795867254958</v>
      </c>
      <c r="F1230" s="2">
        <v>22.821524853818119</v>
      </c>
      <c r="G1230" s="2">
        <v>0.80225253592943779</v>
      </c>
      <c r="H1230" s="2">
        <v>12550</v>
      </c>
      <c r="I1230" s="2">
        <v>1200</v>
      </c>
      <c r="J1230" s="2">
        <f>(IF(A1230='Hybrid Calculator'!$B$6,0,1))^2+((B1230-'Hybrid Calculator'!$B$7)/1500)^2+((C1230-'Hybrid Calculator'!$B$8)/1300)^2+((D1230-'Hybrid Calculator'!$B$9)/800)^2+((E1230-'Hybrid Calculator'!$B$10)/350)^2+((F1230-'Hybrid Calculator'!$B$11)/30)^2+(G1230-'Hybrid Calculator'!$B$12)^2+((H1230-'Hybrid Calculator'!$E$14)/IF(A1230="Lightning",100,30000))^2+((I1230-'Hybrid Calculator'!$E$17)/IF(A1230="Lightning",100,30000))^2</f>
        <v>1.2850517803238559</v>
      </c>
      <c r="K1230" s="2">
        <f t="shared" si="76"/>
        <v>714</v>
      </c>
      <c r="L1230" s="2">
        <f t="shared" si="77"/>
        <v>0</v>
      </c>
      <c r="M1230" s="2">
        <f t="shared" si="78"/>
        <v>0</v>
      </c>
      <c r="N1230" s="2">
        <v>-0.88398265155817057</v>
      </c>
      <c r="O1230" s="2">
        <f t="shared" si="79"/>
        <v>0</v>
      </c>
      <c r="P1230" s="2">
        <v>35.997919824060318</v>
      </c>
      <c r="Q1230" s="2">
        <v>-8.0955178902694342</v>
      </c>
    </row>
    <row r="1231" spans="1:17" ht="15">
      <c r="A1231" s="2" t="s">
        <v>81</v>
      </c>
      <c r="B1231" s="2">
        <v>1017.3110443050973</v>
      </c>
      <c r="C1231" s="2">
        <v>1039.5392647944391</v>
      </c>
      <c r="D1231" s="2">
        <v>656.56993603333831</v>
      </c>
      <c r="E1231" s="2">
        <v>215.75192599091679</v>
      </c>
      <c r="F1231" s="2">
        <v>10.959178110118955</v>
      </c>
      <c r="G1231" s="2">
        <v>0.81270940368063749</v>
      </c>
      <c r="H1231" s="2">
        <v>11185</v>
      </c>
      <c r="I1231" s="2">
        <v>1195</v>
      </c>
      <c r="J1231" s="2">
        <f>(IF(A1231='Hybrid Calculator'!$B$6,0,1))^2+((B1231-'Hybrid Calculator'!$B$7)/1500)^2+((C1231-'Hybrid Calculator'!$B$8)/1300)^2+((D1231-'Hybrid Calculator'!$B$9)/800)^2+((E1231-'Hybrid Calculator'!$B$10)/350)^2+((F1231-'Hybrid Calculator'!$B$11)/30)^2+(G1231-'Hybrid Calculator'!$B$12)^2+((H1231-'Hybrid Calculator'!$E$14)/IF(A1231="Lightning",100,30000))^2+((I1231-'Hybrid Calculator'!$E$17)/IF(A1231="Lightning",100,30000))^2</f>
        <v>1.3712455013453924</v>
      </c>
      <c r="K1231" s="2">
        <f t="shared" si="76"/>
        <v>893</v>
      </c>
      <c r="L1231" s="2">
        <f t="shared" si="77"/>
        <v>0</v>
      </c>
      <c r="M1231" s="2">
        <f t="shared" si="78"/>
        <v>0</v>
      </c>
      <c r="N1231" s="2">
        <v>3.1849378010530813</v>
      </c>
      <c r="O1231" s="2">
        <f t="shared" si="79"/>
        <v>0</v>
      </c>
      <c r="P1231" s="2">
        <v>11.223413333459121</v>
      </c>
      <c r="Q1231" s="2">
        <v>1.7091450906938235</v>
      </c>
    </row>
    <row r="1232" spans="1:17" ht="15">
      <c r="A1232" s="2" t="s">
        <v>81</v>
      </c>
      <c r="B1232" s="2">
        <v>1037.8032498061657</v>
      </c>
      <c r="C1232" s="2">
        <v>772.43981681531295</v>
      </c>
      <c r="D1232" s="2">
        <v>528.17150224000216</v>
      </c>
      <c r="E1232" s="2">
        <v>213.87076795333996</v>
      </c>
      <c r="F1232" s="2">
        <v>12.315918324515224</v>
      </c>
      <c r="G1232" s="2">
        <v>0.83181739260675391</v>
      </c>
      <c r="H1232" s="2">
        <v>14120</v>
      </c>
      <c r="I1232" s="2">
        <v>1200</v>
      </c>
      <c r="J1232" s="2">
        <f>(IF(A1232='Hybrid Calculator'!$B$6,0,1))^2+((B1232-'Hybrid Calculator'!$B$7)/1500)^2+((C1232-'Hybrid Calculator'!$B$8)/1300)^2+((D1232-'Hybrid Calculator'!$B$9)/800)^2+((E1232-'Hybrid Calculator'!$B$10)/350)^2+((F1232-'Hybrid Calculator'!$B$11)/30)^2+(G1232-'Hybrid Calculator'!$B$12)^2+((H1232-'Hybrid Calculator'!$E$14)/IF(A1232="Lightning",100,30000))^2+((I1232-'Hybrid Calculator'!$E$17)/IF(A1232="Lightning",100,30000))^2</f>
        <v>1.3688598564539385</v>
      </c>
      <c r="K1232" s="2">
        <f t="shared" si="76"/>
        <v>880</v>
      </c>
      <c r="L1232" s="2">
        <f t="shared" si="77"/>
        <v>0</v>
      </c>
      <c r="M1232" s="2">
        <f t="shared" si="78"/>
        <v>0</v>
      </c>
      <c r="N1232" s="2">
        <v>-1.9652960476689429</v>
      </c>
      <c r="O1232" s="2">
        <f t="shared" si="79"/>
        <v>0</v>
      </c>
      <c r="P1232" s="2">
        <v>7.0704629523688709</v>
      </c>
      <c r="Q1232" s="2">
        <v>7.9230048314682335</v>
      </c>
    </row>
    <row r="1233" spans="1:17" ht="15">
      <c r="A1233" s="2" t="s">
        <v>81</v>
      </c>
      <c r="B1233" s="2">
        <v>971.75351219484583</v>
      </c>
      <c r="C1233" s="2">
        <v>817.95072725508362</v>
      </c>
      <c r="D1233" s="2">
        <v>403.98673871532083</v>
      </c>
      <c r="E1233" s="2">
        <v>311.67956783436239</v>
      </c>
      <c r="F1233" s="2">
        <v>29.266650703269988</v>
      </c>
      <c r="G1233" s="2">
        <v>0.85031249598134317</v>
      </c>
      <c r="H1233" s="2">
        <v>16270</v>
      </c>
      <c r="I1233" s="2">
        <v>1200</v>
      </c>
      <c r="J1233" s="2">
        <f>(IF(A1233='Hybrid Calculator'!$B$6,0,1))^2+((B1233-'Hybrid Calculator'!$B$7)/1500)^2+((C1233-'Hybrid Calculator'!$B$8)/1300)^2+((D1233-'Hybrid Calculator'!$B$9)/800)^2+((E1233-'Hybrid Calculator'!$B$10)/350)^2+((F1233-'Hybrid Calculator'!$B$11)/30)^2+(G1233-'Hybrid Calculator'!$B$12)^2+((H1233-'Hybrid Calculator'!$E$14)/IF(A1233="Lightning",100,30000))^2+((I1233-'Hybrid Calculator'!$E$17)/IF(A1233="Lightning",100,30000))^2</f>
        <v>1.7432792773869141</v>
      </c>
      <c r="K1233" s="2">
        <f t="shared" si="76"/>
        <v>1398</v>
      </c>
      <c r="L1233" s="2">
        <f t="shared" si="77"/>
        <v>0</v>
      </c>
      <c r="M1233" s="2">
        <f t="shared" si="78"/>
        <v>0</v>
      </c>
      <c r="N1233" s="2">
        <v>-0.21898313022219895</v>
      </c>
      <c r="O1233" s="2">
        <f t="shared" si="79"/>
        <v>0</v>
      </c>
      <c r="P1233" s="2">
        <v>-19.53287405123865</v>
      </c>
      <c r="Q1233" s="2">
        <v>-2.29470997494127</v>
      </c>
    </row>
    <row r="1234" spans="1:17" ht="15">
      <c r="A1234" s="2" t="s">
        <v>81</v>
      </c>
      <c r="B1234" s="2">
        <v>955.75591465458274</v>
      </c>
      <c r="C1234" s="2">
        <v>1030.0859994604252</v>
      </c>
      <c r="D1234" s="2">
        <v>658.73602870851755</v>
      </c>
      <c r="E1234" s="2">
        <v>162.88327144691721</v>
      </c>
      <c r="F1234" s="2">
        <v>15.605151230469346</v>
      </c>
      <c r="G1234" s="2">
        <v>0.83946261215256535</v>
      </c>
      <c r="H1234" s="2">
        <v>13475</v>
      </c>
      <c r="I1234" s="2">
        <v>1200</v>
      </c>
      <c r="J1234" s="2">
        <f>(IF(A1234='Hybrid Calculator'!$B$6,0,1))^2+((B1234-'Hybrid Calculator'!$B$7)/1500)^2+((C1234-'Hybrid Calculator'!$B$8)/1300)^2+((D1234-'Hybrid Calculator'!$B$9)/800)^2+((E1234-'Hybrid Calculator'!$B$10)/350)^2+((F1234-'Hybrid Calculator'!$B$11)/30)^2+(G1234-'Hybrid Calculator'!$B$12)^2+((H1234-'Hybrid Calculator'!$E$14)/IF(A1234="Lightning",100,30000))^2+((I1234-'Hybrid Calculator'!$E$17)/IF(A1234="Lightning",100,30000))^2</f>
        <v>1.3692579356386991</v>
      </c>
      <c r="K1234" s="2">
        <f t="shared" si="76"/>
        <v>884</v>
      </c>
      <c r="L1234" s="2">
        <f t="shared" si="77"/>
        <v>0</v>
      </c>
      <c r="M1234" s="2">
        <f t="shared" si="78"/>
        <v>0</v>
      </c>
      <c r="N1234" s="2">
        <v>2.695282408532762E-2</v>
      </c>
      <c r="O1234" s="2">
        <f t="shared" si="79"/>
        <v>0</v>
      </c>
      <c r="P1234" s="2">
        <v>25.957324931913263</v>
      </c>
      <c r="Q1234" s="2">
        <v>1.5092259412944031</v>
      </c>
    </row>
    <row r="1235" spans="1:17" ht="15">
      <c r="A1235" s="2" t="s">
        <v>81</v>
      </c>
      <c r="B1235" s="2">
        <v>1043.6122232698835</v>
      </c>
      <c r="C1235" s="2">
        <v>909.17682826984674</v>
      </c>
      <c r="D1235" s="2">
        <v>604.4738763011992</v>
      </c>
      <c r="E1235" s="2">
        <v>219.61090170778334</v>
      </c>
      <c r="F1235" s="2">
        <v>20.776028432417661</v>
      </c>
      <c r="G1235" s="2">
        <v>0.82156352630350737</v>
      </c>
      <c r="H1235" s="2">
        <v>12340</v>
      </c>
      <c r="I1235" s="2">
        <v>1200</v>
      </c>
      <c r="J1235" s="2">
        <f>(IF(A1235='Hybrid Calculator'!$B$6,0,1))^2+((B1235-'Hybrid Calculator'!$B$7)/1500)^2+((C1235-'Hybrid Calculator'!$B$8)/1300)^2+((D1235-'Hybrid Calculator'!$B$9)/800)^2+((E1235-'Hybrid Calculator'!$B$10)/350)^2+((F1235-'Hybrid Calculator'!$B$11)/30)^2+(G1235-'Hybrid Calculator'!$B$12)^2+((H1235-'Hybrid Calculator'!$E$14)/IF(A1235="Lightning",100,30000))^2+((I1235-'Hybrid Calculator'!$E$17)/IF(A1235="Lightning",100,30000))^2</f>
        <v>1.2984495801819655</v>
      </c>
      <c r="K1235" s="2">
        <f t="shared" si="76"/>
        <v>726</v>
      </c>
      <c r="L1235" s="2">
        <f t="shared" si="77"/>
        <v>0</v>
      </c>
      <c r="M1235" s="2">
        <f t="shared" si="78"/>
        <v>0</v>
      </c>
      <c r="N1235" s="2">
        <v>-2.3175710825919396</v>
      </c>
      <c r="O1235" s="2">
        <f t="shared" si="79"/>
        <v>0</v>
      </c>
      <c r="P1235" s="2">
        <v>-17.869065993507775</v>
      </c>
      <c r="Q1235" s="2">
        <v>1.1531366330168566</v>
      </c>
    </row>
    <row r="1236" spans="1:17" ht="15">
      <c r="A1236" s="2" t="s">
        <v>81</v>
      </c>
      <c r="B1236" s="2">
        <v>969.78528273757547</v>
      </c>
      <c r="C1236" s="2">
        <v>743.6888211988844</v>
      </c>
      <c r="D1236" s="2">
        <v>619.87708024680614</v>
      </c>
      <c r="E1236" s="2">
        <v>105.89062758488581</v>
      </c>
      <c r="F1236" s="2">
        <v>21.718999822624028</v>
      </c>
      <c r="G1236" s="2">
        <v>0.85164215483469896</v>
      </c>
      <c r="H1236" s="2">
        <v>16980</v>
      </c>
      <c r="I1236" s="2">
        <v>1200</v>
      </c>
      <c r="J1236" s="2">
        <f>(IF(A1236='Hybrid Calculator'!$B$6,0,1))^2+((B1236-'Hybrid Calculator'!$B$7)/1500)^2+((C1236-'Hybrid Calculator'!$B$8)/1300)^2+((D1236-'Hybrid Calculator'!$B$9)/800)^2+((E1236-'Hybrid Calculator'!$B$10)/350)^2+((F1236-'Hybrid Calculator'!$B$11)/30)^2+(G1236-'Hybrid Calculator'!$B$12)^2+((H1236-'Hybrid Calculator'!$E$14)/IF(A1236="Lightning",100,30000))^2+((I1236-'Hybrid Calculator'!$E$17)/IF(A1236="Lightning",100,30000))^2</f>
        <v>1.4696429173993415</v>
      </c>
      <c r="K1236" s="2">
        <f t="shared" si="76"/>
        <v>1158</v>
      </c>
      <c r="L1236" s="2">
        <f t="shared" si="77"/>
        <v>0</v>
      </c>
      <c r="M1236" s="2">
        <f t="shared" si="78"/>
        <v>0</v>
      </c>
      <c r="N1236" s="2">
        <v>-0.59366134878871435</v>
      </c>
      <c r="O1236" s="2">
        <f t="shared" si="79"/>
        <v>0</v>
      </c>
      <c r="P1236" s="2">
        <v>-43.632452135210315</v>
      </c>
      <c r="Q1236" s="2">
        <v>6.6447016037438971</v>
      </c>
    </row>
    <row r="1237" spans="1:17" ht="15">
      <c r="A1237" s="2" t="s">
        <v>81</v>
      </c>
      <c r="B1237" s="2">
        <v>958.58212591847405</v>
      </c>
      <c r="C1237" s="2">
        <v>1027.0701237488538</v>
      </c>
      <c r="D1237" s="2">
        <v>627.64753429219127</v>
      </c>
      <c r="E1237" s="2">
        <v>177.77806175407022</v>
      </c>
      <c r="F1237" s="2">
        <v>15.678720451425761</v>
      </c>
      <c r="G1237" s="2">
        <v>0.85794106094166644</v>
      </c>
      <c r="H1237" s="2">
        <v>13615</v>
      </c>
      <c r="I1237" s="2">
        <v>1200</v>
      </c>
      <c r="J1237" s="2">
        <f>(IF(A1237='Hybrid Calculator'!$B$6,0,1))^2+((B1237-'Hybrid Calculator'!$B$7)/1500)^2+((C1237-'Hybrid Calculator'!$B$8)/1300)^2+((D1237-'Hybrid Calculator'!$B$9)/800)^2+((E1237-'Hybrid Calculator'!$B$10)/350)^2+((F1237-'Hybrid Calculator'!$B$11)/30)^2+(G1237-'Hybrid Calculator'!$B$12)^2+((H1237-'Hybrid Calculator'!$E$14)/IF(A1237="Lightning",100,30000))^2+((I1237-'Hybrid Calculator'!$E$17)/IF(A1237="Lightning",100,30000))^2</f>
        <v>1.3632699285835463</v>
      </c>
      <c r="K1237" s="2">
        <f t="shared" si="76"/>
        <v>865</v>
      </c>
      <c r="L1237" s="2">
        <f t="shared" si="77"/>
        <v>0</v>
      </c>
      <c r="M1237" s="2">
        <f t="shared" si="78"/>
        <v>0</v>
      </c>
      <c r="N1237" s="2">
        <v>4.2015937408402806</v>
      </c>
      <c r="O1237" s="2">
        <f t="shared" si="79"/>
        <v>0</v>
      </c>
      <c r="P1237" s="2">
        <v>43.167940184690906</v>
      </c>
      <c r="Q1237" s="2">
        <v>-2.9033803727677423</v>
      </c>
    </row>
    <row r="1238" spans="1:17" ht="15">
      <c r="A1238" s="2" t="s">
        <v>81</v>
      </c>
      <c r="B1238" s="2">
        <v>1084.4139380846173</v>
      </c>
      <c r="C1238" s="2">
        <v>798.03547168849036</v>
      </c>
      <c r="D1238" s="2">
        <v>748.12705647200346</v>
      </c>
      <c r="E1238" s="2">
        <v>163.18828168557957</v>
      </c>
      <c r="F1238" s="2">
        <v>10.955892063677311</v>
      </c>
      <c r="G1238" s="2">
        <v>0.8390979614318349</v>
      </c>
      <c r="H1238" s="2">
        <v>12510</v>
      </c>
      <c r="I1238" s="2">
        <v>1200</v>
      </c>
      <c r="J1238" s="2">
        <f>(IF(A1238='Hybrid Calculator'!$B$6,0,1))^2+((B1238-'Hybrid Calculator'!$B$7)/1500)^2+((C1238-'Hybrid Calculator'!$B$8)/1300)^2+((D1238-'Hybrid Calculator'!$B$9)/800)^2+((E1238-'Hybrid Calculator'!$B$10)/350)^2+((F1238-'Hybrid Calculator'!$B$11)/30)^2+(G1238-'Hybrid Calculator'!$B$12)^2+((H1238-'Hybrid Calculator'!$E$14)/IF(A1238="Lightning",100,30000))^2+((I1238-'Hybrid Calculator'!$E$17)/IF(A1238="Lightning",100,30000))^2</f>
        <v>1.3884090379139262</v>
      </c>
      <c r="K1238" s="2">
        <f t="shared" si="76"/>
        <v>944</v>
      </c>
      <c r="L1238" s="2">
        <f t="shared" si="77"/>
        <v>0</v>
      </c>
      <c r="M1238" s="2">
        <f t="shared" si="78"/>
        <v>0</v>
      </c>
      <c r="N1238" s="2">
        <v>-3.5988755837308872E-2</v>
      </c>
      <c r="O1238" s="2">
        <f t="shared" si="79"/>
        <v>0</v>
      </c>
      <c r="P1238" s="2">
        <v>8.9952201019609674</v>
      </c>
      <c r="Q1238" s="2">
        <v>8.9875748322506297</v>
      </c>
    </row>
    <row r="1239" spans="1:17" ht="15">
      <c r="A1239" s="2" t="s">
        <v>81</v>
      </c>
      <c r="B1239" s="2">
        <v>1022.7808359195478</v>
      </c>
      <c r="C1239" s="2">
        <v>627.38311884459108</v>
      </c>
      <c r="D1239" s="2">
        <v>404.97783096507192</v>
      </c>
      <c r="E1239" s="2">
        <v>122.82145341858268</v>
      </c>
      <c r="F1239" s="2">
        <v>24.611633239779621</v>
      </c>
      <c r="G1239" s="2">
        <v>0.80276526228990408</v>
      </c>
      <c r="H1239" s="2">
        <v>18515</v>
      </c>
      <c r="I1239" s="2">
        <v>1200</v>
      </c>
      <c r="J1239" s="2">
        <f>(IF(A1239='Hybrid Calculator'!$B$6,0,1))^2+((B1239-'Hybrid Calculator'!$B$7)/1500)^2+((C1239-'Hybrid Calculator'!$B$8)/1300)^2+((D1239-'Hybrid Calculator'!$B$9)/800)^2+((E1239-'Hybrid Calculator'!$B$10)/350)^2+((F1239-'Hybrid Calculator'!$B$11)/30)^2+(G1239-'Hybrid Calculator'!$B$12)^2+((H1239-'Hybrid Calculator'!$E$14)/IF(A1239="Lightning",100,30000))^2+((I1239-'Hybrid Calculator'!$E$17)/IF(A1239="Lightning",100,30000))^2</f>
        <v>1.5435384949107804</v>
      </c>
      <c r="K1239" s="2">
        <f t="shared" si="76"/>
        <v>1288</v>
      </c>
      <c r="L1239" s="2">
        <f t="shared" si="77"/>
        <v>0</v>
      </c>
      <c r="M1239" s="2">
        <f t="shared" si="78"/>
        <v>0</v>
      </c>
      <c r="N1239" s="2">
        <v>-3.3863793428382962</v>
      </c>
      <c r="O1239" s="2">
        <f t="shared" si="79"/>
        <v>0</v>
      </c>
      <c r="P1239" s="2">
        <v>-41.442088496466113</v>
      </c>
      <c r="Q1239" s="2">
        <v>4.6131533689529078</v>
      </c>
    </row>
    <row r="1240" spans="1:17" ht="15">
      <c r="A1240" s="2" t="s">
        <v>81</v>
      </c>
      <c r="B1240" s="2">
        <v>972.78936088550836</v>
      </c>
      <c r="C1240" s="2">
        <v>1234.1319691506214</v>
      </c>
      <c r="D1240" s="2">
        <v>454.24284338951111</v>
      </c>
      <c r="E1240" s="2">
        <v>150.82507194718346</v>
      </c>
      <c r="F1240" s="2">
        <v>22.247189330868423</v>
      </c>
      <c r="G1240" s="2">
        <v>0.84731873370474209</v>
      </c>
      <c r="H1240" s="2">
        <v>13565</v>
      </c>
      <c r="I1240" s="2">
        <v>1200</v>
      </c>
      <c r="J1240" s="2">
        <f>(IF(A1240='Hybrid Calculator'!$B$6,0,1))^2+((B1240-'Hybrid Calculator'!$B$7)/1500)^2+((C1240-'Hybrid Calculator'!$B$8)/1300)^2+((D1240-'Hybrid Calculator'!$B$9)/800)^2+((E1240-'Hybrid Calculator'!$B$10)/350)^2+((F1240-'Hybrid Calculator'!$B$11)/30)^2+(G1240-'Hybrid Calculator'!$B$12)^2+((H1240-'Hybrid Calculator'!$E$14)/IF(A1240="Lightning",100,30000))^2+((I1240-'Hybrid Calculator'!$E$17)/IF(A1240="Lightning",100,30000))^2</f>
        <v>1.4023076487268196</v>
      </c>
      <c r="K1240" s="2">
        <f t="shared" si="76"/>
        <v>981</v>
      </c>
      <c r="L1240" s="2">
        <f t="shared" si="77"/>
        <v>0</v>
      </c>
      <c r="M1240" s="2">
        <f t="shared" si="78"/>
        <v>0</v>
      </c>
      <c r="N1240" s="2">
        <v>-0.69068227384724423</v>
      </c>
      <c r="O1240" s="2">
        <f t="shared" si="79"/>
        <v>0</v>
      </c>
      <c r="P1240" s="2">
        <v>38.320505186750324</v>
      </c>
      <c r="Q1240" s="2">
        <v>-8.1989588581235466</v>
      </c>
    </row>
    <row r="1241" spans="1:17" ht="15">
      <c r="A1241" s="2" t="s">
        <v>81</v>
      </c>
      <c r="B1241" s="2">
        <v>1097.6060473243706</v>
      </c>
      <c r="C1241" s="2">
        <v>1212.44210684672</v>
      </c>
      <c r="D1241" s="2">
        <v>627.74967318400741</v>
      </c>
      <c r="E1241" s="2">
        <v>185.73987441603094</v>
      </c>
      <c r="F1241" s="2">
        <v>27.666181666310877</v>
      </c>
      <c r="G1241" s="2">
        <v>0.79073694572784015</v>
      </c>
      <c r="H1241" s="2">
        <v>10555</v>
      </c>
      <c r="I1241" s="2">
        <v>1195</v>
      </c>
      <c r="J1241" s="2">
        <f>(IF(A1241='Hybrid Calculator'!$B$6,0,1))^2+((B1241-'Hybrid Calculator'!$B$7)/1500)^2+((C1241-'Hybrid Calculator'!$B$8)/1300)^2+((D1241-'Hybrid Calculator'!$B$9)/800)^2+((E1241-'Hybrid Calculator'!$B$10)/350)^2+((F1241-'Hybrid Calculator'!$B$11)/30)^2+(G1241-'Hybrid Calculator'!$B$12)^2+((H1241-'Hybrid Calculator'!$E$14)/IF(A1241="Lightning",100,30000))^2+((I1241-'Hybrid Calculator'!$E$17)/IF(A1241="Lightning",100,30000))^2</f>
        <v>1.3796444817640721</v>
      </c>
      <c r="K1241" s="2">
        <f t="shared" si="76"/>
        <v>914</v>
      </c>
      <c r="L1241" s="2">
        <f t="shared" si="77"/>
        <v>0</v>
      </c>
      <c r="M1241" s="2">
        <f t="shared" si="78"/>
        <v>0</v>
      </c>
      <c r="N1241" s="2">
        <v>-2.3333564920258141</v>
      </c>
      <c r="O1241" s="2">
        <f t="shared" si="79"/>
        <v>0</v>
      </c>
      <c r="P1241" s="2">
        <v>48.87830858231473</v>
      </c>
      <c r="Q1241" s="2">
        <v>-13.751239578345121</v>
      </c>
    </row>
    <row r="1242" spans="1:17" ht="15">
      <c r="A1242" s="2" t="s">
        <v>81</v>
      </c>
      <c r="B1242" s="2">
        <v>1048.6533110961318</v>
      </c>
      <c r="C1242" s="2">
        <v>981.60410042619333</v>
      </c>
      <c r="D1242" s="2">
        <v>730.74221033602953</v>
      </c>
      <c r="E1242" s="2">
        <v>218.80423043156043</v>
      </c>
      <c r="F1242" s="2">
        <v>23.019495597109199</v>
      </c>
      <c r="G1242" s="2">
        <v>0.8380526886996813</v>
      </c>
      <c r="H1242" s="2">
        <v>11075</v>
      </c>
      <c r="I1242" s="2">
        <v>1195</v>
      </c>
      <c r="J1242" s="2">
        <f>(IF(A1242='Hybrid Calculator'!$B$6,0,1))^2+((B1242-'Hybrid Calculator'!$B$7)/1500)^2+((C1242-'Hybrid Calculator'!$B$8)/1300)^2+((D1242-'Hybrid Calculator'!$B$9)/800)^2+((E1242-'Hybrid Calculator'!$B$10)/350)^2+((F1242-'Hybrid Calculator'!$B$11)/30)^2+(G1242-'Hybrid Calculator'!$B$12)^2+((H1242-'Hybrid Calculator'!$E$14)/IF(A1242="Lightning",100,30000))^2+((I1242-'Hybrid Calculator'!$E$17)/IF(A1242="Lightning",100,30000))^2</f>
        <v>1.3546321904271428</v>
      </c>
      <c r="K1242" s="2">
        <f t="shared" si="76"/>
        <v>843</v>
      </c>
      <c r="L1242" s="2">
        <f t="shared" si="77"/>
        <v>0</v>
      </c>
      <c r="M1242" s="2">
        <f t="shared" si="78"/>
        <v>0</v>
      </c>
      <c r="N1242" s="2">
        <v>1.8439475054295542</v>
      </c>
      <c r="O1242" s="2">
        <f t="shared" si="79"/>
        <v>0</v>
      </c>
      <c r="P1242" s="2">
        <v>29.072202765624752</v>
      </c>
      <c r="Q1242" s="2">
        <v>-9.2124752697441181</v>
      </c>
    </row>
    <row r="1243" spans="1:17" ht="15">
      <c r="A1243" s="2" t="s">
        <v>81</v>
      </c>
      <c r="B1243" s="2">
        <v>1076.9612882868387</v>
      </c>
      <c r="C1243" s="2">
        <v>919.78199968580157</v>
      </c>
      <c r="D1243" s="2">
        <v>526.28996381536126</v>
      </c>
      <c r="E1243" s="2">
        <v>296.52934583835304</v>
      </c>
      <c r="F1243" s="2">
        <v>14.019074846524745</v>
      </c>
      <c r="G1243" s="2">
        <v>0.84648493137676273</v>
      </c>
      <c r="H1243" s="2">
        <v>12270</v>
      </c>
      <c r="I1243" s="2">
        <v>1200</v>
      </c>
      <c r="J1243" s="2">
        <f>(IF(A1243='Hybrid Calculator'!$B$6,0,1))^2+((B1243-'Hybrid Calculator'!$B$7)/1500)^2+((C1243-'Hybrid Calculator'!$B$8)/1300)^2+((D1243-'Hybrid Calculator'!$B$9)/800)^2+((E1243-'Hybrid Calculator'!$B$10)/350)^2+((F1243-'Hybrid Calculator'!$B$11)/30)^2+(G1243-'Hybrid Calculator'!$B$12)^2+((H1243-'Hybrid Calculator'!$E$14)/IF(A1243="Lightning",100,30000))^2+((I1243-'Hybrid Calculator'!$E$17)/IF(A1243="Lightning",100,30000))^2</f>
        <v>1.4235351115550259</v>
      </c>
      <c r="K1243" s="2">
        <f t="shared" si="76"/>
        <v>1046</v>
      </c>
      <c r="L1243" s="2">
        <f t="shared" si="77"/>
        <v>0</v>
      </c>
      <c r="M1243" s="2">
        <f t="shared" si="78"/>
        <v>0</v>
      </c>
      <c r="N1243" s="2">
        <v>1.1527451383258551</v>
      </c>
      <c r="O1243" s="2">
        <f t="shared" si="79"/>
        <v>0</v>
      </c>
      <c r="P1243" s="2">
        <v>38.033929711646124</v>
      </c>
      <c r="Q1243" s="2">
        <v>6.0190100543429708</v>
      </c>
    </row>
    <row r="1244" spans="1:17" ht="15">
      <c r="A1244" s="2" t="s">
        <v>81</v>
      </c>
      <c r="B1244" s="2">
        <v>975.78577909152955</v>
      </c>
      <c r="C1244" s="2">
        <v>1073.8609379739501</v>
      </c>
      <c r="D1244" s="2">
        <v>738.44632096588612</v>
      </c>
      <c r="E1244" s="2">
        <v>271.77058170316741</v>
      </c>
      <c r="F1244" s="2">
        <v>28.814328298904002</v>
      </c>
      <c r="G1244" s="2">
        <v>0.79319845459191129</v>
      </c>
      <c r="H1244" s="2">
        <v>10260</v>
      </c>
      <c r="I1244" s="2">
        <v>1195</v>
      </c>
      <c r="J1244" s="2">
        <f>(IF(A1244='Hybrid Calculator'!$B$6,0,1))^2+((B1244-'Hybrid Calculator'!$B$7)/1500)^2+((C1244-'Hybrid Calculator'!$B$8)/1300)^2+((D1244-'Hybrid Calculator'!$B$9)/800)^2+((E1244-'Hybrid Calculator'!$B$10)/350)^2+((F1244-'Hybrid Calculator'!$B$11)/30)^2+(G1244-'Hybrid Calculator'!$B$12)^2+((H1244-'Hybrid Calculator'!$E$14)/IF(A1244="Lightning",100,30000))^2+((I1244-'Hybrid Calculator'!$E$17)/IF(A1244="Lightning",100,30000))^2</f>
        <v>1.5654951357735709</v>
      </c>
      <c r="K1244" s="2">
        <f t="shared" si="76"/>
        <v>1323</v>
      </c>
      <c r="L1244" s="2">
        <f t="shared" si="77"/>
        <v>0</v>
      </c>
      <c r="M1244" s="2">
        <f t="shared" si="78"/>
        <v>0</v>
      </c>
      <c r="N1244" s="2">
        <v>-1.8617542780127678</v>
      </c>
      <c r="O1244" s="2">
        <f t="shared" si="79"/>
        <v>0</v>
      </c>
      <c r="P1244" s="2">
        <v>13.666325733270241</v>
      </c>
      <c r="Q1244" s="2">
        <v>-13.185876668637889</v>
      </c>
    </row>
    <row r="1245" spans="1:17" ht="15">
      <c r="A1245" s="2" t="s">
        <v>81</v>
      </c>
      <c r="B1245" s="2">
        <v>1015.7127043581568</v>
      </c>
      <c r="C1245" s="2">
        <v>706.73847957514226</v>
      </c>
      <c r="D1245" s="2">
        <v>732.2516898624599</v>
      </c>
      <c r="E1245" s="2">
        <v>322.80968762468547</v>
      </c>
      <c r="F1245" s="2">
        <v>17.179321605246514</v>
      </c>
      <c r="G1245" s="2">
        <v>0.84564512658864266</v>
      </c>
      <c r="H1245" s="2">
        <v>12140</v>
      </c>
      <c r="I1245" s="2">
        <v>1200</v>
      </c>
      <c r="J1245" s="2">
        <f>(IF(A1245='Hybrid Calculator'!$B$6,0,1))^2+((B1245-'Hybrid Calculator'!$B$7)/1500)^2+((C1245-'Hybrid Calculator'!$B$8)/1300)^2+((D1245-'Hybrid Calculator'!$B$9)/800)^2+((E1245-'Hybrid Calculator'!$B$10)/350)^2+((F1245-'Hybrid Calculator'!$B$11)/30)^2+(G1245-'Hybrid Calculator'!$B$12)^2+((H1245-'Hybrid Calculator'!$E$14)/IF(A1245="Lightning",100,30000))^2+((I1245-'Hybrid Calculator'!$E$17)/IF(A1245="Lightning",100,30000))^2</f>
        <v>1.5811982860380789</v>
      </c>
      <c r="K1245" s="2">
        <f t="shared" si="76"/>
        <v>1335</v>
      </c>
      <c r="L1245" s="2">
        <f t="shared" si="77"/>
        <v>0</v>
      </c>
      <c r="M1245" s="2">
        <f t="shared" si="78"/>
        <v>0</v>
      </c>
      <c r="N1245" s="2">
        <v>2.6346179421986449</v>
      </c>
      <c r="O1245" s="2">
        <f t="shared" si="79"/>
        <v>0</v>
      </c>
      <c r="P1245" s="2">
        <v>11.015049927900236</v>
      </c>
      <c r="Q1245" s="2">
        <v>-3.2224604223101778</v>
      </c>
    </row>
    <row r="1246" spans="1:17" ht="15">
      <c r="A1246" s="2" t="s">
        <v>81</v>
      </c>
      <c r="B1246" s="2">
        <v>1034.8029097076505</v>
      </c>
      <c r="C1246" s="2">
        <v>1244.3290660972707</v>
      </c>
      <c r="D1246" s="2">
        <v>375.96291806548834</v>
      </c>
      <c r="E1246" s="2">
        <v>92.88759132148698</v>
      </c>
      <c r="F1246" s="2">
        <v>10.372602436691523</v>
      </c>
      <c r="G1246" s="2">
        <v>0.85129591159755369</v>
      </c>
      <c r="H1246" s="2">
        <v>12485</v>
      </c>
      <c r="I1246" s="2">
        <v>1200</v>
      </c>
      <c r="J1246" s="2">
        <f>(IF(A1246='Hybrid Calculator'!$B$6,0,1))^2+((B1246-'Hybrid Calculator'!$B$7)/1500)^2+((C1246-'Hybrid Calculator'!$B$8)/1300)^2+((D1246-'Hybrid Calculator'!$B$9)/800)^2+((E1246-'Hybrid Calculator'!$B$10)/350)^2+((F1246-'Hybrid Calculator'!$B$11)/30)^2+(G1246-'Hybrid Calculator'!$B$12)^2+((H1246-'Hybrid Calculator'!$E$14)/IF(A1246="Lightning",100,30000))^2+((I1246-'Hybrid Calculator'!$E$17)/IF(A1246="Lightning",100,30000))^2</f>
        <v>1.4580616960925461</v>
      </c>
      <c r="K1246" s="2">
        <f t="shared" si="76"/>
        <v>1126</v>
      </c>
      <c r="L1246" s="2">
        <f t="shared" si="77"/>
        <v>0</v>
      </c>
      <c r="M1246" s="2">
        <f t="shared" si="78"/>
        <v>0</v>
      </c>
      <c r="N1246" s="2">
        <v>1.1284285098700195</v>
      </c>
      <c r="O1246" s="2">
        <f t="shared" si="79"/>
        <v>0</v>
      </c>
      <c r="P1246" s="2">
        <v>-1.5323534974504582</v>
      </c>
      <c r="Q1246" s="2">
        <v>6.5961317784776838</v>
      </c>
    </row>
    <row r="1247" spans="1:17" ht="15">
      <c r="A1247" s="2" t="s">
        <v>81</v>
      </c>
      <c r="B1247" s="2">
        <v>952.45355052175</v>
      </c>
      <c r="C1247" s="2">
        <v>1170.2337846858427</v>
      </c>
      <c r="D1247" s="2">
        <v>469.32208286598325</v>
      </c>
      <c r="E1247" s="2">
        <v>257.75605618953705</v>
      </c>
      <c r="F1247" s="2">
        <v>26.343237648252398</v>
      </c>
      <c r="G1247" s="2">
        <v>0.84358166776131838</v>
      </c>
      <c r="H1247" s="2">
        <v>13150</v>
      </c>
      <c r="I1247" s="2">
        <v>1200</v>
      </c>
      <c r="J1247" s="2">
        <f>(IF(A1247='Hybrid Calculator'!$B$6,0,1))^2+((B1247-'Hybrid Calculator'!$B$7)/1500)^2+((C1247-'Hybrid Calculator'!$B$8)/1300)^2+((D1247-'Hybrid Calculator'!$B$9)/800)^2+((E1247-'Hybrid Calculator'!$B$10)/350)^2+((F1247-'Hybrid Calculator'!$B$11)/30)^2+(G1247-'Hybrid Calculator'!$B$12)^2+((H1247-'Hybrid Calculator'!$E$14)/IF(A1247="Lightning",100,30000))^2+((I1247-'Hybrid Calculator'!$E$17)/IF(A1247="Lightning",100,30000))^2</f>
        <v>1.5173014197668437</v>
      </c>
      <c r="K1247" s="2">
        <f t="shared" si="76"/>
        <v>1242</v>
      </c>
      <c r="L1247" s="2">
        <f t="shared" si="77"/>
        <v>0</v>
      </c>
      <c r="M1247" s="2">
        <f t="shared" si="78"/>
        <v>0</v>
      </c>
      <c r="N1247" s="2">
        <v>2.4194897025709849</v>
      </c>
      <c r="O1247" s="2">
        <f t="shared" si="79"/>
        <v>0</v>
      </c>
      <c r="P1247" s="2">
        <v>37.013868175175958</v>
      </c>
      <c r="Q1247" s="2">
        <v>-8.2810977294446957</v>
      </c>
    </row>
    <row r="1248" spans="1:17" ht="15">
      <c r="A1248" s="2" t="s">
        <v>81</v>
      </c>
      <c r="B1248" s="2">
        <v>1039.1769972164184</v>
      </c>
      <c r="C1248" s="2">
        <v>932.37470387248322</v>
      </c>
      <c r="D1248" s="2">
        <v>723.78924768418074</v>
      </c>
      <c r="E1248" s="2">
        <v>106.20543754892424</v>
      </c>
      <c r="F1248" s="2">
        <v>22.515874236822128</v>
      </c>
      <c r="G1248" s="2">
        <v>0.83059217831352727</v>
      </c>
      <c r="H1248" s="2">
        <v>12135</v>
      </c>
      <c r="I1248" s="2">
        <v>1200</v>
      </c>
      <c r="J1248" s="2">
        <f>(IF(A1248='Hybrid Calculator'!$B$6,0,1))^2+((B1248-'Hybrid Calculator'!$B$7)/1500)^2+((C1248-'Hybrid Calculator'!$B$8)/1300)^2+((D1248-'Hybrid Calculator'!$B$9)/800)^2+((E1248-'Hybrid Calculator'!$B$10)/350)^2+((F1248-'Hybrid Calculator'!$B$11)/30)^2+(G1248-'Hybrid Calculator'!$B$12)^2+((H1248-'Hybrid Calculator'!$E$14)/IF(A1248="Lightning",100,30000))^2+((I1248-'Hybrid Calculator'!$E$17)/IF(A1248="Lightning",100,30000))^2</f>
        <v>1.3459243396277207</v>
      </c>
      <c r="K1248" s="2">
        <f t="shared" si="76"/>
        <v>820</v>
      </c>
      <c r="L1248" s="2">
        <f t="shared" si="77"/>
        <v>0</v>
      </c>
      <c r="M1248" s="2">
        <f t="shared" si="78"/>
        <v>0</v>
      </c>
      <c r="N1248" s="2">
        <v>1.47382741717621</v>
      </c>
      <c r="O1248" s="2">
        <f t="shared" si="79"/>
        <v>0</v>
      </c>
      <c r="P1248" s="2">
        <v>-15.205029750458834</v>
      </c>
      <c r="Q1248" s="2">
        <v>-11.565070483852423</v>
      </c>
    </row>
    <row r="1249" spans="1:17" ht="15">
      <c r="A1249" s="2" t="s">
        <v>81</v>
      </c>
      <c r="B1249" s="2">
        <v>953.67487902985886</v>
      </c>
      <c r="C1249" s="2">
        <v>1091.5186108788475</v>
      </c>
      <c r="D1249" s="2">
        <v>700.28756679967046</v>
      </c>
      <c r="E1249" s="2">
        <v>146.59650662913918</v>
      </c>
      <c r="F1249" s="2">
        <v>17.610819777939469</v>
      </c>
      <c r="G1249" s="2">
        <v>0.79313208667095758</v>
      </c>
      <c r="H1249" s="2">
        <v>11035</v>
      </c>
      <c r="I1249" s="2">
        <v>1195</v>
      </c>
      <c r="J1249" s="2">
        <f>(IF(A1249='Hybrid Calculator'!$B$6,0,1))^2+((B1249-'Hybrid Calculator'!$B$7)/1500)^2+((C1249-'Hybrid Calculator'!$B$8)/1300)^2+((D1249-'Hybrid Calculator'!$B$9)/800)^2+((E1249-'Hybrid Calculator'!$B$10)/350)^2+((F1249-'Hybrid Calculator'!$B$11)/30)^2+(G1249-'Hybrid Calculator'!$B$12)^2+((H1249-'Hybrid Calculator'!$E$14)/IF(A1249="Lightning",100,30000))^2+((I1249-'Hybrid Calculator'!$E$17)/IF(A1249="Lightning",100,30000))^2</f>
        <v>1.3332215134530796</v>
      </c>
      <c r="K1249" s="2">
        <f t="shared" si="76"/>
        <v>784</v>
      </c>
      <c r="L1249" s="2">
        <f t="shared" si="77"/>
        <v>0</v>
      </c>
      <c r="M1249" s="2">
        <f t="shared" si="78"/>
        <v>0</v>
      </c>
      <c r="N1249" s="2">
        <v>4.4214214102119058</v>
      </c>
      <c r="O1249" s="2">
        <f t="shared" si="79"/>
        <v>0</v>
      </c>
      <c r="P1249" s="2">
        <v>0.72971886141203868</v>
      </c>
      <c r="Q1249" s="2">
        <v>-9.4319420357701347</v>
      </c>
    </row>
    <row r="1250" spans="1:17" ht="15">
      <c r="A1250" s="2" t="s">
        <v>81</v>
      </c>
      <c r="B1250" s="2">
        <v>1030.8825955959037</v>
      </c>
      <c r="C1250" s="2">
        <v>1197.3260259372182</v>
      </c>
      <c r="D1250" s="2">
        <v>477.24143415689468</v>
      </c>
      <c r="E1250" s="2">
        <v>231.63574641337618</v>
      </c>
      <c r="F1250" s="2">
        <v>12.383783201687038</v>
      </c>
      <c r="G1250" s="2">
        <v>0.80885953847086056</v>
      </c>
      <c r="H1250" s="2">
        <v>11220</v>
      </c>
      <c r="I1250" s="2">
        <v>1195</v>
      </c>
      <c r="J1250" s="2">
        <f>(IF(A1250='Hybrid Calculator'!$B$6,0,1))^2+((B1250-'Hybrid Calculator'!$B$7)/1500)^2+((C1250-'Hybrid Calculator'!$B$8)/1300)^2+((D1250-'Hybrid Calculator'!$B$9)/800)^2+((E1250-'Hybrid Calculator'!$B$10)/350)^2+((F1250-'Hybrid Calculator'!$B$11)/30)^2+(G1250-'Hybrid Calculator'!$B$12)^2+((H1250-'Hybrid Calculator'!$E$14)/IF(A1250="Lightning",100,30000))^2+((I1250-'Hybrid Calculator'!$E$17)/IF(A1250="Lightning",100,30000))^2</f>
        <v>1.3774710873626026</v>
      </c>
      <c r="K1250" s="2">
        <f t="shared" si="76"/>
        <v>911</v>
      </c>
      <c r="L1250" s="2">
        <f t="shared" si="77"/>
        <v>0</v>
      </c>
      <c r="M1250" s="2">
        <f t="shared" si="78"/>
        <v>0</v>
      </c>
      <c r="N1250" s="2">
        <v>5.0105518286682695</v>
      </c>
      <c r="O1250" s="2">
        <f t="shared" si="79"/>
        <v>0</v>
      </c>
      <c r="P1250" s="2">
        <v>58.936521712232206</v>
      </c>
      <c r="Q1250" s="2">
        <v>-2.11124437375247</v>
      </c>
    </row>
    <row r="1251" spans="1:17" ht="15">
      <c r="A1251" s="2" t="s">
        <v>81</v>
      </c>
      <c r="B1251" s="2">
        <v>989.90984846604988</v>
      </c>
      <c r="C1251" s="2">
        <v>712.35530627891421</v>
      </c>
      <c r="D1251" s="2">
        <v>577.46344124898314</v>
      </c>
      <c r="E1251" s="2">
        <v>254.35759550426155</v>
      </c>
      <c r="F1251" s="2">
        <v>19.939287727233022</v>
      </c>
      <c r="G1251" s="2">
        <v>0.82212894347496335</v>
      </c>
      <c r="H1251" s="2">
        <v>13850</v>
      </c>
      <c r="I1251" s="2">
        <v>1200</v>
      </c>
      <c r="J1251" s="2">
        <f>(IF(A1251='Hybrid Calculator'!$B$6,0,1))^2+((B1251-'Hybrid Calculator'!$B$7)/1500)^2+((C1251-'Hybrid Calculator'!$B$8)/1300)^2+((D1251-'Hybrid Calculator'!$B$9)/800)^2+((E1251-'Hybrid Calculator'!$B$10)/350)^2+((F1251-'Hybrid Calculator'!$B$11)/30)^2+(G1251-'Hybrid Calculator'!$B$12)^2+((H1251-'Hybrid Calculator'!$E$14)/IF(A1251="Lightning",100,30000))^2+((I1251-'Hybrid Calculator'!$E$17)/IF(A1251="Lightning",100,30000))^2</f>
        <v>1.4090638487125104</v>
      </c>
      <c r="K1251" s="2">
        <f t="shared" si="76"/>
        <v>1001</v>
      </c>
      <c r="L1251" s="2">
        <f t="shared" si="77"/>
        <v>0</v>
      </c>
      <c r="M1251" s="2">
        <f t="shared" si="78"/>
        <v>0</v>
      </c>
      <c r="N1251" s="2">
        <v>-3.0451320147153353</v>
      </c>
      <c r="O1251" s="2">
        <f t="shared" si="79"/>
        <v>0</v>
      </c>
      <c r="P1251" s="2">
        <v>-63.434195339784765</v>
      </c>
      <c r="Q1251" s="2">
        <v>-3.6612959443535829</v>
      </c>
    </row>
    <row r="1252" spans="1:17" ht="15">
      <c r="A1252" s="2" t="s">
        <v>81</v>
      </c>
      <c r="B1252" s="2">
        <v>989.89715166389942</v>
      </c>
      <c r="C1252" s="2">
        <v>781.06204181676731</v>
      </c>
      <c r="D1252" s="2">
        <v>472.21491504460573</v>
      </c>
      <c r="E1252" s="2">
        <v>252.43238218361512</v>
      </c>
      <c r="F1252" s="2">
        <v>14.157463414594531</v>
      </c>
      <c r="G1252" s="2">
        <v>0.81222077888669453</v>
      </c>
      <c r="H1252" s="2">
        <v>14205</v>
      </c>
      <c r="I1252" s="2">
        <v>1200</v>
      </c>
      <c r="J1252" s="2">
        <f>(IF(A1252='Hybrid Calculator'!$B$6,0,1))^2+((B1252-'Hybrid Calculator'!$B$7)/1500)^2+((C1252-'Hybrid Calculator'!$B$8)/1300)^2+((D1252-'Hybrid Calculator'!$B$9)/800)^2+((E1252-'Hybrid Calculator'!$B$10)/350)^2+((F1252-'Hybrid Calculator'!$B$11)/30)^2+(G1252-'Hybrid Calculator'!$B$12)^2+((H1252-'Hybrid Calculator'!$E$14)/IF(A1252="Lightning",100,30000))^2+((I1252-'Hybrid Calculator'!$E$17)/IF(A1252="Lightning",100,30000))^2</f>
        <v>1.4189844768865347</v>
      </c>
      <c r="K1252" s="2">
        <f t="shared" si="76"/>
        <v>1038</v>
      </c>
      <c r="L1252" s="2">
        <f t="shared" si="77"/>
        <v>0</v>
      </c>
      <c r="M1252" s="2">
        <f t="shared" si="78"/>
        <v>0</v>
      </c>
      <c r="N1252" s="2">
        <v>0.84837321467699667</v>
      </c>
      <c r="O1252" s="2">
        <f t="shared" si="79"/>
        <v>0</v>
      </c>
      <c r="P1252" s="2">
        <v>26.06317156528894</v>
      </c>
      <c r="Q1252" s="2">
        <v>8.052562568722692</v>
      </c>
    </row>
    <row r="1253" spans="1:17" ht="15">
      <c r="A1253" s="2" t="s">
        <v>81</v>
      </c>
      <c r="B1253" s="2">
        <v>1008.1914390088059</v>
      </c>
      <c r="C1253" s="2">
        <v>1208.5140904644504</v>
      </c>
      <c r="D1253" s="2">
        <v>669.92278257384896</v>
      </c>
      <c r="E1253" s="2">
        <v>307.55682817660272</v>
      </c>
      <c r="F1253" s="2">
        <v>15.782513451296836</v>
      </c>
      <c r="G1253" s="2">
        <v>0.85807823040056974</v>
      </c>
      <c r="H1253" s="2">
        <v>11415</v>
      </c>
      <c r="I1253" s="2">
        <v>1195</v>
      </c>
      <c r="J1253" s="2">
        <f>(IF(A1253='Hybrid Calculator'!$B$6,0,1))^2+((B1253-'Hybrid Calculator'!$B$7)/1500)^2+((C1253-'Hybrid Calculator'!$B$8)/1300)^2+((D1253-'Hybrid Calculator'!$B$9)/800)^2+((E1253-'Hybrid Calculator'!$B$10)/350)^2+((F1253-'Hybrid Calculator'!$B$11)/30)^2+(G1253-'Hybrid Calculator'!$B$12)^2+((H1253-'Hybrid Calculator'!$E$14)/IF(A1253="Lightning",100,30000))^2+((I1253-'Hybrid Calculator'!$E$17)/IF(A1253="Lightning",100,30000))^2</f>
        <v>1.5557200016516715</v>
      </c>
      <c r="K1253" s="2">
        <f t="shared" si="76"/>
        <v>1311</v>
      </c>
      <c r="L1253" s="2">
        <f t="shared" si="77"/>
        <v>0</v>
      </c>
      <c r="M1253" s="2">
        <f t="shared" si="78"/>
        <v>0</v>
      </c>
      <c r="N1253" s="2">
        <v>4.0182905221983276</v>
      </c>
      <c r="O1253" s="2">
        <f t="shared" si="79"/>
        <v>0</v>
      </c>
      <c r="P1253" s="2">
        <v>28.361624779163321</v>
      </c>
      <c r="Q1253" s="2">
        <v>-6.020182730687111</v>
      </c>
    </row>
    <row r="1254" spans="1:17" ht="15">
      <c r="A1254" s="2" t="s">
        <v>81</v>
      </c>
      <c r="B1254" s="2">
        <v>999.4818378938362</v>
      </c>
      <c r="C1254" s="2">
        <v>1213.731879054103</v>
      </c>
      <c r="D1254" s="2">
        <v>571.1856696754694</v>
      </c>
      <c r="E1254" s="2">
        <v>312.0273436489515</v>
      </c>
      <c r="F1254" s="2">
        <v>18.841975250281394</v>
      </c>
      <c r="G1254" s="2">
        <v>0.82833126830635595</v>
      </c>
      <c r="H1254" s="2">
        <v>10200</v>
      </c>
      <c r="I1254" s="2">
        <v>1195</v>
      </c>
      <c r="J1254" s="2">
        <f>(IF(A1254='Hybrid Calculator'!$B$6,0,1))^2+((B1254-'Hybrid Calculator'!$B$7)/1500)^2+((C1254-'Hybrid Calculator'!$B$8)/1300)^2+((D1254-'Hybrid Calculator'!$B$9)/800)^2+((E1254-'Hybrid Calculator'!$B$10)/350)^2+((F1254-'Hybrid Calculator'!$B$11)/30)^2+(G1254-'Hybrid Calculator'!$B$12)^2+((H1254-'Hybrid Calculator'!$E$14)/IF(A1254="Lightning",100,30000))^2+((I1254-'Hybrid Calculator'!$E$17)/IF(A1254="Lightning",100,30000))^2</f>
        <v>1.4971748609699476</v>
      </c>
      <c r="K1254" s="2">
        <f t="shared" si="76"/>
        <v>1204</v>
      </c>
      <c r="L1254" s="2">
        <f t="shared" si="77"/>
        <v>0</v>
      </c>
      <c r="M1254" s="2">
        <f t="shared" si="78"/>
        <v>0</v>
      </c>
      <c r="N1254" s="2">
        <v>3.6853419753918786</v>
      </c>
      <c r="O1254" s="2">
        <f t="shared" si="79"/>
        <v>0</v>
      </c>
      <c r="P1254" s="2">
        <v>44.58861147948619</v>
      </c>
      <c r="Q1254" s="2">
        <v>-7.3177392280929325</v>
      </c>
    </row>
    <row r="1255" spans="1:17" ht="15">
      <c r="A1255" s="2" t="s">
        <v>81</v>
      </c>
      <c r="B1255" s="2">
        <v>1040.0023695430718</v>
      </c>
      <c r="C1255" s="2">
        <v>944.82013615779579</v>
      </c>
      <c r="D1255" s="2">
        <v>467.28137684985995</v>
      </c>
      <c r="E1255" s="2">
        <v>253.8926264224574</v>
      </c>
      <c r="F1255" s="2">
        <v>24.105129401665181</v>
      </c>
      <c r="G1255" s="2">
        <v>0.85907982498407365</v>
      </c>
      <c r="H1255" s="2">
        <v>12835</v>
      </c>
      <c r="I1255" s="2">
        <v>1200</v>
      </c>
      <c r="J1255" s="2">
        <f>(IF(A1255='Hybrid Calculator'!$B$6,0,1))^2+((B1255-'Hybrid Calculator'!$B$7)/1500)^2+((C1255-'Hybrid Calculator'!$B$8)/1300)^2+((D1255-'Hybrid Calculator'!$B$9)/800)^2+((E1255-'Hybrid Calculator'!$B$10)/350)^2+((F1255-'Hybrid Calculator'!$B$11)/30)^2+(G1255-'Hybrid Calculator'!$B$12)^2+((H1255-'Hybrid Calculator'!$E$14)/IF(A1255="Lightning",100,30000))^2+((I1255-'Hybrid Calculator'!$E$17)/IF(A1255="Lightning",100,30000))^2</f>
        <v>1.380568920763277</v>
      </c>
      <c r="K1255" s="2">
        <f t="shared" si="76"/>
        <v>918</v>
      </c>
      <c r="L1255" s="2">
        <f t="shared" si="77"/>
        <v>0</v>
      </c>
      <c r="M1255" s="2">
        <f t="shared" si="78"/>
        <v>0</v>
      </c>
      <c r="N1255" s="2">
        <v>-1.0344653747419557</v>
      </c>
      <c r="O1255" s="2">
        <f t="shared" si="79"/>
        <v>0</v>
      </c>
      <c r="P1255" s="2">
        <v>-14.372672770304234</v>
      </c>
      <c r="Q1255" s="2">
        <v>-4.600613946998692</v>
      </c>
    </row>
    <row r="1256" spans="1:17" ht="15">
      <c r="A1256" s="2" t="s">
        <v>81</v>
      </c>
      <c r="B1256" s="2">
        <v>966.03814992122352</v>
      </c>
      <c r="C1256" s="2">
        <v>1193.2672222028486</v>
      </c>
      <c r="D1256" s="2">
        <v>550.91161783784628</v>
      </c>
      <c r="E1256" s="2">
        <v>145.69295638473704</v>
      </c>
      <c r="F1256" s="2">
        <v>19.197410192340612</v>
      </c>
      <c r="G1256" s="2">
        <v>0.84852604914689445</v>
      </c>
      <c r="H1256" s="2">
        <v>13200</v>
      </c>
      <c r="I1256" s="2">
        <v>1200</v>
      </c>
      <c r="J1256" s="2">
        <f>(IF(A1256='Hybrid Calculator'!$B$6,0,1))^2+((B1256-'Hybrid Calculator'!$B$7)/1500)^2+((C1256-'Hybrid Calculator'!$B$8)/1300)^2+((D1256-'Hybrid Calculator'!$B$9)/800)^2+((E1256-'Hybrid Calculator'!$B$10)/350)^2+((F1256-'Hybrid Calculator'!$B$11)/30)^2+(G1256-'Hybrid Calculator'!$B$12)^2+((H1256-'Hybrid Calculator'!$E$14)/IF(A1256="Lightning",100,30000))^2+((I1256-'Hybrid Calculator'!$E$17)/IF(A1256="Lightning",100,30000))^2</f>
        <v>1.3625694608542775</v>
      </c>
      <c r="K1256" s="2">
        <f t="shared" si="76"/>
        <v>862</v>
      </c>
      <c r="L1256" s="2">
        <f t="shared" si="77"/>
        <v>0</v>
      </c>
      <c r="M1256" s="2">
        <f t="shared" si="78"/>
        <v>0</v>
      </c>
      <c r="N1256" s="2">
        <v>4.2722966276579371</v>
      </c>
      <c r="O1256" s="2">
        <f t="shared" si="79"/>
        <v>0</v>
      </c>
      <c r="P1256" s="2">
        <v>61.75512253819852</v>
      </c>
      <c r="Q1256" s="2">
        <v>-3.4343296673353052</v>
      </c>
    </row>
    <row r="1257" spans="1:17" ht="15">
      <c r="A1257" s="2" t="s">
        <v>81</v>
      </c>
      <c r="B1257" s="2">
        <v>981.99396618874744</v>
      </c>
      <c r="C1257" s="2">
        <v>1215.2489232597873</v>
      </c>
      <c r="D1257" s="2">
        <v>514.57426445558667</v>
      </c>
      <c r="E1257" s="2">
        <v>124.98132783919573</v>
      </c>
      <c r="F1257" s="2">
        <v>17.128990682307631</v>
      </c>
      <c r="G1257" s="2">
        <v>0.84221033844631166</v>
      </c>
      <c r="H1257" s="2">
        <v>13450</v>
      </c>
      <c r="I1257" s="2">
        <v>1200</v>
      </c>
      <c r="J1257" s="2">
        <f>(IF(A1257='Hybrid Calculator'!$B$6,0,1))^2+((B1257-'Hybrid Calculator'!$B$7)/1500)^2+((C1257-'Hybrid Calculator'!$B$8)/1300)^2+((D1257-'Hybrid Calculator'!$B$9)/800)^2+((E1257-'Hybrid Calculator'!$B$10)/350)^2+((F1257-'Hybrid Calculator'!$B$11)/30)^2+(G1257-'Hybrid Calculator'!$B$12)^2+((H1257-'Hybrid Calculator'!$E$14)/IF(A1257="Lightning",100,30000))^2+((I1257-'Hybrid Calculator'!$E$17)/IF(A1257="Lightning",100,30000))^2</f>
        <v>1.3752315851647579</v>
      </c>
      <c r="K1257" s="2">
        <f t="shared" si="76"/>
        <v>904</v>
      </c>
      <c r="L1257" s="2">
        <f t="shared" si="77"/>
        <v>0</v>
      </c>
      <c r="M1257" s="2">
        <f t="shared" si="78"/>
        <v>0</v>
      </c>
      <c r="N1257" s="2">
        <v>-0.38248724015269886</v>
      </c>
      <c r="O1257" s="2">
        <f t="shared" si="79"/>
        <v>0</v>
      </c>
      <c r="P1257" s="2">
        <v>70.542471259582271</v>
      </c>
      <c r="Q1257" s="2">
        <v>-3.5249802410902475</v>
      </c>
    </row>
    <row r="1258" spans="1:17" ht="15">
      <c r="A1258" s="2" t="s">
        <v>81</v>
      </c>
      <c r="B1258" s="2">
        <v>1064.2925188178197</v>
      </c>
      <c r="C1258" s="2">
        <v>774.61351781385019</v>
      </c>
      <c r="D1258" s="2">
        <v>700.26663467288017</v>
      </c>
      <c r="E1258" s="2">
        <v>120.31629062956199</v>
      </c>
      <c r="F1258" s="2">
        <v>10.875590509735048</v>
      </c>
      <c r="G1258" s="2">
        <v>0.79473044769605627</v>
      </c>
      <c r="H1258" s="2">
        <v>13405</v>
      </c>
      <c r="I1258" s="2">
        <v>1200</v>
      </c>
      <c r="J1258" s="2">
        <f>(IF(A1258='Hybrid Calculator'!$B$6,0,1))^2+((B1258-'Hybrid Calculator'!$B$7)/1500)^2+((C1258-'Hybrid Calculator'!$B$8)/1300)^2+((D1258-'Hybrid Calculator'!$B$9)/800)^2+((E1258-'Hybrid Calculator'!$B$10)/350)^2+((F1258-'Hybrid Calculator'!$B$11)/30)^2+(G1258-'Hybrid Calculator'!$B$12)^2+((H1258-'Hybrid Calculator'!$E$14)/IF(A1258="Lightning",100,30000))^2+((I1258-'Hybrid Calculator'!$E$17)/IF(A1258="Lightning",100,30000))^2</f>
        <v>1.3959856337963823</v>
      </c>
      <c r="K1258" s="2">
        <f t="shared" si="76"/>
        <v>966</v>
      </c>
      <c r="L1258" s="2">
        <f t="shared" si="77"/>
        <v>0</v>
      </c>
      <c r="M1258" s="2">
        <f t="shared" si="78"/>
        <v>0</v>
      </c>
      <c r="N1258" s="2">
        <v>-0.28605375349934548</v>
      </c>
      <c r="O1258" s="2">
        <f t="shared" si="79"/>
        <v>0</v>
      </c>
      <c r="P1258" s="2">
        <v>-28.977324133097227</v>
      </c>
      <c r="Q1258" s="2">
        <v>9.8524707376220704</v>
      </c>
    </row>
    <row r="1259" spans="1:17" ht="15">
      <c r="A1259" s="2" t="s">
        <v>81</v>
      </c>
      <c r="B1259" s="2">
        <v>1092.3430310445838</v>
      </c>
      <c r="C1259" s="2">
        <v>683.02528746426105</v>
      </c>
      <c r="D1259" s="2">
        <v>362.34500398859382</v>
      </c>
      <c r="E1259" s="2">
        <v>243.86956453789026</v>
      </c>
      <c r="F1259" s="2">
        <v>12.041789398994297</v>
      </c>
      <c r="G1259" s="2">
        <v>0.85584090667776769</v>
      </c>
      <c r="H1259" s="2">
        <v>16590</v>
      </c>
      <c r="I1259" s="2">
        <v>1200</v>
      </c>
      <c r="J1259" s="2">
        <f>(IF(A1259='Hybrid Calculator'!$B$6,0,1))^2+((B1259-'Hybrid Calculator'!$B$7)/1500)^2+((C1259-'Hybrid Calculator'!$B$8)/1300)^2+((D1259-'Hybrid Calculator'!$B$9)/800)^2+((E1259-'Hybrid Calculator'!$B$10)/350)^2+((F1259-'Hybrid Calculator'!$B$11)/30)^2+(G1259-'Hybrid Calculator'!$B$12)^2+((H1259-'Hybrid Calculator'!$E$14)/IF(A1259="Lightning",100,30000))^2+((I1259-'Hybrid Calculator'!$E$17)/IF(A1259="Lightning",100,30000))^2</f>
        <v>1.520347913344869</v>
      </c>
      <c r="K1259" s="2">
        <f t="shared" si="76"/>
        <v>1248</v>
      </c>
      <c r="L1259" s="2">
        <f t="shared" si="77"/>
        <v>0</v>
      </c>
      <c r="M1259" s="2">
        <f t="shared" si="78"/>
        <v>0</v>
      </c>
      <c r="N1259" s="2">
        <v>-0.50646281960555939</v>
      </c>
      <c r="O1259" s="2">
        <f t="shared" si="79"/>
        <v>0</v>
      </c>
      <c r="P1259" s="2">
        <v>-53.472290787064139</v>
      </c>
      <c r="Q1259" s="2">
        <v>11.850352824181073</v>
      </c>
    </row>
    <row r="1260" spans="1:17" ht="15">
      <c r="A1260" s="2" t="s">
        <v>81</v>
      </c>
      <c r="B1260" s="2">
        <v>965.26214284822345</v>
      </c>
      <c r="C1260" s="2">
        <v>1049.5167519315146</v>
      </c>
      <c r="D1260" s="2">
        <v>426.89414564520121</v>
      </c>
      <c r="E1260" s="2">
        <v>281.37954229721799</v>
      </c>
      <c r="F1260" s="2">
        <v>16.06601575948298</v>
      </c>
      <c r="G1260" s="2">
        <v>0.84751310984836892</v>
      </c>
      <c r="H1260" s="2">
        <v>14195</v>
      </c>
      <c r="I1260" s="2">
        <v>1200</v>
      </c>
      <c r="J1260" s="2">
        <f>(IF(A1260='Hybrid Calculator'!$B$6,0,1))^2+((B1260-'Hybrid Calculator'!$B$7)/1500)^2+((C1260-'Hybrid Calculator'!$B$8)/1300)^2+((D1260-'Hybrid Calculator'!$B$9)/800)^2+((E1260-'Hybrid Calculator'!$B$10)/350)^2+((F1260-'Hybrid Calculator'!$B$11)/30)^2+(G1260-'Hybrid Calculator'!$B$12)^2+((H1260-'Hybrid Calculator'!$E$14)/IF(A1260="Lightning",100,30000))^2+((I1260-'Hybrid Calculator'!$E$17)/IF(A1260="Lightning",100,30000))^2</f>
        <v>1.4979309238702112</v>
      </c>
      <c r="K1260" s="2">
        <f t="shared" si="76"/>
        <v>1207</v>
      </c>
      <c r="L1260" s="2">
        <f t="shared" si="77"/>
        <v>0</v>
      </c>
      <c r="M1260" s="2">
        <f t="shared" si="78"/>
        <v>0</v>
      </c>
      <c r="N1260" s="2">
        <v>0.71598621441219734</v>
      </c>
      <c r="O1260" s="2">
        <f t="shared" si="79"/>
        <v>0</v>
      </c>
      <c r="P1260" s="2">
        <v>18.238134041223475</v>
      </c>
      <c r="Q1260" s="2">
        <v>4.870107563891338</v>
      </c>
    </row>
    <row r="1261" spans="1:17" ht="15">
      <c r="A1261" s="2" t="s">
        <v>81</v>
      </c>
      <c r="B1261" s="2">
        <v>995.95499389106408</v>
      </c>
      <c r="C1261" s="2">
        <v>693.67245056200773</v>
      </c>
      <c r="D1261" s="2">
        <v>497.20978969708085</v>
      </c>
      <c r="E1261" s="2">
        <v>123.51420165039599</v>
      </c>
      <c r="F1261" s="2">
        <v>11.125682436395437</v>
      </c>
      <c r="G1261" s="2">
        <v>0.79557116164360198</v>
      </c>
      <c r="H1261" s="2">
        <v>16270</v>
      </c>
      <c r="I1261" s="2">
        <v>1200</v>
      </c>
      <c r="J1261" s="2">
        <f>(IF(A1261='Hybrid Calculator'!$B$6,0,1))^2+((B1261-'Hybrid Calculator'!$B$7)/1500)^2+((C1261-'Hybrid Calculator'!$B$8)/1300)^2+((D1261-'Hybrid Calculator'!$B$9)/800)^2+((E1261-'Hybrid Calculator'!$B$10)/350)^2+((F1261-'Hybrid Calculator'!$B$11)/30)^2+(G1261-'Hybrid Calculator'!$B$12)^2+((H1261-'Hybrid Calculator'!$E$14)/IF(A1261="Lightning",100,30000))^2+((I1261-'Hybrid Calculator'!$E$17)/IF(A1261="Lightning",100,30000))^2</f>
        <v>1.4568864564763375</v>
      </c>
      <c r="K1261" s="2">
        <f t="shared" si="76"/>
        <v>1122</v>
      </c>
      <c r="L1261" s="2">
        <f t="shared" si="77"/>
        <v>0</v>
      </c>
      <c r="M1261" s="2">
        <f t="shared" si="78"/>
        <v>0</v>
      </c>
      <c r="N1261" s="2">
        <v>-8.451798428026791E-2</v>
      </c>
      <c r="O1261" s="2">
        <f t="shared" si="79"/>
        <v>0</v>
      </c>
      <c r="P1261" s="2">
        <v>-56.840561119699032</v>
      </c>
      <c r="Q1261" s="2">
        <v>10.608033792296737</v>
      </c>
    </row>
    <row r="1262" spans="1:17" ht="15">
      <c r="A1262" s="2" t="s">
        <v>81</v>
      </c>
      <c r="B1262" s="2">
        <v>1002.2261472418904</v>
      </c>
      <c r="C1262" s="2">
        <v>656.97468224680051</v>
      </c>
      <c r="D1262" s="2">
        <v>526.25294644385576</v>
      </c>
      <c r="E1262" s="2">
        <v>286.31665509426966</v>
      </c>
      <c r="F1262" s="2">
        <v>11.461724853143096</v>
      </c>
      <c r="G1262" s="2">
        <v>0.7987648699549027</v>
      </c>
      <c r="H1262" s="2">
        <v>14555</v>
      </c>
      <c r="I1262" s="2">
        <v>1200</v>
      </c>
      <c r="J1262" s="2">
        <f>(IF(A1262='Hybrid Calculator'!$B$6,0,1))^2+((B1262-'Hybrid Calculator'!$B$7)/1500)^2+((C1262-'Hybrid Calculator'!$B$8)/1300)^2+((D1262-'Hybrid Calculator'!$B$9)/800)^2+((E1262-'Hybrid Calculator'!$B$10)/350)^2+((F1262-'Hybrid Calculator'!$B$11)/30)^2+(G1262-'Hybrid Calculator'!$B$12)^2+((H1262-'Hybrid Calculator'!$E$14)/IF(A1262="Lightning",100,30000))^2+((I1262-'Hybrid Calculator'!$E$17)/IF(A1262="Lightning",100,30000))^2</f>
        <v>1.5450528537531161</v>
      </c>
      <c r="K1262" s="2">
        <f t="shared" si="76"/>
        <v>1292</v>
      </c>
      <c r="L1262" s="2">
        <f t="shared" si="77"/>
        <v>0</v>
      </c>
      <c r="M1262" s="2">
        <f t="shared" si="78"/>
        <v>0</v>
      </c>
      <c r="N1262" s="2">
        <v>0.43026557854233261</v>
      </c>
      <c r="O1262" s="2">
        <f t="shared" si="79"/>
        <v>0</v>
      </c>
      <c r="P1262" s="2">
        <v>10.155141846251809</v>
      </c>
      <c r="Q1262" s="2">
        <v>7.6723527736719461</v>
      </c>
    </row>
    <row r="1263" spans="1:17" ht="15">
      <c r="A1263" s="2" t="s">
        <v>81</v>
      </c>
      <c r="B1263" s="2">
        <v>1017.7472785697319</v>
      </c>
      <c r="C1263" s="2">
        <v>921.84307503048331</v>
      </c>
      <c r="D1263" s="2">
        <v>533.32879850640893</v>
      </c>
      <c r="E1263" s="2">
        <v>244.22566841356456</v>
      </c>
      <c r="F1263" s="2">
        <v>11.496511195320636</v>
      </c>
      <c r="G1263" s="2">
        <v>0.79474372972268614</v>
      </c>
      <c r="H1263" s="2">
        <v>12585</v>
      </c>
      <c r="I1263" s="2">
        <v>1200</v>
      </c>
      <c r="J1263" s="2">
        <f>(IF(A1263='Hybrid Calculator'!$B$6,0,1))^2+((B1263-'Hybrid Calculator'!$B$7)/1500)^2+((C1263-'Hybrid Calculator'!$B$8)/1300)^2+((D1263-'Hybrid Calculator'!$B$9)/800)^2+((E1263-'Hybrid Calculator'!$B$10)/350)^2+((F1263-'Hybrid Calculator'!$B$11)/30)^2+(G1263-'Hybrid Calculator'!$B$12)^2+((H1263-'Hybrid Calculator'!$E$14)/IF(A1263="Lightning",100,30000))^2+((I1263-'Hybrid Calculator'!$E$17)/IF(A1263="Lightning",100,30000))^2</f>
        <v>1.382235662573474</v>
      </c>
      <c r="K1263" s="2">
        <f t="shared" si="76"/>
        <v>923</v>
      </c>
      <c r="L1263" s="2">
        <f t="shared" si="77"/>
        <v>0</v>
      </c>
      <c r="M1263" s="2">
        <f t="shared" si="78"/>
        <v>0</v>
      </c>
      <c r="N1263" s="2">
        <v>-0.77470898606165406</v>
      </c>
      <c r="O1263" s="2">
        <f t="shared" si="79"/>
        <v>0</v>
      </c>
      <c r="P1263" s="2">
        <v>6.4720960750109953</v>
      </c>
      <c r="Q1263" s="2">
        <v>5.1946807793769949</v>
      </c>
    </row>
    <row r="1264" spans="1:17" ht="15">
      <c r="A1264" s="2" t="s">
        <v>81</v>
      </c>
      <c r="B1264" s="2">
        <v>965.48068400006741</v>
      </c>
      <c r="C1264" s="2">
        <v>1124.0967685938813</v>
      </c>
      <c r="D1264" s="2">
        <v>459.03871543705463</v>
      </c>
      <c r="E1264" s="2">
        <v>181.40003281412646</v>
      </c>
      <c r="F1264" s="2">
        <v>25.48004958126694</v>
      </c>
      <c r="G1264" s="2">
        <v>0.84320876194862648</v>
      </c>
      <c r="H1264" s="2">
        <v>14140</v>
      </c>
      <c r="I1264" s="2">
        <v>1200</v>
      </c>
      <c r="J1264" s="2">
        <f>(IF(A1264='Hybrid Calculator'!$B$6,0,1))^2+((B1264-'Hybrid Calculator'!$B$7)/1500)^2+((C1264-'Hybrid Calculator'!$B$8)/1300)^2+((D1264-'Hybrid Calculator'!$B$9)/800)^2+((E1264-'Hybrid Calculator'!$B$10)/350)^2+((F1264-'Hybrid Calculator'!$B$11)/30)^2+(G1264-'Hybrid Calculator'!$B$12)^2+((H1264-'Hybrid Calculator'!$E$14)/IF(A1264="Lightning",100,30000))^2+((I1264-'Hybrid Calculator'!$E$17)/IF(A1264="Lightning",100,30000))^2</f>
        <v>1.4257673265263069</v>
      </c>
      <c r="K1264" s="2">
        <f t="shared" si="76"/>
        <v>1051</v>
      </c>
      <c r="L1264" s="2">
        <f t="shared" si="77"/>
        <v>0</v>
      </c>
      <c r="M1264" s="2">
        <f t="shared" si="78"/>
        <v>0</v>
      </c>
      <c r="N1264" s="2">
        <v>5.1758424313476326E-2</v>
      </c>
      <c r="O1264" s="2">
        <f t="shared" si="79"/>
        <v>0</v>
      </c>
      <c r="P1264" s="2">
        <v>49.147279740745489</v>
      </c>
      <c r="Q1264" s="2">
        <v>-4.9170826405304524</v>
      </c>
    </row>
    <row r="1265" spans="1:17" ht="15">
      <c r="A1265" s="2" t="s">
        <v>81</v>
      </c>
      <c r="B1265" s="2">
        <v>1006.3589306897484</v>
      </c>
      <c r="C1265" s="2">
        <v>1182.905047154054</v>
      </c>
      <c r="D1265" s="2">
        <v>735.8820210210979</v>
      </c>
      <c r="E1265" s="2">
        <v>308.41708257328719</v>
      </c>
      <c r="F1265" s="2">
        <v>8.2980818781070411</v>
      </c>
      <c r="G1265" s="2">
        <v>0.80250980030745267</v>
      </c>
      <c r="H1265" s="2">
        <v>9600</v>
      </c>
      <c r="I1265" s="2">
        <v>1195</v>
      </c>
      <c r="J1265" s="2">
        <f>(IF(A1265='Hybrid Calculator'!$B$6,0,1))^2+((B1265-'Hybrid Calculator'!$B$7)/1500)^2+((C1265-'Hybrid Calculator'!$B$8)/1300)^2+((D1265-'Hybrid Calculator'!$B$9)/800)^2+((E1265-'Hybrid Calculator'!$B$10)/350)^2+((F1265-'Hybrid Calculator'!$B$11)/30)^2+(G1265-'Hybrid Calculator'!$B$12)^2+((H1265-'Hybrid Calculator'!$E$14)/IF(A1265="Lightning",100,30000))^2+((I1265-'Hybrid Calculator'!$E$17)/IF(A1265="Lightning",100,30000))^2</f>
        <v>1.6540804555083537</v>
      </c>
      <c r="K1265" s="2">
        <f t="shared" si="76"/>
        <v>1383</v>
      </c>
      <c r="L1265" s="2">
        <f t="shared" si="77"/>
        <v>0</v>
      </c>
      <c r="M1265" s="2">
        <f t="shared" si="78"/>
        <v>0</v>
      </c>
      <c r="N1265" s="2">
        <v>6.4922817939474555</v>
      </c>
      <c r="O1265" s="2">
        <f t="shared" si="79"/>
        <v>0</v>
      </c>
      <c r="P1265" s="2">
        <v>28.024640474263833</v>
      </c>
      <c r="Q1265" s="2">
        <v>-11.551449464576763</v>
      </c>
    </row>
    <row r="1266" spans="1:17" ht="15">
      <c r="A1266" s="2" t="s">
        <v>81</v>
      </c>
      <c r="B1266" s="2">
        <v>1040.2669237460941</v>
      </c>
      <c r="C1266" s="2">
        <v>758.85420729173347</v>
      </c>
      <c r="D1266" s="2">
        <v>474.8224338516593</v>
      </c>
      <c r="E1266" s="2">
        <v>177.58382645668462</v>
      </c>
      <c r="F1266" s="2">
        <v>10.441982943564653</v>
      </c>
      <c r="G1266" s="2">
        <v>0.8054401938640513</v>
      </c>
      <c r="H1266" s="2">
        <v>15155</v>
      </c>
      <c r="I1266" s="2">
        <v>1200</v>
      </c>
      <c r="J1266" s="2">
        <f>(IF(A1266='Hybrid Calculator'!$B$6,0,1))^2+((B1266-'Hybrid Calculator'!$B$7)/1500)^2+((C1266-'Hybrid Calculator'!$B$8)/1300)^2+((D1266-'Hybrid Calculator'!$B$9)/800)^2+((E1266-'Hybrid Calculator'!$B$10)/350)^2+((F1266-'Hybrid Calculator'!$B$11)/30)^2+(G1266-'Hybrid Calculator'!$B$12)^2+((H1266-'Hybrid Calculator'!$E$14)/IF(A1266="Lightning",100,30000))^2+((I1266-'Hybrid Calculator'!$E$17)/IF(A1266="Lightning",100,30000))^2</f>
        <v>1.4053083539321347</v>
      </c>
      <c r="K1266" s="2">
        <f t="shared" si="76"/>
        <v>995</v>
      </c>
      <c r="L1266" s="2">
        <f t="shared" si="77"/>
        <v>0</v>
      </c>
      <c r="M1266" s="2">
        <f t="shared" si="78"/>
        <v>0</v>
      </c>
      <c r="N1266" s="2">
        <v>0.49657820383092144</v>
      </c>
      <c r="O1266" s="2">
        <f t="shared" si="79"/>
        <v>0</v>
      </c>
      <c r="P1266" s="2">
        <v>-10.933719248612306</v>
      </c>
      <c r="Q1266" s="2">
        <v>9.1126045345417879</v>
      </c>
    </row>
    <row r="1267" spans="1:17" ht="15">
      <c r="A1267" s="2" t="s">
        <v>81</v>
      </c>
      <c r="B1267" s="2">
        <v>1075.7615218055435</v>
      </c>
      <c r="C1267" s="2">
        <v>1174.1387952817604</v>
      </c>
      <c r="D1267" s="2">
        <v>461.79111050441861</v>
      </c>
      <c r="E1267" s="2">
        <v>325.3997228294611</v>
      </c>
      <c r="F1267" s="2">
        <v>10.874053771141917</v>
      </c>
      <c r="G1267" s="2">
        <v>0.84583106264006347</v>
      </c>
      <c r="H1267" s="2">
        <v>10905</v>
      </c>
      <c r="I1267" s="2">
        <v>1195</v>
      </c>
      <c r="J1267" s="2">
        <f>(IF(A1267='Hybrid Calculator'!$B$6,0,1))^2+((B1267-'Hybrid Calculator'!$B$7)/1500)^2+((C1267-'Hybrid Calculator'!$B$8)/1300)^2+((D1267-'Hybrid Calculator'!$B$9)/800)^2+((E1267-'Hybrid Calculator'!$B$10)/350)^2+((F1267-'Hybrid Calculator'!$B$11)/30)^2+(G1267-'Hybrid Calculator'!$B$12)^2+((H1267-'Hybrid Calculator'!$E$14)/IF(A1267="Lightning",100,30000))^2+((I1267-'Hybrid Calculator'!$E$17)/IF(A1267="Lightning",100,30000))^2</f>
        <v>1.5675298175825949</v>
      </c>
      <c r="K1267" s="2">
        <f t="shared" si="76"/>
        <v>1326</v>
      </c>
      <c r="L1267" s="2">
        <f t="shared" si="77"/>
        <v>0</v>
      </c>
      <c r="M1267" s="2">
        <f t="shared" si="78"/>
        <v>0</v>
      </c>
      <c r="N1267" s="2">
        <v>0.78042336755595443</v>
      </c>
      <c r="O1267" s="2">
        <f t="shared" si="79"/>
        <v>0</v>
      </c>
      <c r="P1267" s="2">
        <v>10.776344384791173</v>
      </c>
      <c r="Q1267" s="2">
        <v>-1.913279730537397</v>
      </c>
    </row>
    <row r="1268" spans="1:17" ht="15">
      <c r="A1268" s="2" t="s">
        <v>81</v>
      </c>
      <c r="B1268" s="2">
        <v>1061.0741568962112</v>
      </c>
      <c r="C1268" s="2">
        <v>1017.810734838713</v>
      </c>
      <c r="D1268" s="2">
        <v>421.90867140889168</v>
      </c>
      <c r="E1268" s="2">
        <v>252.31504659866914</v>
      </c>
      <c r="F1268" s="2">
        <v>9.0521845808252692</v>
      </c>
      <c r="G1268" s="2">
        <v>0.84324102503946052</v>
      </c>
      <c r="H1268" s="2">
        <v>12640</v>
      </c>
      <c r="I1268" s="2">
        <v>1200</v>
      </c>
      <c r="J1268" s="2">
        <f>(IF(A1268='Hybrid Calculator'!$B$6,0,1))^2+((B1268-'Hybrid Calculator'!$B$7)/1500)^2+((C1268-'Hybrid Calculator'!$B$8)/1300)^2+((D1268-'Hybrid Calculator'!$B$9)/800)^2+((E1268-'Hybrid Calculator'!$B$10)/350)^2+((F1268-'Hybrid Calculator'!$B$11)/30)^2+(G1268-'Hybrid Calculator'!$B$12)^2+((H1268-'Hybrid Calculator'!$E$14)/IF(A1268="Lightning",100,30000))^2+((I1268-'Hybrid Calculator'!$E$17)/IF(A1268="Lightning",100,30000))^2</f>
        <v>1.4478841126717084</v>
      </c>
      <c r="K1268" s="2">
        <f t="shared" si="76"/>
        <v>1102</v>
      </c>
      <c r="L1268" s="2">
        <f t="shared" si="77"/>
        <v>0</v>
      </c>
      <c r="M1268" s="2">
        <f t="shared" si="78"/>
        <v>0</v>
      </c>
      <c r="N1268" s="2">
        <v>3.5991709063135602</v>
      </c>
      <c r="O1268" s="2">
        <f t="shared" si="79"/>
        <v>0</v>
      </c>
      <c r="P1268" s="2">
        <v>55.17876208029611</v>
      </c>
      <c r="Q1268" s="2">
        <v>0.37637453473257665</v>
      </c>
    </row>
    <row r="1269" spans="1:17" ht="15">
      <c r="A1269" s="2" t="s">
        <v>81</v>
      </c>
      <c r="B1269" s="2">
        <v>1001.7442159238271</v>
      </c>
      <c r="C1269" s="2">
        <v>714.49015196412802</v>
      </c>
      <c r="D1269" s="2">
        <v>549.16447540745139</v>
      </c>
      <c r="E1269" s="2">
        <v>294.28423572797328</v>
      </c>
      <c r="F1269" s="2">
        <v>10.331304618623108</v>
      </c>
      <c r="G1269" s="2">
        <v>0.80913484691642223</v>
      </c>
      <c r="H1269" s="2">
        <v>13725</v>
      </c>
      <c r="I1269" s="2">
        <v>1200</v>
      </c>
      <c r="J1269" s="2">
        <f>(IF(A1269='Hybrid Calculator'!$B$6,0,1))^2+((B1269-'Hybrid Calculator'!$B$7)/1500)^2+((C1269-'Hybrid Calculator'!$B$8)/1300)^2+((D1269-'Hybrid Calculator'!$B$9)/800)^2+((E1269-'Hybrid Calculator'!$B$10)/350)^2+((F1269-'Hybrid Calculator'!$B$11)/30)^2+(G1269-'Hybrid Calculator'!$B$12)^2+((H1269-'Hybrid Calculator'!$E$14)/IF(A1269="Lightning",100,30000))^2+((I1269-'Hybrid Calculator'!$E$17)/IF(A1269="Lightning",100,30000))^2</f>
        <v>1.5477828667118325</v>
      </c>
      <c r="K1269" s="2">
        <f t="shared" si="76"/>
        <v>1298</v>
      </c>
      <c r="L1269" s="2">
        <f t="shared" si="77"/>
        <v>0</v>
      </c>
      <c r="M1269" s="2">
        <f t="shared" si="78"/>
        <v>0</v>
      </c>
      <c r="N1269" s="2">
        <v>0.61956720719715008</v>
      </c>
      <c r="O1269" s="2">
        <f t="shared" si="79"/>
        <v>0</v>
      </c>
      <c r="P1269" s="2">
        <v>9.9891502332297932</v>
      </c>
      <c r="Q1269" s="2">
        <v>1.2189179590831145</v>
      </c>
    </row>
    <row r="1270" spans="1:17" ht="15">
      <c r="A1270" s="2" t="s">
        <v>81</v>
      </c>
      <c r="B1270" s="2">
        <v>968.92948085442185</v>
      </c>
      <c r="C1270" s="2">
        <v>944.62741067400202</v>
      </c>
      <c r="D1270" s="2">
        <v>654.12081573158503</v>
      </c>
      <c r="E1270" s="2">
        <v>327.02050356427208</v>
      </c>
      <c r="F1270" s="2">
        <v>17.918683560565114</v>
      </c>
      <c r="G1270" s="2">
        <v>0.79619546151952825</v>
      </c>
      <c r="H1270" s="2">
        <v>11105</v>
      </c>
      <c r="I1270" s="2">
        <v>1195</v>
      </c>
      <c r="J1270" s="2">
        <f>(IF(A1270='Hybrid Calculator'!$B$6,0,1))^2+((B1270-'Hybrid Calculator'!$B$7)/1500)^2+((C1270-'Hybrid Calculator'!$B$8)/1300)^2+((D1270-'Hybrid Calculator'!$B$9)/800)^2+((E1270-'Hybrid Calculator'!$B$10)/350)^2+((F1270-'Hybrid Calculator'!$B$11)/30)^2+(G1270-'Hybrid Calculator'!$B$12)^2+((H1270-'Hybrid Calculator'!$E$14)/IF(A1270="Lightning",100,30000))^2+((I1270-'Hybrid Calculator'!$E$17)/IF(A1270="Lightning",100,30000))^2</f>
        <v>1.5289190072610126</v>
      </c>
      <c r="K1270" s="2">
        <f t="shared" si="76"/>
        <v>1262</v>
      </c>
      <c r="L1270" s="2">
        <f t="shared" si="77"/>
        <v>0</v>
      </c>
      <c r="M1270" s="2">
        <f t="shared" si="78"/>
        <v>0</v>
      </c>
      <c r="N1270" s="2">
        <v>2.9207886528328402</v>
      </c>
      <c r="O1270" s="2">
        <f t="shared" si="79"/>
        <v>0</v>
      </c>
      <c r="P1270" s="2">
        <v>19.040328966256311</v>
      </c>
      <c r="Q1270" s="2">
        <v>-0.90609630643155015</v>
      </c>
    </row>
    <row r="1271" spans="1:17" ht="15">
      <c r="A1271" s="2" t="s">
        <v>81</v>
      </c>
      <c r="B1271" s="2">
        <v>956.00800175452605</v>
      </c>
      <c r="C1271" s="2">
        <v>619.63280972559005</v>
      </c>
      <c r="D1271" s="2">
        <v>384.49395084753633</v>
      </c>
      <c r="E1271" s="2">
        <v>166.22605283744633</v>
      </c>
      <c r="F1271" s="2">
        <v>28.206229433882982</v>
      </c>
      <c r="G1271" s="2">
        <v>0.80031523013953121</v>
      </c>
      <c r="H1271" s="2">
        <v>21320</v>
      </c>
      <c r="I1271" s="2">
        <v>1200</v>
      </c>
      <c r="J1271" s="2">
        <f>(IF(A1271='Hybrid Calculator'!$B$6,0,1))^2+((B1271-'Hybrid Calculator'!$B$7)/1500)^2+((C1271-'Hybrid Calculator'!$B$8)/1300)^2+((D1271-'Hybrid Calculator'!$B$9)/800)^2+((E1271-'Hybrid Calculator'!$B$10)/350)^2+((F1271-'Hybrid Calculator'!$B$11)/30)^2+(G1271-'Hybrid Calculator'!$B$12)^2+((H1271-'Hybrid Calculator'!$E$14)/IF(A1271="Lightning",100,30000))^2+((I1271-'Hybrid Calculator'!$E$17)/IF(A1271="Lightning",100,30000))^2</f>
        <v>1.7614357808983567</v>
      </c>
      <c r="K1271" s="2">
        <f t="shared" si="76"/>
        <v>1399</v>
      </c>
      <c r="L1271" s="2">
        <f t="shared" si="77"/>
        <v>0</v>
      </c>
      <c r="M1271" s="2">
        <f t="shared" si="78"/>
        <v>0</v>
      </c>
      <c r="N1271" s="2">
        <v>-4.4371588557717132</v>
      </c>
      <c r="O1271" s="2">
        <f t="shared" si="79"/>
        <v>0</v>
      </c>
      <c r="P1271" s="2">
        <v>-6.1579101490301582</v>
      </c>
      <c r="Q1271" s="2">
        <v>1.1545106152526614</v>
      </c>
    </row>
    <row r="1272" spans="1:17" ht="15">
      <c r="A1272" s="2" t="s">
        <v>81</v>
      </c>
      <c r="B1272" s="2">
        <v>994.54475359525532</v>
      </c>
      <c r="C1272" s="2">
        <v>1212.6827992149629</v>
      </c>
      <c r="D1272" s="2">
        <v>374.49690364301205</v>
      </c>
      <c r="E1272" s="2">
        <v>206.85223360313103</v>
      </c>
      <c r="F1272" s="2">
        <v>10.037661549635231</v>
      </c>
      <c r="G1272" s="2">
        <v>0.80204127904726197</v>
      </c>
      <c r="H1272" s="2">
        <v>11920</v>
      </c>
      <c r="I1272" s="2">
        <v>1195</v>
      </c>
      <c r="J1272" s="2">
        <f>(IF(A1272='Hybrid Calculator'!$B$6,0,1))^2+((B1272-'Hybrid Calculator'!$B$7)/1500)^2+((C1272-'Hybrid Calculator'!$B$8)/1300)^2+((D1272-'Hybrid Calculator'!$B$9)/800)^2+((E1272-'Hybrid Calculator'!$B$10)/350)^2+((F1272-'Hybrid Calculator'!$B$11)/30)^2+(G1272-'Hybrid Calculator'!$B$12)^2+((H1272-'Hybrid Calculator'!$E$14)/IF(A1272="Lightning",100,30000))^2+((I1272-'Hybrid Calculator'!$E$17)/IF(A1272="Lightning",100,30000))^2</f>
        <v>1.4491451819600158</v>
      </c>
      <c r="K1272" s="2">
        <f t="shared" si="76"/>
        <v>1107</v>
      </c>
      <c r="L1272" s="2">
        <f t="shared" si="77"/>
        <v>0</v>
      </c>
      <c r="M1272" s="2">
        <f t="shared" si="78"/>
        <v>0</v>
      </c>
      <c r="N1272" s="2">
        <v>5.2219736392058564</v>
      </c>
      <c r="O1272" s="2">
        <f t="shared" si="79"/>
        <v>0</v>
      </c>
      <c r="P1272" s="2">
        <v>57.21372357230166</v>
      </c>
      <c r="Q1272" s="2">
        <v>7.307063080788339</v>
      </c>
    </row>
    <row r="1273" spans="1:17" ht="15">
      <c r="A1273" s="2" t="s">
        <v>81</v>
      </c>
      <c r="B1273" s="2">
        <v>1036.0232328413986</v>
      </c>
      <c r="C1273" s="2">
        <v>1063.9072744641453</v>
      </c>
      <c r="D1273" s="2">
        <v>571.21330080553889</v>
      </c>
      <c r="E1273" s="2">
        <v>307.46908047702163</v>
      </c>
      <c r="F1273" s="2">
        <v>10.657424672972411</v>
      </c>
      <c r="G1273" s="2">
        <v>0.83135496528819208</v>
      </c>
      <c r="H1273" s="2">
        <v>11010</v>
      </c>
      <c r="I1273" s="2">
        <v>1195</v>
      </c>
      <c r="J1273" s="2">
        <f>(IF(A1273='Hybrid Calculator'!$B$6,0,1))^2+((B1273-'Hybrid Calculator'!$B$7)/1500)^2+((C1273-'Hybrid Calculator'!$B$8)/1300)^2+((D1273-'Hybrid Calculator'!$B$9)/800)^2+((E1273-'Hybrid Calculator'!$B$10)/350)^2+((F1273-'Hybrid Calculator'!$B$11)/30)^2+(G1273-'Hybrid Calculator'!$B$12)^2+((H1273-'Hybrid Calculator'!$E$14)/IF(A1273="Lightning",100,30000))^2+((I1273-'Hybrid Calculator'!$E$17)/IF(A1273="Lightning",100,30000))^2</f>
        <v>1.5081233176499322</v>
      </c>
      <c r="K1273" s="2">
        <f t="shared" si="76"/>
        <v>1225</v>
      </c>
      <c r="L1273" s="2">
        <f t="shared" si="77"/>
        <v>0</v>
      </c>
      <c r="M1273" s="2">
        <f t="shared" si="78"/>
        <v>0</v>
      </c>
      <c r="N1273" s="2">
        <v>0.20308940199959125</v>
      </c>
      <c r="O1273" s="2">
        <f t="shared" si="79"/>
        <v>0</v>
      </c>
      <c r="P1273" s="2">
        <v>20.118141014886533</v>
      </c>
      <c r="Q1273" s="2">
        <v>0.68082215556933079</v>
      </c>
    </row>
    <row r="1274" spans="1:17" ht="15">
      <c r="A1274" s="2" t="s">
        <v>81</v>
      </c>
      <c r="B1274" s="2">
        <v>1052.6017003227025</v>
      </c>
      <c r="C1274" s="2">
        <v>732.77265018550679</v>
      </c>
      <c r="D1274" s="2">
        <v>533.99643879383802</v>
      </c>
      <c r="E1274" s="2">
        <v>309.19406398432329</v>
      </c>
      <c r="F1274" s="2">
        <v>13.136603906750679</v>
      </c>
      <c r="G1274" s="2">
        <v>0.84985438956180592</v>
      </c>
      <c r="H1274" s="2">
        <v>13570</v>
      </c>
      <c r="I1274" s="2">
        <v>1200</v>
      </c>
      <c r="J1274" s="2">
        <f>(IF(A1274='Hybrid Calculator'!$B$6,0,1))^2+((B1274-'Hybrid Calculator'!$B$7)/1500)^2+((C1274-'Hybrid Calculator'!$B$8)/1300)^2+((D1274-'Hybrid Calculator'!$B$9)/800)^2+((E1274-'Hybrid Calculator'!$B$10)/350)^2+((F1274-'Hybrid Calculator'!$B$11)/30)^2+(G1274-'Hybrid Calculator'!$B$12)^2+((H1274-'Hybrid Calculator'!$E$14)/IF(A1274="Lightning",100,30000))^2+((I1274-'Hybrid Calculator'!$E$17)/IF(A1274="Lightning",100,30000))^2</f>
        <v>1.5159407469016486</v>
      </c>
      <c r="K1274" s="2">
        <f t="shared" si="76"/>
        <v>1240</v>
      </c>
      <c r="L1274" s="2">
        <f t="shared" si="77"/>
        <v>0</v>
      </c>
      <c r="M1274" s="2">
        <f t="shared" si="78"/>
        <v>0</v>
      </c>
      <c r="N1274" s="2">
        <v>1.0324371134865373</v>
      </c>
      <c r="O1274" s="2">
        <f t="shared" si="79"/>
        <v>0</v>
      </c>
      <c r="P1274" s="2">
        <v>-44.677438200500546</v>
      </c>
      <c r="Q1274" s="2">
        <v>2.3716253285306266</v>
      </c>
    </row>
    <row r="1275" spans="1:17" ht="15">
      <c r="A1275" s="2" t="s">
        <v>81</v>
      </c>
      <c r="B1275" s="2">
        <v>1025.1079623703845</v>
      </c>
      <c r="C1275" s="2">
        <v>1104.7239606967196</v>
      </c>
      <c r="D1275" s="2">
        <v>444.84485508874059</v>
      </c>
      <c r="E1275" s="2">
        <v>159.27735941484571</v>
      </c>
      <c r="F1275" s="2">
        <v>26.101335054729134</v>
      </c>
      <c r="G1275" s="2">
        <v>0.8152173994993791</v>
      </c>
      <c r="H1275" s="2">
        <v>12515</v>
      </c>
      <c r="I1275" s="2">
        <v>1200</v>
      </c>
      <c r="J1275" s="2">
        <f>(IF(A1275='Hybrid Calculator'!$B$6,0,1))^2+((B1275-'Hybrid Calculator'!$B$7)/1500)^2+((C1275-'Hybrid Calculator'!$B$8)/1300)^2+((D1275-'Hybrid Calculator'!$B$9)/800)^2+((E1275-'Hybrid Calculator'!$B$10)/350)^2+((F1275-'Hybrid Calculator'!$B$11)/30)^2+(G1275-'Hybrid Calculator'!$B$12)^2+((H1275-'Hybrid Calculator'!$E$14)/IF(A1275="Lightning",100,30000))^2+((I1275-'Hybrid Calculator'!$E$17)/IF(A1275="Lightning",100,30000))^2</f>
        <v>1.3533191556813478</v>
      </c>
      <c r="K1275" s="2">
        <f t="shared" si="76"/>
        <v>839</v>
      </c>
      <c r="L1275" s="2">
        <f t="shared" si="77"/>
        <v>0</v>
      </c>
      <c r="M1275" s="2">
        <f t="shared" si="78"/>
        <v>0</v>
      </c>
      <c r="N1275" s="2">
        <v>2.0485908148647525</v>
      </c>
      <c r="O1275" s="2">
        <f t="shared" si="79"/>
        <v>0</v>
      </c>
      <c r="P1275" s="2">
        <v>-6.5084301474103086</v>
      </c>
      <c r="Q1275" s="2">
        <v>-4.6451687471322884</v>
      </c>
    </row>
    <row r="1276" spans="1:17" ht="15">
      <c r="A1276" s="2" t="s">
        <v>81</v>
      </c>
      <c r="B1276" s="2">
        <v>959.35004050843418</v>
      </c>
      <c r="C1276" s="2">
        <v>650.21248840494081</v>
      </c>
      <c r="D1276" s="2">
        <v>655.05010243505239</v>
      </c>
      <c r="E1276" s="2">
        <v>90.114309203345329</v>
      </c>
      <c r="F1276" s="2">
        <v>14.999844860285521</v>
      </c>
      <c r="G1276" s="2">
        <v>0.79623497050488368</v>
      </c>
      <c r="H1276" s="2">
        <v>15325</v>
      </c>
      <c r="I1276" s="2">
        <v>1200</v>
      </c>
      <c r="J1276" s="2">
        <f>(IF(A1276='Hybrid Calculator'!$B$6,0,1))^2+((B1276-'Hybrid Calculator'!$B$7)/1500)^2+((C1276-'Hybrid Calculator'!$B$8)/1300)^2+((D1276-'Hybrid Calculator'!$B$9)/800)^2+((E1276-'Hybrid Calculator'!$B$10)/350)^2+((F1276-'Hybrid Calculator'!$B$11)/30)^2+(G1276-'Hybrid Calculator'!$B$12)^2+((H1276-'Hybrid Calculator'!$E$14)/IF(A1276="Lightning",100,30000))^2+((I1276-'Hybrid Calculator'!$E$17)/IF(A1276="Lightning",100,30000))^2</f>
        <v>1.461788247158079</v>
      </c>
      <c r="K1276" s="2">
        <f t="shared" si="76"/>
        <v>1138</v>
      </c>
      <c r="L1276" s="2">
        <f t="shared" si="77"/>
        <v>0</v>
      </c>
      <c r="M1276" s="2">
        <f t="shared" si="78"/>
        <v>0</v>
      </c>
      <c r="N1276" s="2">
        <v>-2.2563860381498273</v>
      </c>
      <c r="O1276" s="2">
        <f t="shared" si="79"/>
        <v>0</v>
      </c>
      <c r="P1276" s="2">
        <v>-44.978305319949868</v>
      </c>
      <c r="Q1276" s="2">
        <v>8.6713687196280489</v>
      </c>
    </row>
    <row r="1277" spans="1:17" ht="15">
      <c r="A1277" s="2" t="s">
        <v>81</v>
      </c>
      <c r="B1277" s="2">
        <v>1083.9965432998724</v>
      </c>
      <c r="C1277" s="2">
        <v>953.80113634746522</v>
      </c>
      <c r="D1277" s="2">
        <v>713.02950577810407</v>
      </c>
      <c r="E1277" s="2">
        <v>194.08280488103628</v>
      </c>
      <c r="F1277" s="2">
        <v>29.10342081123963</v>
      </c>
      <c r="G1277" s="2">
        <v>0.84956148560624578</v>
      </c>
      <c r="H1277" s="2">
        <v>11490</v>
      </c>
      <c r="I1277" s="2">
        <v>1195</v>
      </c>
      <c r="J1277" s="2">
        <f>(IF(A1277='Hybrid Calculator'!$B$6,0,1))^2+((B1277-'Hybrid Calculator'!$B$7)/1500)^2+((C1277-'Hybrid Calculator'!$B$8)/1300)^2+((D1277-'Hybrid Calculator'!$B$9)/800)^2+((E1277-'Hybrid Calculator'!$B$10)/350)^2+((F1277-'Hybrid Calculator'!$B$11)/30)^2+(G1277-'Hybrid Calculator'!$B$12)^2+((H1277-'Hybrid Calculator'!$E$14)/IF(A1277="Lightning",100,30000))^2+((I1277-'Hybrid Calculator'!$E$17)/IF(A1277="Lightning",100,30000))^2</f>
        <v>1.4175643947579659</v>
      </c>
      <c r="K1277" s="2">
        <f t="shared" si="76"/>
        <v>1032</v>
      </c>
      <c r="L1277" s="2">
        <f t="shared" si="77"/>
        <v>0</v>
      </c>
      <c r="M1277" s="2">
        <f t="shared" si="78"/>
        <v>0</v>
      </c>
      <c r="N1277" s="2">
        <v>0.15598546683150971</v>
      </c>
      <c r="O1277" s="2">
        <f t="shared" si="79"/>
        <v>0</v>
      </c>
      <c r="P1277" s="2">
        <v>-17.907597103182979</v>
      </c>
      <c r="Q1277" s="2">
        <v>-20.751493906903534</v>
      </c>
    </row>
    <row r="1278" spans="1:17" ht="15">
      <c r="A1278" s="2" t="s">
        <v>81</v>
      </c>
      <c r="B1278" s="2">
        <v>1054.6879630768672</v>
      </c>
      <c r="C1278" s="2">
        <v>674.3197790463455</v>
      </c>
      <c r="D1278" s="2">
        <v>709.17618498206139</v>
      </c>
      <c r="E1278" s="2">
        <v>226.08403429156169</v>
      </c>
      <c r="F1278" s="2">
        <v>15.585261634550989</v>
      </c>
      <c r="G1278" s="2">
        <v>0.84986828395864</v>
      </c>
      <c r="H1278" s="2">
        <v>13285</v>
      </c>
      <c r="I1278" s="2">
        <v>1200</v>
      </c>
      <c r="J1278" s="2">
        <f>(IF(A1278='Hybrid Calculator'!$B$6,0,1))^2+((B1278-'Hybrid Calculator'!$B$7)/1500)^2+((C1278-'Hybrid Calculator'!$B$8)/1300)^2+((D1278-'Hybrid Calculator'!$B$9)/800)^2+((E1278-'Hybrid Calculator'!$B$10)/350)^2+((F1278-'Hybrid Calculator'!$B$11)/30)^2+(G1278-'Hybrid Calculator'!$B$12)^2+((H1278-'Hybrid Calculator'!$E$14)/IF(A1278="Lightning",100,30000))^2+((I1278-'Hybrid Calculator'!$E$17)/IF(A1278="Lightning",100,30000))^2</f>
        <v>1.40132543023332</v>
      </c>
      <c r="K1278" s="2">
        <f t="shared" si="76"/>
        <v>978</v>
      </c>
      <c r="L1278" s="2">
        <f t="shared" si="77"/>
        <v>0</v>
      </c>
      <c r="M1278" s="2">
        <f t="shared" si="78"/>
        <v>0</v>
      </c>
      <c r="N1278" s="2">
        <v>3.1324963161028165</v>
      </c>
      <c r="O1278" s="2">
        <f t="shared" si="79"/>
        <v>0</v>
      </c>
      <c r="P1278" s="2">
        <v>-29.535982988904379</v>
      </c>
      <c r="Q1278" s="2">
        <v>5.1430344541606701</v>
      </c>
    </row>
    <row r="1279" spans="1:17" ht="15">
      <c r="A1279" s="2" t="s">
        <v>81</v>
      </c>
      <c r="B1279" s="2">
        <v>1020.633065502625</v>
      </c>
      <c r="C1279" s="2">
        <v>984.65246185660362</v>
      </c>
      <c r="D1279" s="2">
        <v>437.70218184217811</v>
      </c>
      <c r="E1279" s="2">
        <v>185.41127540636808</v>
      </c>
      <c r="F1279" s="2">
        <v>9.0747244670055807</v>
      </c>
      <c r="G1279" s="2">
        <v>0.79934480230323979</v>
      </c>
      <c r="H1279" s="2">
        <v>13300</v>
      </c>
      <c r="I1279" s="2">
        <v>1200</v>
      </c>
      <c r="J1279" s="2">
        <f>(IF(A1279='Hybrid Calculator'!$B$6,0,1))^2+((B1279-'Hybrid Calculator'!$B$7)/1500)^2+((C1279-'Hybrid Calculator'!$B$8)/1300)^2+((D1279-'Hybrid Calculator'!$B$9)/800)^2+((E1279-'Hybrid Calculator'!$B$10)/350)^2+((F1279-'Hybrid Calculator'!$B$11)/30)^2+(G1279-'Hybrid Calculator'!$B$12)^2+((H1279-'Hybrid Calculator'!$E$14)/IF(A1279="Lightning",100,30000))^2+((I1279-'Hybrid Calculator'!$E$17)/IF(A1279="Lightning",100,30000))^2</f>
        <v>1.3954379068292082</v>
      </c>
      <c r="K1279" s="2">
        <f t="shared" si="76"/>
        <v>965</v>
      </c>
      <c r="L1279" s="2">
        <f t="shared" si="77"/>
        <v>0</v>
      </c>
      <c r="M1279" s="2">
        <f t="shared" si="78"/>
        <v>0</v>
      </c>
      <c r="N1279" s="2">
        <v>2.2749089632435755</v>
      </c>
      <c r="O1279" s="2">
        <f t="shared" si="79"/>
        <v>0</v>
      </c>
      <c r="P1279" s="2">
        <v>23.438787551016503</v>
      </c>
      <c r="Q1279" s="2">
        <v>9.5238692055136198</v>
      </c>
    </row>
    <row r="1280" spans="1:17" ht="15">
      <c r="A1280" s="2" t="s">
        <v>81</v>
      </c>
      <c r="B1280" s="2">
        <v>1020.8384222351015</v>
      </c>
      <c r="C1280" s="2">
        <v>860.78467214247212</v>
      </c>
      <c r="D1280" s="2">
        <v>602.21054200083017</v>
      </c>
      <c r="E1280" s="2">
        <v>109.28195061394945</v>
      </c>
      <c r="F1280" s="2">
        <v>16.611915612593293</v>
      </c>
      <c r="G1280" s="2">
        <v>0.84099992308067162</v>
      </c>
      <c r="H1280" s="2">
        <v>13600</v>
      </c>
      <c r="I1280" s="2">
        <v>1200</v>
      </c>
      <c r="J1280" s="2">
        <f>(IF(A1280='Hybrid Calculator'!$B$6,0,1))^2+((B1280-'Hybrid Calculator'!$B$7)/1500)^2+((C1280-'Hybrid Calculator'!$B$8)/1300)^2+((D1280-'Hybrid Calculator'!$B$9)/800)^2+((E1280-'Hybrid Calculator'!$B$10)/350)^2+((F1280-'Hybrid Calculator'!$B$11)/30)^2+(G1280-'Hybrid Calculator'!$B$12)^2+((H1280-'Hybrid Calculator'!$E$14)/IF(A1280="Lightning",100,30000))^2+((I1280-'Hybrid Calculator'!$E$17)/IF(A1280="Lightning",100,30000))^2</f>
        <v>1.3124638563963045</v>
      </c>
      <c r="K1280" s="2">
        <f t="shared" si="76"/>
        <v>750</v>
      </c>
      <c r="L1280" s="2">
        <f t="shared" si="77"/>
        <v>0</v>
      </c>
      <c r="M1280" s="2">
        <f t="shared" si="78"/>
        <v>0</v>
      </c>
      <c r="N1280" s="2">
        <v>1.9810253578575612</v>
      </c>
      <c r="O1280" s="2">
        <f t="shared" si="79"/>
        <v>0</v>
      </c>
      <c r="P1280" s="2">
        <v>13.771767998524865</v>
      </c>
      <c r="Q1280" s="2">
        <v>-2.0985486439996066</v>
      </c>
    </row>
    <row r="1281" spans="1:17" ht="15">
      <c r="A1281" s="2" t="s">
        <v>81</v>
      </c>
      <c r="B1281" s="2">
        <v>1097.4327342235483</v>
      </c>
      <c r="C1281" s="2">
        <v>1065.1558066951111</v>
      </c>
      <c r="D1281" s="2">
        <v>671.58976132050157</v>
      </c>
      <c r="E1281" s="2">
        <v>262.43074812926352</v>
      </c>
      <c r="F1281" s="2">
        <v>16.804123290348798</v>
      </c>
      <c r="G1281" s="2">
        <v>0.80436070120427761</v>
      </c>
      <c r="H1281" s="2">
        <v>10695</v>
      </c>
      <c r="I1281" s="2">
        <v>1195</v>
      </c>
      <c r="J1281" s="2">
        <f>(IF(A1281='Hybrid Calculator'!$B$6,0,1))^2+((B1281-'Hybrid Calculator'!$B$7)/1500)^2+((C1281-'Hybrid Calculator'!$B$8)/1300)^2+((D1281-'Hybrid Calculator'!$B$9)/800)^2+((E1281-'Hybrid Calculator'!$B$10)/350)^2+((F1281-'Hybrid Calculator'!$B$11)/30)^2+(G1281-'Hybrid Calculator'!$B$12)^2+((H1281-'Hybrid Calculator'!$E$14)/IF(A1281="Lightning",100,30000))^2+((I1281-'Hybrid Calculator'!$E$17)/IF(A1281="Lightning",100,30000))^2</f>
        <v>1.3551425200410014</v>
      </c>
      <c r="K1281" s="2">
        <f t="shared" si="76"/>
        <v>844</v>
      </c>
      <c r="L1281" s="2">
        <f t="shared" si="77"/>
        <v>0</v>
      </c>
      <c r="M1281" s="2">
        <f t="shared" si="78"/>
        <v>0</v>
      </c>
      <c r="N1281" s="2">
        <v>1.4060196449049158</v>
      </c>
      <c r="O1281" s="2">
        <f t="shared" si="79"/>
        <v>0</v>
      </c>
      <c r="P1281" s="2">
        <v>-25.867503292316997</v>
      </c>
      <c r="Q1281" s="2">
        <v>-8.5946692551183332</v>
      </c>
    </row>
    <row r="1282" spans="1:17" ht="15">
      <c r="A1282" s="2" t="s">
        <v>81</v>
      </c>
      <c r="B1282" s="2">
        <v>1079.0607422357425</v>
      </c>
      <c r="C1282" s="2">
        <v>1108.6472959839739</v>
      </c>
      <c r="D1282" s="2">
        <v>407.71809630095959</v>
      </c>
      <c r="E1282" s="2">
        <v>147.92033993406221</v>
      </c>
      <c r="F1282" s="2">
        <v>22.3304249541834</v>
      </c>
      <c r="G1282" s="2">
        <v>0.82115113758249214</v>
      </c>
      <c r="H1282" s="2">
        <v>12850</v>
      </c>
      <c r="I1282" s="2">
        <v>1200</v>
      </c>
      <c r="J1282" s="2">
        <f>(IF(A1282='Hybrid Calculator'!$B$6,0,1))^2+((B1282-'Hybrid Calculator'!$B$7)/1500)^2+((C1282-'Hybrid Calculator'!$B$8)/1300)^2+((D1282-'Hybrid Calculator'!$B$9)/800)^2+((E1282-'Hybrid Calculator'!$B$10)/350)^2+((F1282-'Hybrid Calculator'!$B$11)/30)^2+(G1282-'Hybrid Calculator'!$B$12)^2+((H1282-'Hybrid Calculator'!$E$14)/IF(A1282="Lightning",100,30000))^2+((I1282-'Hybrid Calculator'!$E$17)/IF(A1282="Lightning",100,30000))^2</f>
        <v>1.3059969668888964</v>
      </c>
      <c r="K1282" s="2">
        <f t="shared" ref="K1282:K1345" si="80">RANK(J1282,$J$2:$J$1401,1)</f>
        <v>741</v>
      </c>
      <c r="L1282" s="2">
        <f t="shared" ref="L1282:L1345" si="81">IF(K1282&lt;=7,1,0)</f>
        <v>0</v>
      </c>
      <c r="M1282" s="2">
        <f t="shared" ref="M1282:M1345" si="82">IF(L1282=1,1/(J1282+0.000001),0)</f>
        <v>0</v>
      </c>
      <c r="N1282" s="2">
        <v>1.995149042926414</v>
      </c>
      <c r="O1282" s="2">
        <f t="shared" ref="O1282:O1345" si="83">M1282</f>
        <v>0</v>
      </c>
      <c r="P1282" s="2">
        <v>64.038519598977928</v>
      </c>
      <c r="Q1282" s="2">
        <v>-1.1891075086211913</v>
      </c>
    </row>
    <row r="1283" spans="1:17" ht="15">
      <c r="A1283" s="2" t="s">
        <v>81</v>
      </c>
      <c r="B1283" s="2">
        <v>1008.7308894260786</v>
      </c>
      <c r="C1283" s="2">
        <v>682.90593777783215</v>
      </c>
      <c r="D1283" s="2">
        <v>509.70697132870555</v>
      </c>
      <c r="E1283" s="2">
        <v>293.0488142138347</v>
      </c>
      <c r="F1283" s="2">
        <v>20.011672324966639</v>
      </c>
      <c r="G1283" s="2">
        <v>0.79658703340217474</v>
      </c>
      <c r="H1283" s="2">
        <v>14395</v>
      </c>
      <c r="I1283" s="2">
        <v>1200</v>
      </c>
      <c r="J1283" s="2">
        <f>(IF(A1283='Hybrid Calculator'!$B$6,0,1))^2+((B1283-'Hybrid Calculator'!$B$7)/1500)^2+((C1283-'Hybrid Calculator'!$B$8)/1300)^2+((D1283-'Hybrid Calculator'!$B$9)/800)^2+((E1283-'Hybrid Calculator'!$B$10)/350)^2+((F1283-'Hybrid Calculator'!$B$11)/30)^2+(G1283-'Hybrid Calculator'!$B$12)^2+((H1283-'Hybrid Calculator'!$E$14)/IF(A1283="Lightning",100,30000))^2+((I1283-'Hybrid Calculator'!$E$17)/IF(A1283="Lightning",100,30000))^2</f>
        <v>1.4939907229729097</v>
      </c>
      <c r="K1283" s="2">
        <f t="shared" si="80"/>
        <v>1195</v>
      </c>
      <c r="L1283" s="2">
        <f t="shared" si="81"/>
        <v>0</v>
      </c>
      <c r="M1283" s="2">
        <f t="shared" si="82"/>
        <v>0</v>
      </c>
      <c r="N1283" s="2">
        <v>1.0930676594584554</v>
      </c>
      <c r="O1283" s="2">
        <f t="shared" si="83"/>
        <v>0</v>
      </c>
      <c r="P1283" s="2">
        <v>-30.443378871849745</v>
      </c>
      <c r="Q1283" s="2">
        <v>7.8322462978943577</v>
      </c>
    </row>
    <row r="1284" spans="1:17" ht="15">
      <c r="A1284" s="2" t="s">
        <v>81</v>
      </c>
      <c r="B1284" s="2">
        <v>1032.9537129495293</v>
      </c>
      <c r="C1284" s="2">
        <v>1095.9825483965687</v>
      </c>
      <c r="D1284" s="2">
        <v>414.50091134756804</v>
      </c>
      <c r="E1284" s="2">
        <v>251.17999988840893</v>
      </c>
      <c r="F1284" s="2">
        <v>25.453149743378162</v>
      </c>
      <c r="G1284" s="2">
        <v>0.82585938344011089</v>
      </c>
      <c r="H1284" s="2">
        <v>12140</v>
      </c>
      <c r="I1284" s="2">
        <v>1200</v>
      </c>
      <c r="J1284" s="2">
        <f>(IF(A1284='Hybrid Calculator'!$B$6,0,1))^2+((B1284-'Hybrid Calculator'!$B$7)/1500)^2+((C1284-'Hybrid Calculator'!$B$8)/1300)^2+((D1284-'Hybrid Calculator'!$B$9)/800)^2+((E1284-'Hybrid Calculator'!$B$10)/350)^2+((F1284-'Hybrid Calculator'!$B$11)/30)^2+(G1284-'Hybrid Calculator'!$B$12)^2+((H1284-'Hybrid Calculator'!$E$14)/IF(A1284="Lightning",100,30000))^2+((I1284-'Hybrid Calculator'!$E$17)/IF(A1284="Lightning",100,30000))^2</f>
        <v>1.4168024779493598</v>
      </c>
      <c r="K1284" s="2">
        <f t="shared" si="80"/>
        <v>1030</v>
      </c>
      <c r="L1284" s="2">
        <f t="shared" si="81"/>
        <v>0</v>
      </c>
      <c r="M1284" s="2">
        <f t="shared" si="82"/>
        <v>0</v>
      </c>
      <c r="N1284" s="2">
        <v>2.2461413253966498</v>
      </c>
      <c r="O1284" s="2">
        <f t="shared" si="83"/>
        <v>0</v>
      </c>
      <c r="P1284" s="2">
        <v>24.047907016778481</v>
      </c>
      <c r="Q1284" s="2">
        <v>-5.1760378452631812</v>
      </c>
    </row>
    <row r="1285" spans="1:17" ht="15">
      <c r="A1285" s="2" t="s">
        <v>81</v>
      </c>
      <c r="B1285" s="2">
        <v>1074.7214044560678</v>
      </c>
      <c r="C1285" s="2">
        <v>1168.3705396717414</v>
      </c>
      <c r="D1285" s="2">
        <v>704.45617707446218</v>
      </c>
      <c r="E1285" s="2">
        <v>119.10753643140197</v>
      </c>
      <c r="F1285" s="2">
        <v>10.736401586327702</v>
      </c>
      <c r="G1285" s="2">
        <v>0.79013992847409098</v>
      </c>
      <c r="H1285" s="2">
        <v>10735</v>
      </c>
      <c r="I1285" s="2">
        <v>1195</v>
      </c>
      <c r="J1285" s="2">
        <f>(IF(A1285='Hybrid Calculator'!$B$6,0,1))^2+((B1285-'Hybrid Calculator'!$B$7)/1500)^2+((C1285-'Hybrid Calculator'!$B$8)/1300)^2+((D1285-'Hybrid Calculator'!$B$9)/800)^2+((E1285-'Hybrid Calculator'!$B$10)/350)^2+((F1285-'Hybrid Calculator'!$B$11)/30)^2+(G1285-'Hybrid Calculator'!$B$12)^2+((H1285-'Hybrid Calculator'!$E$14)/IF(A1285="Lightning",100,30000))^2+((I1285-'Hybrid Calculator'!$E$17)/IF(A1285="Lightning",100,30000))^2</f>
        <v>1.3838519000289125</v>
      </c>
      <c r="K1285" s="2">
        <f t="shared" si="80"/>
        <v>927</v>
      </c>
      <c r="L1285" s="2">
        <f t="shared" si="81"/>
        <v>0</v>
      </c>
      <c r="M1285" s="2">
        <f t="shared" si="82"/>
        <v>0</v>
      </c>
      <c r="N1285" s="2">
        <v>3.9059021088529846</v>
      </c>
      <c r="O1285" s="2">
        <f t="shared" si="83"/>
        <v>0</v>
      </c>
      <c r="P1285" s="2">
        <v>38.385828722628048</v>
      </c>
      <c r="Q1285" s="2">
        <v>-6.0210905852711676</v>
      </c>
    </row>
    <row r="1286" spans="1:17" ht="15">
      <c r="A1286" s="2" t="s">
        <v>81</v>
      </c>
      <c r="B1286" s="2">
        <v>1007.0209394441918</v>
      </c>
      <c r="C1286" s="2">
        <v>663.43366989167407</v>
      </c>
      <c r="D1286" s="2">
        <v>616.35115146636963</v>
      </c>
      <c r="E1286" s="2">
        <v>233.01359252771363</v>
      </c>
      <c r="F1286" s="2">
        <v>8.8024883447214961</v>
      </c>
      <c r="G1286" s="2">
        <v>0.83806293211644523</v>
      </c>
      <c r="H1286" s="2">
        <v>14135</v>
      </c>
      <c r="I1286" s="2">
        <v>1200</v>
      </c>
      <c r="J1286" s="2">
        <f>(IF(A1286='Hybrid Calculator'!$B$6,0,1))^2+((B1286-'Hybrid Calculator'!$B$7)/1500)^2+((C1286-'Hybrid Calculator'!$B$8)/1300)^2+((D1286-'Hybrid Calculator'!$B$9)/800)^2+((E1286-'Hybrid Calculator'!$B$10)/350)^2+((F1286-'Hybrid Calculator'!$B$11)/30)^2+(G1286-'Hybrid Calculator'!$B$12)^2+((H1286-'Hybrid Calculator'!$E$14)/IF(A1286="Lightning",100,30000))^2+((I1286-'Hybrid Calculator'!$E$17)/IF(A1286="Lightning",100,30000))^2</f>
        <v>1.5024321879866724</v>
      </c>
      <c r="K1286" s="2">
        <f t="shared" si="80"/>
        <v>1214</v>
      </c>
      <c r="L1286" s="2">
        <f t="shared" si="81"/>
        <v>0</v>
      </c>
      <c r="M1286" s="2">
        <f t="shared" si="82"/>
        <v>0</v>
      </c>
      <c r="N1286" s="2">
        <v>-0.38421671901258492</v>
      </c>
      <c r="O1286" s="2">
        <f t="shared" si="83"/>
        <v>0</v>
      </c>
      <c r="P1286" s="2">
        <v>-49.262235966642493</v>
      </c>
      <c r="Q1286" s="2">
        <v>2.8105044676665329</v>
      </c>
    </row>
    <row r="1287" spans="1:17" ht="15">
      <c r="A1287" s="2" t="s">
        <v>81</v>
      </c>
      <c r="B1287" s="2">
        <v>1055.9623584966175</v>
      </c>
      <c r="C1287" s="2">
        <v>1164.1427055932581</v>
      </c>
      <c r="D1287" s="2">
        <v>436.4441848360002</v>
      </c>
      <c r="E1287" s="2">
        <v>205.74458273593336</v>
      </c>
      <c r="F1287" s="2">
        <v>13.332405996974558</v>
      </c>
      <c r="G1287" s="2">
        <v>0.80999966652132571</v>
      </c>
      <c r="H1287" s="2">
        <v>11840</v>
      </c>
      <c r="I1287" s="2">
        <v>1195</v>
      </c>
      <c r="J1287" s="2">
        <f>(IF(A1287='Hybrid Calculator'!$B$6,0,1))^2+((B1287-'Hybrid Calculator'!$B$7)/1500)^2+((C1287-'Hybrid Calculator'!$B$8)/1300)^2+((D1287-'Hybrid Calculator'!$B$9)/800)^2+((E1287-'Hybrid Calculator'!$B$10)/350)^2+((F1287-'Hybrid Calculator'!$B$11)/30)^2+(G1287-'Hybrid Calculator'!$B$12)^2+((H1287-'Hybrid Calculator'!$E$14)/IF(A1287="Lightning",100,30000))^2+((I1287-'Hybrid Calculator'!$E$17)/IF(A1287="Lightning",100,30000))^2</f>
        <v>1.3363418447172235</v>
      </c>
      <c r="K1287" s="2">
        <f t="shared" si="80"/>
        <v>791</v>
      </c>
      <c r="L1287" s="2">
        <f t="shared" si="81"/>
        <v>0</v>
      </c>
      <c r="M1287" s="2">
        <f t="shared" si="82"/>
        <v>0</v>
      </c>
      <c r="N1287" s="2">
        <v>4.5480918501012582</v>
      </c>
      <c r="O1287" s="2">
        <f t="shared" si="83"/>
        <v>0</v>
      </c>
      <c r="P1287" s="2">
        <v>15.452134905737694</v>
      </c>
      <c r="Q1287" s="2">
        <v>2.560315160677419</v>
      </c>
    </row>
    <row r="1288" spans="1:17" ht="15">
      <c r="A1288" s="2" t="s">
        <v>81</v>
      </c>
      <c r="B1288" s="2">
        <v>1012.0359657332301</v>
      </c>
      <c r="C1288" s="2">
        <v>605.51330338930711</v>
      </c>
      <c r="D1288" s="2">
        <v>648.31893462687731</v>
      </c>
      <c r="E1288" s="2">
        <v>216.92937005544081</v>
      </c>
      <c r="F1288" s="2">
        <v>22.846350273117423</v>
      </c>
      <c r="G1288" s="2">
        <v>0.82303317875834181</v>
      </c>
      <c r="H1288" s="2">
        <v>14540</v>
      </c>
      <c r="I1288" s="2">
        <v>1200</v>
      </c>
      <c r="J1288" s="2">
        <f>(IF(A1288='Hybrid Calculator'!$B$6,0,1))^2+((B1288-'Hybrid Calculator'!$B$7)/1500)^2+((C1288-'Hybrid Calculator'!$B$8)/1300)^2+((D1288-'Hybrid Calculator'!$B$9)/800)^2+((E1288-'Hybrid Calculator'!$B$10)/350)^2+((F1288-'Hybrid Calculator'!$B$11)/30)^2+(G1288-'Hybrid Calculator'!$B$12)^2+((H1288-'Hybrid Calculator'!$E$14)/IF(A1288="Lightning",100,30000))^2+((I1288-'Hybrid Calculator'!$E$17)/IF(A1288="Lightning",100,30000))^2</f>
        <v>1.437926627805407</v>
      </c>
      <c r="K1288" s="2">
        <f t="shared" si="80"/>
        <v>1079</v>
      </c>
      <c r="L1288" s="2">
        <f t="shared" si="81"/>
        <v>0</v>
      </c>
      <c r="M1288" s="2">
        <f t="shared" si="82"/>
        <v>0</v>
      </c>
      <c r="N1288" s="2">
        <v>0.3848586331061199</v>
      </c>
      <c r="O1288" s="2">
        <f t="shared" si="83"/>
        <v>0</v>
      </c>
      <c r="P1288" s="2">
        <v>7.6667371638914119</v>
      </c>
      <c r="Q1288" s="2">
        <v>-1.3872837000187701</v>
      </c>
    </row>
    <row r="1289" spans="1:17" ht="15">
      <c r="A1289" s="2" t="s">
        <v>81</v>
      </c>
      <c r="B1289" s="2">
        <v>1023.1879529193975</v>
      </c>
      <c r="C1289" s="2">
        <v>1088.5545429075137</v>
      </c>
      <c r="D1289" s="2">
        <v>537.06296095624566</v>
      </c>
      <c r="E1289" s="2">
        <v>248.44555246643722</v>
      </c>
      <c r="F1289" s="2">
        <v>20.516784687060863</v>
      </c>
      <c r="G1289" s="2">
        <v>0.79071503531653442</v>
      </c>
      <c r="H1289" s="2">
        <v>11410</v>
      </c>
      <c r="I1289" s="2">
        <v>1195</v>
      </c>
      <c r="J1289" s="2">
        <f>(IF(A1289='Hybrid Calculator'!$B$6,0,1))^2+((B1289-'Hybrid Calculator'!$B$7)/1500)^2+((C1289-'Hybrid Calculator'!$B$8)/1300)^2+((D1289-'Hybrid Calculator'!$B$9)/800)^2+((E1289-'Hybrid Calculator'!$B$10)/350)^2+((F1289-'Hybrid Calculator'!$B$11)/30)^2+(G1289-'Hybrid Calculator'!$B$12)^2+((H1289-'Hybrid Calculator'!$E$14)/IF(A1289="Lightning",100,30000))^2+((I1289-'Hybrid Calculator'!$E$17)/IF(A1289="Lightning",100,30000))^2</f>
        <v>1.3369776490981506</v>
      </c>
      <c r="K1289" s="2">
        <f t="shared" si="80"/>
        <v>794</v>
      </c>
      <c r="L1289" s="2">
        <f t="shared" si="81"/>
        <v>0</v>
      </c>
      <c r="M1289" s="2">
        <f t="shared" si="82"/>
        <v>0</v>
      </c>
      <c r="N1289" s="2">
        <v>-1.9366076369464054</v>
      </c>
      <c r="O1289" s="2">
        <f t="shared" si="83"/>
        <v>0</v>
      </c>
      <c r="P1289" s="2">
        <v>-16.412326016321458</v>
      </c>
      <c r="Q1289" s="2">
        <v>-9.537571743978674</v>
      </c>
    </row>
    <row r="1290" spans="1:17" ht="15">
      <c r="A1290" s="2" t="s">
        <v>81</v>
      </c>
      <c r="B1290" s="2">
        <v>996.32389741018414</v>
      </c>
      <c r="C1290" s="2">
        <v>1123.2364916591905</v>
      </c>
      <c r="D1290" s="2">
        <v>457.52196703106165</v>
      </c>
      <c r="E1290" s="2">
        <v>265.37472939351574</v>
      </c>
      <c r="F1290" s="2">
        <v>23.880544679239392</v>
      </c>
      <c r="G1290" s="2">
        <v>0.84989997475640855</v>
      </c>
      <c r="H1290" s="2">
        <v>13515</v>
      </c>
      <c r="I1290" s="2">
        <v>1200</v>
      </c>
      <c r="J1290" s="2">
        <f>(IF(A1290='Hybrid Calculator'!$B$6,0,1))^2+((B1290-'Hybrid Calculator'!$B$7)/1500)^2+((C1290-'Hybrid Calculator'!$B$8)/1300)^2+((D1290-'Hybrid Calculator'!$B$9)/800)^2+((E1290-'Hybrid Calculator'!$B$10)/350)^2+((F1290-'Hybrid Calculator'!$B$11)/30)^2+(G1290-'Hybrid Calculator'!$B$12)^2+((H1290-'Hybrid Calculator'!$E$14)/IF(A1290="Lightning",100,30000))^2+((I1290-'Hybrid Calculator'!$E$17)/IF(A1290="Lightning",100,30000))^2</f>
        <v>1.4733785783492657</v>
      </c>
      <c r="K1290" s="2">
        <f t="shared" si="80"/>
        <v>1166</v>
      </c>
      <c r="L1290" s="2">
        <f t="shared" si="81"/>
        <v>0</v>
      </c>
      <c r="M1290" s="2">
        <f t="shared" si="82"/>
        <v>0</v>
      </c>
      <c r="N1290" s="2">
        <v>-8.8394201755704671E-2</v>
      </c>
      <c r="O1290" s="2">
        <f t="shared" si="83"/>
        <v>0</v>
      </c>
      <c r="P1290" s="2">
        <v>35.723415641405609</v>
      </c>
      <c r="Q1290" s="2">
        <v>-14.161485272928417</v>
      </c>
    </row>
    <row r="1291" spans="1:17" ht="15">
      <c r="A1291" s="2" t="s">
        <v>81</v>
      </c>
      <c r="B1291" s="2">
        <v>1047.1174664446153</v>
      </c>
      <c r="C1291" s="2">
        <v>973.72364972252399</v>
      </c>
      <c r="D1291" s="2">
        <v>603.22988713160157</v>
      </c>
      <c r="E1291" s="2">
        <v>312.69057390280068</v>
      </c>
      <c r="F1291" s="2">
        <v>15.615744621027261</v>
      </c>
      <c r="G1291" s="2">
        <v>0.80434621619526303</v>
      </c>
      <c r="H1291" s="2">
        <v>11315</v>
      </c>
      <c r="I1291" s="2">
        <v>1195</v>
      </c>
      <c r="J1291" s="2">
        <f>(IF(A1291='Hybrid Calculator'!$B$6,0,1))^2+((B1291-'Hybrid Calculator'!$B$7)/1500)^2+((C1291-'Hybrid Calculator'!$B$8)/1300)^2+((D1291-'Hybrid Calculator'!$B$9)/800)^2+((E1291-'Hybrid Calculator'!$B$10)/350)^2+((F1291-'Hybrid Calculator'!$B$11)/30)^2+(G1291-'Hybrid Calculator'!$B$12)^2+((H1291-'Hybrid Calculator'!$E$14)/IF(A1291="Lightning",100,30000))^2+((I1291-'Hybrid Calculator'!$E$17)/IF(A1291="Lightning",100,30000))^2</f>
        <v>1.4572495649588046</v>
      </c>
      <c r="K1291" s="2">
        <f t="shared" si="80"/>
        <v>1124</v>
      </c>
      <c r="L1291" s="2">
        <f t="shared" si="81"/>
        <v>0</v>
      </c>
      <c r="M1291" s="2">
        <f t="shared" si="82"/>
        <v>0</v>
      </c>
      <c r="N1291" s="2">
        <v>4.5757148439001014</v>
      </c>
      <c r="O1291" s="2">
        <f t="shared" si="83"/>
        <v>0</v>
      </c>
      <c r="P1291" s="2">
        <v>40.907125150817592</v>
      </c>
      <c r="Q1291" s="2">
        <v>-3.3856869465489581</v>
      </c>
    </row>
    <row r="1292" spans="1:17" ht="15">
      <c r="A1292" s="2" t="s">
        <v>81</v>
      </c>
      <c r="B1292" s="2">
        <v>1023.6754623940215</v>
      </c>
      <c r="C1292" s="2">
        <v>965.95695276046172</v>
      </c>
      <c r="D1292" s="2">
        <v>596.30017839372158</v>
      </c>
      <c r="E1292" s="2">
        <v>141.79249909473583</v>
      </c>
      <c r="F1292" s="2">
        <v>27.23439393658191</v>
      </c>
      <c r="G1292" s="2">
        <v>0.8496934049273841</v>
      </c>
      <c r="H1292" s="2">
        <v>12550</v>
      </c>
      <c r="I1292" s="2">
        <v>1200</v>
      </c>
      <c r="J1292" s="2">
        <f>(IF(A1292='Hybrid Calculator'!$B$6,0,1))^2+((B1292-'Hybrid Calculator'!$B$7)/1500)^2+((C1292-'Hybrid Calculator'!$B$8)/1300)^2+((D1292-'Hybrid Calculator'!$B$9)/800)^2+((E1292-'Hybrid Calculator'!$B$10)/350)^2+((F1292-'Hybrid Calculator'!$B$11)/30)^2+(G1292-'Hybrid Calculator'!$B$12)^2+((H1292-'Hybrid Calculator'!$E$14)/IF(A1292="Lightning",100,30000))^2+((I1292-'Hybrid Calculator'!$E$17)/IF(A1292="Lightning",100,30000))^2</f>
        <v>1.3553722573175435</v>
      </c>
      <c r="K1292" s="2">
        <f t="shared" si="80"/>
        <v>846</v>
      </c>
      <c r="L1292" s="2">
        <f t="shared" si="81"/>
        <v>0</v>
      </c>
      <c r="M1292" s="2">
        <f t="shared" si="82"/>
        <v>0</v>
      </c>
      <c r="N1292" s="2">
        <v>-1.2286786824849685</v>
      </c>
      <c r="O1292" s="2">
        <f t="shared" si="83"/>
        <v>0</v>
      </c>
      <c r="P1292" s="2">
        <v>-2.4213402581840455</v>
      </c>
      <c r="Q1292" s="2">
        <v>-9.455208140881382</v>
      </c>
    </row>
    <row r="1293" spans="1:17" ht="15">
      <c r="A1293" s="2" t="s">
        <v>81</v>
      </c>
      <c r="B1293" s="2">
        <v>951.91082222154364</v>
      </c>
      <c r="C1293" s="2">
        <v>802.66354703344405</v>
      </c>
      <c r="D1293" s="2">
        <v>592.5046312622726</v>
      </c>
      <c r="E1293" s="2">
        <v>277.36188964452595</v>
      </c>
      <c r="F1293" s="2">
        <v>17.537224202882499</v>
      </c>
      <c r="G1293" s="2">
        <v>0.84507663125172261</v>
      </c>
      <c r="H1293" s="2">
        <v>14920</v>
      </c>
      <c r="I1293" s="2">
        <v>1200</v>
      </c>
      <c r="J1293" s="2">
        <f>(IF(A1293='Hybrid Calculator'!$B$6,0,1))^2+((B1293-'Hybrid Calculator'!$B$7)/1500)^2+((C1293-'Hybrid Calculator'!$B$8)/1300)^2+((D1293-'Hybrid Calculator'!$B$9)/800)^2+((E1293-'Hybrid Calculator'!$B$10)/350)^2+((F1293-'Hybrid Calculator'!$B$11)/30)^2+(G1293-'Hybrid Calculator'!$B$12)^2+((H1293-'Hybrid Calculator'!$E$14)/IF(A1293="Lightning",100,30000))^2+((I1293-'Hybrid Calculator'!$E$17)/IF(A1293="Lightning",100,30000))^2</f>
        <v>1.4954639520919972</v>
      </c>
      <c r="K1293" s="2">
        <f t="shared" si="80"/>
        <v>1200</v>
      </c>
      <c r="L1293" s="2">
        <f t="shared" si="81"/>
        <v>0</v>
      </c>
      <c r="M1293" s="2">
        <f t="shared" si="82"/>
        <v>0</v>
      </c>
      <c r="N1293" s="2">
        <v>0.81715051294494856</v>
      </c>
      <c r="O1293" s="2">
        <f t="shared" si="83"/>
        <v>0</v>
      </c>
      <c r="P1293" s="2">
        <v>-31.624737293155249</v>
      </c>
      <c r="Q1293" s="2">
        <v>6.534820786333853</v>
      </c>
    </row>
    <row r="1294" spans="1:17" ht="15">
      <c r="A1294" s="2" t="s">
        <v>81</v>
      </c>
      <c r="B1294" s="2">
        <v>994.74644851870835</v>
      </c>
      <c r="C1294" s="2">
        <v>676.40012874035165</v>
      </c>
      <c r="D1294" s="2">
        <v>459.37582533806562</v>
      </c>
      <c r="E1294" s="2">
        <v>136.31127051310614</v>
      </c>
      <c r="F1294" s="2">
        <v>14.737968266010284</v>
      </c>
      <c r="G1294" s="2">
        <v>0.82125015145400537</v>
      </c>
      <c r="H1294" s="2">
        <v>16810</v>
      </c>
      <c r="I1294" s="2">
        <v>1200</v>
      </c>
      <c r="J1294" s="2">
        <f>(IF(A1294='Hybrid Calculator'!$B$6,0,1))^2+((B1294-'Hybrid Calculator'!$B$7)/1500)^2+((C1294-'Hybrid Calculator'!$B$8)/1300)^2+((D1294-'Hybrid Calculator'!$B$9)/800)^2+((E1294-'Hybrid Calculator'!$B$10)/350)^2+((F1294-'Hybrid Calculator'!$B$11)/30)^2+(G1294-'Hybrid Calculator'!$B$12)^2+((H1294-'Hybrid Calculator'!$E$14)/IF(A1294="Lightning",100,30000))^2+((I1294-'Hybrid Calculator'!$E$17)/IF(A1294="Lightning",100,30000))^2</f>
        <v>1.4335849479811758</v>
      </c>
      <c r="K1294" s="2">
        <f t="shared" si="80"/>
        <v>1066</v>
      </c>
      <c r="L1294" s="2">
        <f t="shared" si="81"/>
        <v>0</v>
      </c>
      <c r="M1294" s="2">
        <f t="shared" si="82"/>
        <v>0</v>
      </c>
      <c r="N1294" s="2">
        <v>-1.5790339725427884</v>
      </c>
      <c r="O1294" s="2">
        <f t="shared" si="83"/>
        <v>0</v>
      </c>
      <c r="P1294" s="2">
        <v>-64.680987263808674</v>
      </c>
      <c r="Q1294" s="2">
        <v>10.877273052256783</v>
      </c>
    </row>
    <row r="1295" spans="1:17" ht="15">
      <c r="A1295" s="2" t="s">
        <v>81</v>
      </c>
      <c r="B1295" s="2">
        <v>1071.6640220140107</v>
      </c>
      <c r="C1295" s="2">
        <v>997.16329069342464</v>
      </c>
      <c r="D1295" s="2">
        <v>368.39117230847478</v>
      </c>
      <c r="E1295" s="2">
        <v>242.82122069969773</v>
      </c>
      <c r="F1295" s="2">
        <v>12.52338986704126</v>
      </c>
      <c r="G1295" s="2">
        <v>0.85590160263236614</v>
      </c>
      <c r="H1295" s="2">
        <v>13295</v>
      </c>
      <c r="I1295" s="2">
        <v>1200</v>
      </c>
      <c r="J1295" s="2">
        <f>(IF(A1295='Hybrid Calculator'!$B$6,0,1))^2+((B1295-'Hybrid Calculator'!$B$7)/1500)^2+((C1295-'Hybrid Calculator'!$B$8)/1300)^2+((D1295-'Hybrid Calculator'!$B$9)/800)^2+((E1295-'Hybrid Calculator'!$B$10)/350)^2+((F1295-'Hybrid Calculator'!$B$11)/30)^2+(G1295-'Hybrid Calculator'!$B$12)^2+((H1295-'Hybrid Calculator'!$E$14)/IF(A1295="Lightning",100,30000))^2+((I1295-'Hybrid Calculator'!$E$17)/IF(A1295="Lightning",100,30000))^2</f>
        <v>1.4031327797002855</v>
      </c>
      <c r="K1295" s="2">
        <f t="shared" si="80"/>
        <v>985</v>
      </c>
      <c r="L1295" s="2">
        <f t="shared" si="81"/>
        <v>0</v>
      </c>
      <c r="M1295" s="2">
        <f t="shared" si="82"/>
        <v>0</v>
      </c>
      <c r="N1295" s="2">
        <v>2.7766772063340568</v>
      </c>
      <c r="O1295" s="2">
        <f t="shared" si="83"/>
        <v>0</v>
      </c>
      <c r="P1295" s="2">
        <v>-13.850287922051848</v>
      </c>
      <c r="Q1295" s="2">
        <v>9.6944883166233922</v>
      </c>
    </row>
    <row r="1296" spans="1:17" ht="15">
      <c r="A1296" s="2" t="s">
        <v>81</v>
      </c>
      <c r="B1296" s="2">
        <v>1073.6098387511447</v>
      </c>
      <c r="C1296" s="2">
        <v>609.78226197184995</v>
      </c>
      <c r="D1296" s="2">
        <v>641.10946208238602</v>
      </c>
      <c r="E1296" s="2">
        <v>249.87492045154795</v>
      </c>
      <c r="F1296" s="2">
        <v>17.766381333582103</v>
      </c>
      <c r="G1296" s="2">
        <v>0.85071792412316427</v>
      </c>
      <c r="H1296" s="2">
        <v>14250</v>
      </c>
      <c r="I1296" s="2">
        <v>1200</v>
      </c>
      <c r="J1296" s="2">
        <f>(IF(A1296='Hybrid Calculator'!$B$6,0,1))^2+((B1296-'Hybrid Calculator'!$B$7)/1500)^2+((C1296-'Hybrid Calculator'!$B$8)/1300)^2+((D1296-'Hybrid Calculator'!$B$9)/800)^2+((E1296-'Hybrid Calculator'!$B$10)/350)^2+((F1296-'Hybrid Calculator'!$B$11)/30)^2+(G1296-'Hybrid Calculator'!$B$12)^2+((H1296-'Hybrid Calculator'!$E$14)/IF(A1296="Lightning",100,30000))^2+((I1296-'Hybrid Calculator'!$E$17)/IF(A1296="Lightning",100,30000))^2</f>
        <v>1.4286834502543369</v>
      </c>
      <c r="K1296" s="2">
        <f t="shared" si="80"/>
        <v>1058</v>
      </c>
      <c r="L1296" s="2">
        <f t="shared" si="81"/>
        <v>0</v>
      </c>
      <c r="M1296" s="2">
        <f t="shared" si="82"/>
        <v>0</v>
      </c>
      <c r="N1296" s="2">
        <v>-0.76500167034163269</v>
      </c>
      <c r="O1296" s="2">
        <f t="shared" si="83"/>
        <v>0</v>
      </c>
      <c r="P1296" s="2">
        <v>-62.998497952336947</v>
      </c>
      <c r="Q1296" s="2">
        <v>1.7572571649284328</v>
      </c>
    </row>
    <row r="1297" spans="1:17" ht="15">
      <c r="A1297" s="2" t="s">
        <v>81</v>
      </c>
      <c r="B1297" s="2">
        <v>979.35646687401459</v>
      </c>
      <c r="C1297" s="2">
        <v>636.54588190838695</v>
      </c>
      <c r="D1297" s="2">
        <v>434.63245546445251</v>
      </c>
      <c r="E1297" s="2">
        <v>162.72447308991104</v>
      </c>
      <c r="F1297" s="2">
        <v>9.1076540104113519</v>
      </c>
      <c r="G1297" s="2">
        <v>0.8313164670486004</v>
      </c>
      <c r="H1297" s="2">
        <v>20220</v>
      </c>
      <c r="I1297" s="2">
        <v>1200</v>
      </c>
      <c r="J1297" s="2">
        <f>(IF(A1297='Hybrid Calculator'!$B$6,0,1))^2+((B1297-'Hybrid Calculator'!$B$7)/1500)^2+((C1297-'Hybrid Calculator'!$B$8)/1300)^2+((D1297-'Hybrid Calculator'!$B$9)/800)^2+((E1297-'Hybrid Calculator'!$B$10)/350)^2+((F1297-'Hybrid Calculator'!$B$11)/30)^2+(G1297-'Hybrid Calculator'!$B$12)^2+((H1297-'Hybrid Calculator'!$E$14)/IF(A1297="Lightning",100,30000))^2+((I1297-'Hybrid Calculator'!$E$17)/IF(A1297="Lightning",100,30000))^2</f>
        <v>1.6749363262785006</v>
      </c>
      <c r="K1297" s="2">
        <f t="shared" si="80"/>
        <v>1387</v>
      </c>
      <c r="L1297" s="2">
        <f t="shared" si="81"/>
        <v>0</v>
      </c>
      <c r="M1297" s="2">
        <f t="shared" si="82"/>
        <v>0</v>
      </c>
      <c r="N1297" s="2">
        <v>2.9136233366102715E-3</v>
      </c>
      <c r="O1297" s="2">
        <f t="shared" si="83"/>
        <v>0</v>
      </c>
      <c r="P1297" s="2">
        <v>17.489386130262574</v>
      </c>
      <c r="Q1297" s="2">
        <v>16.736101204482338</v>
      </c>
    </row>
    <row r="1298" spans="1:17" ht="15">
      <c r="A1298" s="2" t="s">
        <v>81</v>
      </c>
      <c r="B1298" s="2">
        <v>1015.6553994864225</v>
      </c>
      <c r="C1298" s="2">
        <v>770.04144474631175</v>
      </c>
      <c r="D1298" s="2">
        <v>620.31417656689882</v>
      </c>
      <c r="E1298" s="2">
        <v>329.48575400048867</v>
      </c>
      <c r="F1298" s="2">
        <v>15.365129781886935</v>
      </c>
      <c r="G1298" s="2">
        <v>0.83404810694279152</v>
      </c>
      <c r="H1298" s="2">
        <v>12435</v>
      </c>
      <c r="I1298" s="2">
        <v>1200</v>
      </c>
      <c r="J1298" s="2">
        <f>(IF(A1298='Hybrid Calculator'!$B$6,0,1))^2+((B1298-'Hybrid Calculator'!$B$7)/1500)^2+((C1298-'Hybrid Calculator'!$B$8)/1300)^2+((D1298-'Hybrid Calculator'!$B$9)/800)^2+((E1298-'Hybrid Calculator'!$B$10)/350)^2+((F1298-'Hybrid Calculator'!$B$11)/30)^2+(G1298-'Hybrid Calculator'!$B$12)^2+((H1298-'Hybrid Calculator'!$E$14)/IF(A1298="Lightning",100,30000))^2+((I1298-'Hybrid Calculator'!$E$17)/IF(A1298="Lightning",100,30000))^2</f>
        <v>1.5469362604687402</v>
      </c>
      <c r="K1298" s="2">
        <f t="shared" si="80"/>
        <v>1295</v>
      </c>
      <c r="L1298" s="2">
        <f t="shared" si="81"/>
        <v>0</v>
      </c>
      <c r="M1298" s="2">
        <f t="shared" si="82"/>
        <v>0</v>
      </c>
      <c r="N1298" s="2">
        <v>-1.3841501488710435</v>
      </c>
      <c r="O1298" s="2">
        <f t="shared" si="83"/>
        <v>0</v>
      </c>
      <c r="P1298" s="2">
        <v>27.175545943272937</v>
      </c>
      <c r="Q1298" s="2">
        <v>6.9614961555282662</v>
      </c>
    </row>
    <row r="1299" spans="1:17" ht="15">
      <c r="A1299" s="2" t="s">
        <v>81</v>
      </c>
      <c r="B1299" s="2">
        <v>968.94308800110593</v>
      </c>
      <c r="C1299" s="2">
        <v>942.18269272241741</v>
      </c>
      <c r="D1299" s="2">
        <v>473.10643950477242</v>
      </c>
      <c r="E1299" s="2">
        <v>230.40241903625429</v>
      </c>
      <c r="F1299" s="2">
        <v>20.80957166524604</v>
      </c>
      <c r="G1299" s="2">
        <v>0.81376687430311001</v>
      </c>
      <c r="H1299" s="2">
        <v>15160</v>
      </c>
      <c r="I1299" s="2">
        <v>1200</v>
      </c>
      <c r="J1299" s="2">
        <f>(IF(A1299='Hybrid Calculator'!$B$6,0,1))^2+((B1299-'Hybrid Calculator'!$B$7)/1500)^2+((C1299-'Hybrid Calculator'!$B$8)/1300)^2+((D1299-'Hybrid Calculator'!$B$9)/800)^2+((E1299-'Hybrid Calculator'!$B$10)/350)^2+((F1299-'Hybrid Calculator'!$B$11)/30)^2+(G1299-'Hybrid Calculator'!$B$12)^2+((H1299-'Hybrid Calculator'!$E$14)/IF(A1299="Lightning",100,30000))^2+((I1299-'Hybrid Calculator'!$E$17)/IF(A1299="Lightning",100,30000))^2</f>
        <v>1.4125489843450869</v>
      </c>
      <c r="K1299" s="2">
        <f t="shared" si="80"/>
        <v>1017</v>
      </c>
      <c r="L1299" s="2">
        <f t="shared" si="81"/>
        <v>0</v>
      </c>
      <c r="M1299" s="2">
        <f t="shared" si="82"/>
        <v>0</v>
      </c>
      <c r="N1299" s="2">
        <v>-2.9787207158019555</v>
      </c>
      <c r="O1299" s="2">
        <f t="shared" si="83"/>
        <v>0</v>
      </c>
      <c r="P1299" s="2">
        <v>-26.826774759112595</v>
      </c>
      <c r="Q1299" s="2">
        <v>0.74816053806682703</v>
      </c>
    </row>
    <row r="1300" spans="1:17" ht="15">
      <c r="A1300" s="2" t="s">
        <v>81</v>
      </c>
      <c r="B1300" s="2">
        <v>963.01385581027716</v>
      </c>
      <c r="C1300" s="2">
        <v>1136.2621225998737</v>
      </c>
      <c r="D1300" s="2">
        <v>511.88599206507206</v>
      </c>
      <c r="E1300" s="2">
        <v>189.60581450490281</v>
      </c>
      <c r="F1300" s="2">
        <v>23.611707457341254</v>
      </c>
      <c r="G1300" s="2">
        <v>0.8299284020322375</v>
      </c>
      <c r="H1300" s="2">
        <v>13575</v>
      </c>
      <c r="I1300" s="2">
        <v>1200</v>
      </c>
      <c r="J1300" s="2">
        <f>(IF(A1300='Hybrid Calculator'!$B$6,0,1))^2+((B1300-'Hybrid Calculator'!$B$7)/1500)^2+((C1300-'Hybrid Calculator'!$B$8)/1300)^2+((D1300-'Hybrid Calculator'!$B$9)/800)^2+((E1300-'Hybrid Calculator'!$B$10)/350)^2+((F1300-'Hybrid Calculator'!$B$11)/30)^2+(G1300-'Hybrid Calculator'!$B$12)^2+((H1300-'Hybrid Calculator'!$E$14)/IF(A1300="Lightning",100,30000))^2+((I1300-'Hybrid Calculator'!$E$17)/IF(A1300="Lightning",100,30000))^2</f>
        <v>1.390289011905089</v>
      </c>
      <c r="K1300" s="2">
        <f t="shared" si="80"/>
        <v>951</v>
      </c>
      <c r="L1300" s="2">
        <f t="shared" si="81"/>
        <v>0</v>
      </c>
      <c r="M1300" s="2">
        <f t="shared" si="82"/>
        <v>0</v>
      </c>
      <c r="N1300" s="2">
        <v>2.3095839433566709</v>
      </c>
      <c r="O1300" s="2">
        <f t="shared" si="83"/>
        <v>0</v>
      </c>
      <c r="P1300" s="2">
        <v>18.195673363216429</v>
      </c>
      <c r="Q1300" s="2">
        <v>-6.2432143241378526</v>
      </c>
    </row>
    <row r="1301" spans="1:17" ht="15">
      <c r="A1301" s="2" t="s">
        <v>81</v>
      </c>
      <c r="B1301" s="2">
        <v>1034.9524874589406</v>
      </c>
      <c r="C1301" s="2">
        <v>1139.9237524252385</v>
      </c>
      <c r="D1301" s="2">
        <v>403.81526304408908</v>
      </c>
      <c r="E1301" s="2">
        <v>170.71603219490498</v>
      </c>
      <c r="F1301" s="2">
        <v>22.300547133665532</v>
      </c>
      <c r="G1301" s="2">
        <v>0.85176278188824661</v>
      </c>
      <c r="H1301" s="2">
        <v>12475</v>
      </c>
      <c r="I1301" s="2">
        <v>1200</v>
      </c>
      <c r="J1301" s="2">
        <f>(IF(A1301='Hybrid Calculator'!$B$6,0,1))^2+((B1301-'Hybrid Calculator'!$B$7)/1500)^2+((C1301-'Hybrid Calculator'!$B$8)/1300)^2+((D1301-'Hybrid Calculator'!$B$9)/800)^2+((E1301-'Hybrid Calculator'!$B$10)/350)^2+((F1301-'Hybrid Calculator'!$B$11)/30)^2+(G1301-'Hybrid Calculator'!$B$12)^2+((H1301-'Hybrid Calculator'!$E$14)/IF(A1301="Lightning",100,30000))^2+((I1301-'Hybrid Calculator'!$E$17)/IF(A1301="Lightning",100,30000))^2</f>
        <v>1.3254383884341894</v>
      </c>
      <c r="K1301" s="2">
        <f t="shared" si="80"/>
        <v>768</v>
      </c>
      <c r="L1301" s="2">
        <f t="shared" si="81"/>
        <v>0</v>
      </c>
      <c r="M1301" s="2">
        <f t="shared" si="82"/>
        <v>0</v>
      </c>
      <c r="N1301" s="2">
        <v>-3.110343274467084</v>
      </c>
      <c r="O1301" s="2">
        <f t="shared" si="83"/>
        <v>0</v>
      </c>
      <c r="P1301" s="2">
        <v>43.415119230696291</v>
      </c>
      <c r="Q1301" s="2">
        <v>-8.8924649314033104</v>
      </c>
    </row>
    <row r="1302" spans="1:17" ht="15">
      <c r="A1302" s="2" t="s">
        <v>81</v>
      </c>
      <c r="B1302" s="2">
        <v>1004.1221495252103</v>
      </c>
      <c r="C1302" s="2">
        <v>1060.8441349933855</v>
      </c>
      <c r="D1302" s="2">
        <v>526.76556762307882</v>
      </c>
      <c r="E1302" s="2">
        <v>80.546871509868652</v>
      </c>
      <c r="F1302" s="2">
        <v>15.947892244905233</v>
      </c>
      <c r="G1302" s="2">
        <v>0.82987596545601272</v>
      </c>
      <c r="H1302" s="2">
        <v>12820</v>
      </c>
      <c r="I1302" s="2">
        <v>1200</v>
      </c>
      <c r="J1302" s="2">
        <f>(IF(A1302='Hybrid Calculator'!$B$6,0,1))^2+((B1302-'Hybrid Calculator'!$B$7)/1500)^2+((C1302-'Hybrid Calculator'!$B$8)/1300)^2+((D1302-'Hybrid Calculator'!$B$9)/800)^2+((E1302-'Hybrid Calculator'!$B$10)/350)^2+((F1302-'Hybrid Calculator'!$B$11)/30)^2+(G1302-'Hybrid Calculator'!$B$12)^2+((H1302-'Hybrid Calculator'!$E$14)/IF(A1302="Lightning",100,30000))^2+((I1302-'Hybrid Calculator'!$E$17)/IF(A1302="Lightning",100,30000))^2</f>
        <v>1.335590390531034</v>
      </c>
      <c r="K1302" s="2">
        <f t="shared" si="80"/>
        <v>789</v>
      </c>
      <c r="L1302" s="2">
        <f t="shared" si="81"/>
        <v>0</v>
      </c>
      <c r="M1302" s="2">
        <f t="shared" si="82"/>
        <v>0</v>
      </c>
      <c r="N1302" s="2">
        <v>3.8884756740600039</v>
      </c>
      <c r="O1302" s="2">
        <f t="shared" si="83"/>
        <v>0</v>
      </c>
      <c r="P1302" s="2">
        <v>-16.593424596712794</v>
      </c>
      <c r="Q1302" s="2">
        <v>2.4356546322079566</v>
      </c>
    </row>
    <row r="1303" spans="1:17" ht="15">
      <c r="A1303" s="2" t="s">
        <v>81</v>
      </c>
      <c r="B1303" s="2">
        <v>1033.0627095070668</v>
      </c>
      <c r="C1303" s="2">
        <v>781.79393361788243</v>
      </c>
      <c r="D1303" s="2">
        <v>565.87660806253552</v>
      </c>
      <c r="E1303" s="2">
        <v>145.91405067592859</v>
      </c>
      <c r="F1303" s="2">
        <v>20.69121420616284</v>
      </c>
      <c r="G1303" s="2">
        <v>0.81710911828558896</v>
      </c>
      <c r="H1303" s="2">
        <v>14320</v>
      </c>
      <c r="I1303" s="2">
        <v>1200</v>
      </c>
      <c r="J1303" s="2">
        <f>(IF(A1303='Hybrid Calculator'!$B$6,0,1))^2+((B1303-'Hybrid Calculator'!$B$7)/1500)^2+((C1303-'Hybrid Calculator'!$B$8)/1300)^2+((D1303-'Hybrid Calculator'!$B$9)/800)^2+((E1303-'Hybrid Calculator'!$B$10)/350)^2+((F1303-'Hybrid Calculator'!$B$11)/30)^2+(G1303-'Hybrid Calculator'!$B$12)^2+((H1303-'Hybrid Calculator'!$E$14)/IF(A1303="Lightning",100,30000))^2+((I1303-'Hybrid Calculator'!$E$17)/IF(A1303="Lightning",100,30000))^2</f>
        <v>1.3110791480337352</v>
      </c>
      <c r="K1303" s="2">
        <f t="shared" si="80"/>
        <v>749</v>
      </c>
      <c r="L1303" s="2">
        <f t="shared" si="81"/>
        <v>0</v>
      </c>
      <c r="M1303" s="2">
        <f t="shared" si="82"/>
        <v>0</v>
      </c>
      <c r="N1303" s="2">
        <v>-3.8860007423500917</v>
      </c>
      <c r="O1303" s="2">
        <f t="shared" si="83"/>
        <v>0</v>
      </c>
      <c r="P1303" s="2">
        <v>10.154277370576892</v>
      </c>
      <c r="Q1303" s="2">
        <v>4.5116794065056638</v>
      </c>
    </row>
    <row r="1304" spans="1:17" ht="15">
      <c r="A1304" s="2" t="s">
        <v>81</v>
      </c>
      <c r="B1304" s="2">
        <v>1083.4686460439116</v>
      </c>
      <c r="C1304" s="2">
        <v>961.68789732037112</v>
      </c>
      <c r="D1304" s="2">
        <v>504.29622959345579</v>
      </c>
      <c r="E1304" s="2">
        <v>96.244522586930543</v>
      </c>
      <c r="F1304" s="2">
        <v>27.62188833206892</v>
      </c>
      <c r="G1304" s="2">
        <v>0.84367546679684891</v>
      </c>
      <c r="H1304" s="2">
        <v>13690</v>
      </c>
      <c r="I1304" s="2">
        <v>1200</v>
      </c>
      <c r="J1304" s="2">
        <f>(IF(A1304='Hybrid Calculator'!$B$6,0,1))^2+((B1304-'Hybrid Calculator'!$B$7)/1500)^2+((C1304-'Hybrid Calculator'!$B$8)/1300)^2+((D1304-'Hybrid Calculator'!$B$9)/800)^2+((E1304-'Hybrid Calculator'!$B$10)/350)^2+((F1304-'Hybrid Calculator'!$B$11)/30)^2+(G1304-'Hybrid Calculator'!$B$12)^2+((H1304-'Hybrid Calculator'!$E$14)/IF(A1304="Lightning",100,30000))^2+((I1304-'Hybrid Calculator'!$E$17)/IF(A1304="Lightning",100,30000))^2</f>
        <v>1.3841112426572342</v>
      </c>
      <c r="K1304" s="2">
        <f t="shared" si="80"/>
        <v>930</v>
      </c>
      <c r="L1304" s="2">
        <f t="shared" si="81"/>
        <v>0</v>
      </c>
      <c r="M1304" s="2">
        <f t="shared" si="82"/>
        <v>0</v>
      </c>
      <c r="N1304" s="2">
        <v>-2.7335760222391627</v>
      </c>
      <c r="O1304" s="2">
        <f t="shared" si="83"/>
        <v>0</v>
      </c>
      <c r="P1304" s="2">
        <v>19.975550508440847</v>
      </c>
      <c r="Q1304" s="2">
        <v>-3.236275062857203</v>
      </c>
    </row>
    <row r="1305" spans="1:17" ht="15">
      <c r="A1305" s="2" t="s">
        <v>81</v>
      </c>
      <c r="B1305" s="2">
        <v>1095.0579769094475</v>
      </c>
      <c r="C1305" s="2">
        <v>879.17670716997236</v>
      </c>
      <c r="D1305" s="2">
        <v>388.1207880564034</v>
      </c>
      <c r="E1305" s="2">
        <v>266.97923375293612</v>
      </c>
      <c r="F1305" s="2">
        <v>22.791004730854183</v>
      </c>
      <c r="G1305" s="2">
        <v>0.79109174692537643</v>
      </c>
      <c r="H1305" s="2">
        <v>13940</v>
      </c>
      <c r="I1305" s="2">
        <v>1200</v>
      </c>
      <c r="J1305" s="2">
        <f>(IF(A1305='Hybrid Calculator'!$B$6,0,1))^2+((B1305-'Hybrid Calculator'!$B$7)/1500)^2+((C1305-'Hybrid Calculator'!$B$8)/1300)^2+((D1305-'Hybrid Calculator'!$B$9)/800)^2+((E1305-'Hybrid Calculator'!$B$10)/350)^2+((F1305-'Hybrid Calculator'!$B$11)/30)^2+(G1305-'Hybrid Calculator'!$B$12)^2+((H1305-'Hybrid Calculator'!$E$14)/IF(A1305="Lightning",100,30000))^2+((I1305-'Hybrid Calculator'!$E$17)/IF(A1305="Lightning",100,30000))^2</f>
        <v>1.4173490269849756</v>
      </c>
      <c r="K1305" s="2">
        <f t="shared" si="80"/>
        <v>1031</v>
      </c>
      <c r="L1305" s="2">
        <f t="shared" si="81"/>
        <v>0</v>
      </c>
      <c r="M1305" s="2">
        <f t="shared" si="82"/>
        <v>0</v>
      </c>
      <c r="N1305" s="2">
        <v>0.57760162197362774</v>
      </c>
      <c r="O1305" s="2">
        <f t="shared" si="83"/>
        <v>0</v>
      </c>
      <c r="P1305" s="2">
        <v>-25.23511494353761</v>
      </c>
      <c r="Q1305" s="2">
        <v>-6.6842649309703575</v>
      </c>
    </row>
    <row r="1306" spans="1:17" ht="15">
      <c r="A1306" s="2" t="s">
        <v>81</v>
      </c>
      <c r="B1306" s="2">
        <v>1032.2133249836043</v>
      </c>
      <c r="C1306" s="2">
        <v>1120.7736291107722</v>
      </c>
      <c r="D1306" s="2">
        <v>490.57833254337311</v>
      </c>
      <c r="E1306" s="2">
        <v>232.12746703764424</v>
      </c>
      <c r="F1306" s="2">
        <v>10.735728862695396</v>
      </c>
      <c r="G1306" s="2">
        <v>0.79725032463436951</v>
      </c>
      <c r="H1306" s="2">
        <v>11600</v>
      </c>
      <c r="I1306" s="2">
        <v>1195</v>
      </c>
      <c r="J1306" s="2">
        <f>(IF(A1306='Hybrid Calculator'!$B$6,0,1))^2+((B1306-'Hybrid Calculator'!$B$7)/1500)^2+((C1306-'Hybrid Calculator'!$B$8)/1300)^2+((D1306-'Hybrid Calculator'!$B$9)/800)^2+((E1306-'Hybrid Calculator'!$B$10)/350)^2+((F1306-'Hybrid Calculator'!$B$11)/30)^2+(G1306-'Hybrid Calculator'!$B$12)^2+((H1306-'Hybrid Calculator'!$E$14)/IF(A1306="Lightning",100,30000))^2+((I1306-'Hybrid Calculator'!$E$17)/IF(A1306="Lightning",100,30000))^2</f>
        <v>1.3843980864667258</v>
      </c>
      <c r="K1306" s="2">
        <f t="shared" si="80"/>
        <v>933</v>
      </c>
      <c r="L1306" s="2">
        <f t="shared" si="81"/>
        <v>0</v>
      </c>
      <c r="M1306" s="2">
        <f t="shared" si="82"/>
        <v>0</v>
      </c>
      <c r="N1306" s="2">
        <v>0.86124926874578023</v>
      </c>
      <c r="O1306" s="2">
        <f t="shared" si="83"/>
        <v>0</v>
      </c>
      <c r="P1306" s="2">
        <v>52.990516657183889</v>
      </c>
      <c r="Q1306" s="2">
        <v>3.4303928043104861</v>
      </c>
    </row>
    <row r="1307" spans="1:17" ht="15">
      <c r="A1307" s="2" t="s">
        <v>81</v>
      </c>
      <c r="B1307" s="2">
        <v>1005.0662276218645</v>
      </c>
      <c r="C1307" s="2">
        <v>1241.0840799100697</v>
      </c>
      <c r="D1307" s="2">
        <v>461.72707146033645</v>
      </c>
      <c r="E1307" s="2">
        <v>203.7810660386458</v>
      </c>
      <c r="F1307" s="2">
        <v>28.940917370375246</v>
      </c>
      <c r="G1307" s="2">
        <v>0.84625269764102995</v>
      </c>
      <c r="H1307" s="2">
        <v>13085</v>
      </c>
      <c r="I1307" s="2">
        <v>1200</v>
      </c>
      <c r="J1307" s="2">
        <f>(IF(A1307='Hybrid Calculator'!$B$6,0,1))^2+((B1307-'Hybrid Calculator'!$B$7)/1500)^2+((C1307-'Hybrid Calculator'!$B$8)/1300)^2+((D1307-'Hybrid Calculator'!$B$9)/800)^2+((E1307-'Hybrid Calculator'!$B$10)/350)^2+((F1307-'Hybrid Calculator'!$B$11)/30)^2+(G1307-'Hybrid Calculator'!$B$12)^2+((H1307-'Hybrid Calculator'!$E$14)/IF(A1307="Lightning",100,30000))^2+((I1307-'Hybrid Calculator'!$E$17)/IF(A1307="Lightning",100,30000))^2</f>
        <v>1.5069153130257718</v>
      </c>
      <c r="K1307" s="2">
        <f t="shared" si="80"/>
        <v>1222</v>
      </c>
      <c r="L1307" s="2">
        <f t="shared" si="81"/>
        <v>0</v>
      </c>
      <c r="M1307" s="2">
        <f t="shared" si="82"/>
        <v>0</v>
      </c>
      <c r="N1307" s="2">
        <v>-2.2338984444410812</v>
      </c>
      <c r="O1307" s="2">
        <f t="shared" si="83"/>
        <v>0</v>
      </c>
      <c r="P1307" s="2">
        <v>58.28660124406133</v>
      </c>
      <c r="Q1307" s="2">
        <v>-21.176663297589357</v>
      </c>
    </row>
    <row r="1308" spans="1:17" ht="15">
      <c r="A1308" s="2" t="s">
        <v>81</v>
      </c>
      <c r="B1308" s="2">
        <v>1046.3872099295259</v>
      </c>
      <c r="C1308" s="2">
        <v>626.07860643183812</v>
      </c>
      <c r="D1308" s="2">
        <v>562.80931551009417</v>
      </c>
      <c r="E1308" s="2">
        <v>155.20414289319888</v>
      </c>
      <c r="F1308" s="2">
        <v>28.67703396640718</v>
      </c>
      <c r="G1308" s="2">
        <v>0.81277045690687377</v>
      </c>
      <c r="H1308" s="2">
        <v>15910</v>
      </c>
      <c r="I1308" s="2">
        <v>1200</v>
      </c>
      <c r="J1308" s="2">
        <f>(IF(A1308='Hybrid Calculator'!$B$6,0,1))^2+((B1308-'Hybrid Calculator'!$B$7)/1500)^2+((C1308-'Hybrid Calculator'!$B$8)/1300)^2+((D1308-'Hybrid Calculator'!$B$9)/800)^2+((E1308-'Hybrid Calculator'!$B$10)/350)^2+((F1308-'Hybrid Calculator'!$B$11)/30)^2+(G1308-'Hybrid Calculator'!$B$12)^2+((H1308-'Hybrid Calculator'!$E$14)/IF(A1308="Lightning",100,30000))^2+((I1308-'Hybrid Calculator'!$E$17)/IF(A1308="Lightning",100,30000))^2</f>
        <v>1.49591909715308</v>
      </c>
      <c r="K1308" s="2">
        <f t="shared" si="80"/>
        <v>1202</v>
      </c>
      <c r="L1308" s="2">
        <f t="shared" si="81"/>
        <v>0</v>
      </c>
      <c r="M1308" s="2">
        <f t="shared" si="82"/>
        <v>0</v>
      </c>
      <c r="N1308" s="2">
        <v>-4.0007143943372512</v>
      </c>
      <c r="O1308" s="2">
        <f t="shared" si="83"/>
        <v>0</v>
      </c>
      <c r="P1308" s="2">
        <v>3.9648741319228975</v>
      </c>
      <c r="Q1308" s="2">
        <v>-1.6977554247037006</v>
      </c>
    </row>
    <row r="1309" spans="1:17" ht="15">
      <c r="A1309" s="2" t="s">
        <v>81</v>
      </c>
      <c r="B1309" s="2">
        <v>1061.5145125077106</v>
      </c>
      <c r="C1309" s="2">
        <v>727.14906933251768</v>
      </c>
      <c r="D1309" s="2">
        <v>570.35377928987145</v>
      </c>
      <c r="E1309" s="2">
        <v>123.06228901259601</v>
      </c>
      <c r="F1309" s="2">
        <v>13.775940243620425</v>
      </c>
      <c r="G1309" s="2">
        <v>0.80313297901768244</v>
      </c>
      <c r="H1309" s="2">
        <v>15055</v>
      </c>
      <c r="I1309" s="2">
        <v>1200</v>
      </c>
      <c r="J1309" s="2">
        <f>(IF(A1309='Hybrid Calculator'!$B$6,0,1))^2+((B1309-'Hybrid Calculator'!$B$7)/1500)^2+((C1309-'Hybrid Calculator'!$B$8)/1300)^2+((D1309-'Hybrid Calculator'!$B$9)/800)^2+((E1309-'Hybrid Calculator'!$B$10)/350)^2+((F1309-'Hybrid Calculator'!$B$11)/30)^2+(G1309-'Hybrid Calculator'!$B$12)^2+((H1309-'Hybrid Calculator'!$E$14)/IF(A1309="Lightning",100,30000))^2+((I1309-'Hybrid Calculator'!$E$17)/IF(A1309="Lightning",100,30000))^2</f>
        <v>1.3580901665832155</v>
      </c>
      <c r="K1309" s="2">
        <f t="shared" si="80"/>
        <v>850</v>
      </c>
      <c r="L1309" s="2">
        <f t="shared" si="81"/>
        <v>0</v>
      </c>
      <c r="M1309" s="2">
        <f t="shared" si="82"/>
        <v>0</v>
      </c>
      <c r="N1309" s="2">
        <v>-0.39437288315593833</v>
      </c>
      <c r="O1309" s="2">
        <f t="shared" si="83"/>
        <v>0</v>
      </c>
      <c r="P1309" s="2">
        <v>-23.190051564849455</v>
      </c>
      <c r="Q1309" s="2">
        <v>11.595678256629526</v>
      </c>
    </row>
    <row r="1310" spans="1:17" ht="15">
      <c r="A1310" s="2" t="s">
        <v>81</v>
      </c>
      <c r="B1310" s="2">
        <v>1071.4339951751754</v>
      </c>
      <c r="C1310" s="2">
        <v>626.99300373205915</v>
      </c>
      <c r="D1310" s="2">
        <v>401.06540806591511</v>
      </c>
      <c r="E1310" s="2">
        <v>169.2425665515475</v>
      </c>
      <c r="F1310" s="2">
        <v>11.705346287228167</v>
      </c>
      <c r="G1310" s="2">
        <v>0.83047986685065556</v>
      </c>
      <c r="H1310" s="2">
        <v>17860</v>
      </c>
      <c r="I1310" s="2">
        <v>1200</v>
      </c>
      <c r="J1310" s="2">
        <f>(IF(A1310='Hybrid Calculator'!$B$6,0,1))^2+((B1310-'Hybrid Calculator'!$B$7)/1500)^2+((C1310-'Hybrid Calculator'!$B$8)/1300)^2+((D1310-'Hybrid Calculator'!$B$9)/800)^2+((E1310-'Hybrid Calculator'!$B$10)/350)^2+((F1310-'Hybrid Calculator'!$B$11)/30)^2+(G1310-'Hybrid Calculator'!$B$12)^2+((H1310-'Hybrid Calculator'!$E$14)/IF(A1310="Lightning",100,30000))^2+((I1310-'Hybrid Calculator'!$E$17)/IF(A1310="Lightning",100,30000))^2</f>
        <v>1.5086842955480306</v>
      </c>
      <c r="K1310" s="2">
        <f t="shared" si="80"/>
        <v>1226</v>
      </c>
      <c r="L1310" s="2">
        <f t="shared" si="81"/>
        <v>0</v>
      </c>
      <c r="M1310" s="2">
        <f t="shared" si="82"/>
        <v>0</v>
      </c>
      <c r="N1310" s="2">
        <v>-2.9891840674442847</v>
      </c>
      <c r="O1310" s="2">
        <f t="shared" si="83"/>
        <v>0</v>
      </c>
      <c r="P1310" s="2">
        <v>-37.715472036507435</v>
      </c>
      <c r="Q1310" s="2">
        <v>17.806563094068224</v>
      </c>
    </row>
    <row r="1311" spans="1:17" ht="15">
      <c r="A1311" s="2" t="s">
        <v>81</v>
      </c>
      <c r="B1311" s="2">
        <v>965.00967688625678</v>
      </c>
      <c r="C1311" s="2">
        <v>677.26026750169694</v>
      </c>
      <c r="D1311" s="2">
        <v>719.35842735692859</v>
      </c>
      <c r="E1311" s="2">
        <v>99.20217543374747</v>
      </c>
      <c r="F1311" s="2">
        <v>13.287114951293916</v>
      </c>
      <c r="G1311" s="2">
        <v>0.82884299334138634</v>
      </c>
      <c r="H1311" s="2">
        <v>16680</v>
      </c>
      <c r="I1311" s="2">
        <v>1200</v>
      </c>
      <c r="J1311" s="2">
        <f>(IF(A1311='Hybrid Calculator'!$B$6,0,1))^2+((B1311-'Hybrid Calculator'!$B$7)/1500)^2+((C1311-'Hybrid Calculator'!$B$8)/1300)^2+((D1311-'Hybrid Calculator'!$B$9)/800)^2+((E1311-'Hybrid Calculator'!$B$10)/350)^2+((F1311-'Hybrid Calculator'!$B$11)/30)^2+(G1311-'Hybrid Calculator'!$B$12)^2+((H1311-'Hybrid Calculator'!$E$14)/IF(A1311="Lightning",100,30000))^2+((I1311-'Hybrid Calculator'!$E$17)/IF(A1311="Lightning",100,30000))^2</f>
        <v>1.5470371099797726</v>
      </c>
      <c r="K1311" s="2">
        <f t="shared" si="80"/>
        <v>1296</v>
      </c>
      <c r="L1311" s="2">
        <f t="shared" si="81"/>
        <v>0</v>
      </c>
      <c r="M1311" s="2">
        <f t="shared" si="82"/>
        <v>0</v>
      </c>
      <c r="N1311" s="2">
        <v>-2.3602049321315235</v>
      </c>
      <c r="O1311" s="2">
        <f t="shared" si="83"/>
        <v>0</v>
      </c>
      <c r="P1311" s="2">
        <v>-20.659019198466012</v>
      </c>
      <c r="Q1311" s="2">
        <v>9.1725334277841739</v>
      </c>
    </row>
    <row r="1312" spans="1:17" ht="15">
      <c r="A1312" s="2" t="s">
        <v>81</v>
      </c>
      <c r="B1312" s="2">
        <v>963.75736980699003</v>
      </c>
      <c r="C1312" s="2">
        <v>909.34876267565414</v>
      </c>
      <c r="D1312" s="2">
        <v>720.85346188396215</v>
      </c>
      <c r="E1312" s="2">
        <v>175.66849452676252</v>
      </c>
      <c r="F1312" s="2">
        <v>22.068485427647829</v>
      </c>
      <c r="G1312" s="2">
        <v>0.79286348015302799</v>
      </c>
      <c r="H1312" s="2">
        <v>11840</v>
      </c>
      <c r="I1312" s="2">
        <v>1195</v>
      </c>
      <c r="J1312" s="2">
        <f>(IF(A1312='Hybrid Calculator'!$B$6,0,1))^2+((B1312-'Hybrid Calculator'!$B$7)/1500)^2+((C1312-'Hybrid Calculator'!$B$8)/1300)^2+((D1312-'Hybrid Calculator'!$B$9)/800)^2+((E1312-'Hybrid Calculator'!$B$10)/350)^2+((F1312-'Hybrid Calculator'!$B$11)/30)^2+(G1312-'Hybrid Calculator'!$B$12)^2+((H1312-'Hybrid Calculator'!$E$14)/IF(A1312="Lightning",100,30000))^2+((I1312-'Hybrid Calculator'!$E$17)/IF(A1312="Lightning",100,30000))^2</f>
        <v>1.3490842297494474</v>
      </c>
      <c r="K1312" s="2">
        <f t="shared" si="80"/>
        <v>829</v>
      </c>
      <c r="L1312" s="2">
        <f t="shared" si="81"/>
        <v>0</v>
      </c>
      <c r="M1312" s="2">
        <f t="shared" si="82"/>
        <v>0</v>
      </c>
      <c r="N1312" s="2">
        <v>1.6763130631447609</v>
      </c>
      <c r="O1312" s="2">
        <f t="shared" si="83"/>
        <v>0</v>
      </c>
      <c r="P1312" s="2">
        <v>-7.9870225030385882</v>
      </c>
      <c r="Q1312" s="2">
        <v>-1.960170413777746</v>
      </c>
    </row>
    <row r="1313" spans="1:17" ht="15">
      <c r="A1313" s="2" t="s">
        <v>81</v>
      </c>
      <c r="B1313" s="2">
        <v>965.73192795040086</v>
      </c>
      <c r="C1313" s="2">
        <v>1132.0546266390011</v>
      </c>
      <c r="D1313" s="2">
        <v>676.67720960453153</v>
      </c>
      <c r="E1313" s="2">
        <v>127.96510748565197</v>
      </c>
      <c r="F1313" s="2">
        <v>23.800800228957087</v>
      </c>
      <c r="G1313" s="2">
        <v>0.81607372790109367</v>
      </c>
      <c r="H1313" s="2">
        <v>12885</v>
      </c>
      <c r="I1313" s="2">
        <v>1200</v>
      </c>
      <c r="J1313" s="2">
        <f>(IF(A1313='Hybrid Calculator'!$B$6,0,1))^2+((B1313-'Hybrid Calculator'!$B$7)/1500)^2+((C1313-'Hybrid Calculator'!$B$8)/1300)^2+((D1313-'Hybrid Calculator'!$B$9)/800)^2+((E1313-'Hybrid Calculator'!$B$10)/350)^2+((F1313-'Hybrid Calculator'!$B$11)/30)^2+(G1313-'Hybrid Calculator'!$B$12)^2+((H1313-'Hybrid Calculator'!$E$14)/IF(A1313="Lightning",100,30000))^2+((I1313-'Hybrid Calculator'!$E$17)/IF(A1313="Lightning",100,30000))^2</f>
        <v>1.4093673451076403</v>
      </c>
      <c r="K1313" s="2">
        <f t="shared" si="80"/>
        <v>1005</v>
      </c>
      <c r="L1313" s="2">
        <f t="shared" si="81"/>
        <v>0</v>
      </c>
      <c r="M1313" s="2">
        <f t="shared" si="82"/>
        <v>0</v>
      </c>
      <c r="N1313" s="2">
        <v>0.89323530460546863</v>
      </c>
      <c r="O1313" s="2">
        <f t="shared" si="83"/>
        <v>0</v>
      </c>
      <c r="P1313" s="2">
        <v>51.068665613457597</v>
      </c>
      <c r="Q1313" s="2">
        <v>-5.7975479582290745</v>
      </c>
    </row>
    <row r="1314" spans="1:17" ht="15">
      <c r="A1314" s="2" t="s">
        <v>81</v>
      </c>
      <c r="B1314" s="2">
        <v>1047.1788233378902</v>
      </c>
      <c r="C1314" s="2">
        <v>887.41568970726803</v>
      </c>
      <c r="D1314" s="2">
        <v>568.06410625576973</v>
      </c>
      <c r="E1314" s="2">
        <v>111.807858904358</v>
      </c>
      <c r="F1314" s="2">
        <v>11.111659734509885</v>
      </c>
      <c r="G1314" s="2">
        <v>0.79831434694817294</v>
      </c>
      <c r="H1314" s="2">
        <v>13645</v>
      </c>
      <c r="I1314" s="2">
        <v>1200</v>
      </c>
      <c r="J1314" s="2">
        <f>(IF(A1314='Hybrid Calculator'!$B$6,0,1))^2+((B1314-'Hybrid Calculator'!$B$7)/1500)^2+((C1314-'Hybrid Calculator'!$B$8)/1300)^2+((D1314-'Hybrid Calculator'!$B$9)/800)^2+((E1314-'Hybrid Calculator'!$B$10)/350)^2+((F1314-'Hybrid Calculator'!$B$11)/30)^2+(G1314-'Hybrid Calculator'!$B$12)^2+((H1314-'Hybrid Calculator'!$E$14)/IF(A1314="Lightning",100,30000))^2+((I1314-'Hybrid Calculator'!$E$17)/IF(A1314="Lightning",100,30000))^2</f>
        <v>1.3514353649143067</v>
      </c>
      <c r="K1314" s="2">
        <f t="shared" si="80"/>
        <v>833</v>
      </c>
      <c r="L1314" s="2">
        <f t="shared" si="81"/>
        <v>0</v>
      </c>
      <c r="M1314" s="2">
        <f t="shared" si="82"/>
        <v>0</v>
      </c>
      <c r="N1314" s="2">
        <v>1.2532545195292357</v>
      </c>
      <c r="O1314" s="2">
        <f t="shared" si="83"/>
        <v>0</v>
      </c>
      <c r="P1314" s="2">
        <v>1.6593673308398138</v>
      </c>
      <c r="Q1314" s="2">
        <v>8.4903683463080597</v>
      </c>
    </row>
    <row r="1315" spans="1:17" ht="15">
      <c r="A1315" s="2" t="s">
        <v>81</v>
      </c>
      <c r="B1315" s="2">
        <v>961.61665468243882</v>
      </c>
      <c r="C1315" s="2">
        <v>806.03042375296354</v>
      </c>
      <c r="D1315" s="2">
        <v>562.0255901478231</v>
      </c>
      <c r="E1315" s="2">
        <v>323.66749648470432</v>
      </c>
      <c r="F1315" s="2">
        <v>25.477081218268722</v>
      </c>
      <c r="G1315" s="2">
        <v>0.80211742683313791</v>
      </c>
      <c r="H1315" s="2">
        <v>14750</v>
      </c>
      <c r="I1315" s="2">
        <v>1200</v>
      </c>
      <c r="J1315" s="2">
        <f>(IF(A1315='Hybrid Calculator'!$B$6,0,1))^2+((B1315-'Hybrid Calculator'!$B$7)/1500)^2+((C1315-'Hybrid Calculator'!$B$8)/1300)^2+((D1315-'Hybrid Calculator'!$B$9)/800)^2+((E1315-'Hybrid Calculator'!$B$10)/350)^2+((F1315-'Hybrid Calculator'!$B$11)/30)^2+(G1315-'Hybrid Calculator'!$B$12)^2+((H1315-'Hybrid Calculator'!$E$14)/IF(A1315="Lightning",100,30000))^2+((I1315-'Hybrid Calculator'!$E$17)/IF(A1315="Lightning",100,30000))^2</f>
        <v>1.6448378013249005</v>
      </c>
      <c r="K1315" s="2">
        <f t="shared" si="80"/>
        <v>1378</v>
      </c>
      <c r="L1315" s="2">
        <f t="shared" si="81"/>
        <v>0</v>
      </c>
      <c r="M1315" s="2">
        <f t="shared" si="82"/>
        <v>0</v>
      </c>
      <c r="N1315" s="2">
        <v>0.13439500891769285</v>
      </c>
      <c r="O1315" s="2">
        <f t="shared" si="83"/>
        <v>0</v>
      </c>
      <c r="P1315" s="2">
        <v>4.2402935724849158</v>
      </c>
      <c r="Q1315" s="2">
        <v>-3.6844230098004118</v>
      </c>
    </row>
    <row r="1316" spans="1:17" ht="15">
      <c r="A1316" s="2" t="s">
        <v>81</v>
      </c>
      <c r="B1316" s="2">
        <v>1026.9325301982462</v>
      </c>
      <c r="C1316" s="2">
        <v>1056.0332042514347</v>
      </c>
      <c r="D1316" s="2">
        <v>579.38510868698359</v>
      </c>
      <c r="E1316" s="2">
        <v>169.04024405637756</v>
      </c>
      <c r="F1316" s="2">
        <v>9.8704342860728502</v>
      </c>
      <c r="G1316" s="2">
        <v>0.84034756622510032</v>
      </c>
      <c r="H1316" s="2">
        <v>11850</v>
      </c>
      <c r="I1316" s="2">
        <v>1195</v>
      </c>
      <c r="J1316" s="2">
        <f>(IF(A1316='Hybrid Calculator'!$B$6,0,1))^2+((B1316-'Hybrid Calculator'!$B$7)/1500)^2+((C1316-'Hybrid Calculator'!$B$8)/1300)^2+((D1316-'Hybrid Calculator'!$B$9)/800)^2+((E1316-'Hybrid Calculator'!$B$10)/350)^2+((F1316-'Hybrid Calculator'!$B$11)/30)^2+(G1316-'Hybrid Calculator'!$B$12)^2+((H1316-'Hybrid Calculator'!$E$14)/IF(A1316="Lightning",100,30000))^2+((I1316-'Hybrid Calculator'!$E$17)/IF(A1316="Lightning",100,30000))^2</f>
        <v>1.3477400247535998</v>
      </c>
      <c r="K1316" s="2">
        <f t="shared" si="80"/>
        <v>826</v>
      </c>
      <c r="L1316" s="2">
        <f t="shared" si="81"/>
        <v>0</v>
      </c>
      <c r="M1316" s="2">
        <f t="shared" si="82"/>
        <v>0</v>
      </c>
      <c r="N1316" s="2">
        <v>2.0777392321273851</v>
      </c>
      <c r="O1316" s="2">
        <f t="shared" si="83"/>
        <v>0</v>
      </c>
      <c r="P1316" s="2">
        <v>-13.869805758939947</v>
      </c>
      <c r="Q1316" s="2">
        <v>6.8489484115634696</v>
      </c>
    </row>
    <row r="1317" spans="1:17" ht="15">
      <c r="A1317" s="2" t="s">
        <v>81</v>
      </c>
      <c r="B1317" s="2">
        <v>1000.6462026038207</v>
      </c>
      <c r="C1317" s="2">
        <v>1058.4637225838378</v>
      </c>
      <c r="D1317" s="2">
        <v>615.40187383070588</v>
      </c>
      <c r="E1317" s="2">
        <v>172.79077802784741</v>
      </c>
      <c r="F1317" s="2">
        <v>19.335614040959626</v>
      </c>
      <c r="G1317" s="2">
        <v>0.81594780276063839</v>
      </c>
      <c r="H1317" s="2">
        <v>11580</v>
      </c>
      <c r="I1317" s="2">
        <v>1195</v>
      </c>
      <c r="J1317" s="2">
        <f>(IF(A1317='Hybrid Calculator'!$B$6,0,1))^2+((B1317-'Hybrid Calculator'!$B$7)/1500)^2+((C1317-'Hybrid Calculator'!$B$8)/1300)^2+((D1317-'Hybrid Calculator'!$B$9)/800)^2+((E1317-'Hybrid Calculator'!$B$10)/350)^2+((F1317-'Hybrid Calculator'!$B$11)/30)^2+(G1317-'Hybrid Calculator'!$B$12)^2+((H1317-'Hybrid Calculator'!$E$14)/IF(A1317="Lightning",100,30000))^2+((I1317-'Hybrid Calculator'!$E$17)/IF(A1317="Lightning",100,30000))^2</f>
        <v>1.2808223803422594</v>
      </c>
      <c r="K1317" s="2">
        <f t="shared" si="80"/>
        <v>709</v>
      </c>
      <c r="L1317" s="2">
        <f t="shared" si="81"/>
        <v>0</v>
      </c>
      <c r="M1317" s="2">
        <f t="shared" si="82"/>
        <v>0</v>
      </c>
      <c r="N1317" s="2">
        <v>-0.728194361828713</v>
      </c>
      <c r="O1317" s="2">
        <f t="shared" si="83"/>
        <v>0</v>
      </c>
      <c r="P1317" s="2">
        <v>57.189586946353302</v>
      </c>
      <c r="Q1317" s="2">
        <v>-4.077092343120853</v>
      </c>
    </row>
    <row r="1318" spans="1:17" ht="15">
      <c r="A1318" s="2" t="s">
        <v>81</v>
      </c>
      <c r="B1318" s="2">
        <v>950.92863216996193</v>
      </c>
      <c r="C1318" s="2">
        <v>673.11590783065185</v>
      </c>
      <c r="D1318" s="2">
        <v>356.10830653458834</v>
      </c>
      <c r="E1318" s="2">
        <v>282.10104674333706</v>
      </c>
      <c r="F1318" s="2">
        <v>12.738575277850032</v>
      </c>
      <c r="G1318" s="2">
        <v>0.8542977323126979</v>
      </c>
      <c r="H1318" s="2">
        <v>19025</v>
      </c>
      <c r="I1318" s="2">
        <v>1200</v>
      </c>
      <c r="J1318" s="2">
        <f>(IF(A1318='Hybrid Calculator'!$B$6,0,1))^2+((B1318-'Hybrid Calculator'!$B$7)/1500)^2+((C1318-'Hybrid Calculator'!$B$8)/1300)^2+((D1318-'Hybrid Calculator'!$B$9)/800)^2+((E1318-'Hybrid Calculator'!$B$10)/350)^2+((F1318-'Hybrid Calculator'!$B$11)/30)^2+(G1318-'Hybrid Calculator'!$B$12)^2+((H1318-'Hybrid Calculator'!$E$14)/IF(A1318="Lightning",100,30000))^2+((I1318-'Hybrid Calculator'!$E$17)/IF(A1318="Lightning",100,30000))^2</f>
        <v>1.7328543861567614</v>
      </c>
      <c r="K1318" s="2">
        <f t="shared" si="80"/>
        <v>1396</v>
      </c>
      <c r="L1318" s="2">
        <f t="shared" si="81"/>
        <v>0</v>
      </c>
      <c r="M1318" s="2">
        <f t="shared" si="82"/>
        <v>0</v>
      </c>
      <c r="N1318" s="2">
        <v>-0.68670925164983032</v>
      </c>
      <c r="O1318" s="2">
        <f t="shared" si="83"/>
        <v>0</v>
      </c>
      <c r="P1318" s="2">
        <v>-31.440618133665339</v>
      </c>
      <c r="Q1318" s="2">
        <v>14.184771817741989</v>
      </c>
    </row>
    <row r="1319" spans="1:17" ht="15">
      <c r="A1319" s="2" t="s">
        <v>81</v>
      </c>
      <c r="B1319" s="2">
        <v>1054.7192125231959</v>
      </c>
      <c r="C1319" s="2">
        <v>1174.7532638022676</v>
      </c>
      <c r="D1319" s="2">
        <v>676.07670882716775</v>
      </c>
      <c r="E1319" s="2">
        <v>160.11733158491552</v>
      </c>
      <c r="F1319" s="2">
        <v>17.712856974918395</v>
      </c>
      <c r="G1319" s="2">
        <v>0.80415804550517356</v>
      </c>
      <c r="H1319" s="2">
        <v>10635</v>
      </c>
      <c r="I1319" s="2">
        <v>1195</v>
      </c>
      <c r="J1319" s="2">
        <f>(IF(A1319='Hybrid Calculator'!$B$6,0,1))^2+((B1319-'Hybrid Calculator'!$B$7)/1500)^2+((C1319-'Hybrid Calculator'!$B$8)/1300)^2+((D1319-'Hybrid Calculator'!$B$9)/800)^2+((E1319-'Hybrid Calculator'!$B$10)/350)^2+((F1319-'Hybrid Calculator'!$B$11)/30)^2+(G1319-'Hybrid Calculator'!$B$12)^2+((H1319-'Hybrid Calculator'!$E$14)/IF(A1319="Lightning",100,30000))^2+((I1319-'Hybrid Calculator'!$E$17)/IF(A1319="Lightning",100,30000))^2</f>
        <v>1.2995715255586158</v>
      </c>
      <c r="K1319" s="2">
        <f t="shared" si="80"/>
        <v>728</v>
      </c>
      <c r="L1319" s="2">
        <f t="shared" si="81"/>
        <v>0</v>
      </c>
      <c r="M1319" s="2">
        <f t="shared" si="82"/>
        <v>0</v>
      </c>
      <c r="N1319" s="2">
        <v>1.6211336080759509</v>
      </c>
      <c r="O1319" s="2">
        <f t="shared" si="83"/>
        <v>0</v>
      </c>
      <c r="P1319" s="2">
        <v>-17.071690022441089</v>
      </c>
      <c r="Q1319" s="2">
        <v>-1.4157556583486439</v>
      </c>
    </row>
    <row r="1320" spans="1:17" ht="15">
      <c r="A1320" s="2" t="s">
        <v>81</v>
      </c>
      <c r="B1320" s="2">
        <v>950.31472824048251</v>
      </c>
      <c r="C1320" s="2">
        <v>1069.883635325823</v>
      </c>
      <c r="D1320" s="2">
        <v>695.55993713438511</v>
      </c>
      <c r="E1320" s="2">
        <v>110.49112594453618</v>
      </c>
      <c r="F1320" s="2">
        <v>12.43782436195761</v>
      </c>
      <c r="G1320" s="2">
        <v>0.79251230920432136</v>
      </c>
      <c r="H1320" s="2">
        <v>13300</v>
      </c>
      <c r="I1320" s="2">
        <v>1200</v>
      </c>
      <c r="J1320" s="2">
        <f>(IF(A1320='Hybrid Calculator'!$B$6,0,1))^2+((B1320-'Hybrid Calculator'!$B$7)/1500)^2+((C1320-'Hybrid Calculator'!$B$8)/1300)^2+((D1320-'Hybrid Calculator'!$B$9)/800)^2+((E1320-'Hybrid Calculator'!$B$10)/350)^2+((F1320-'Hybrid Calculator'!$B$11)/30)^2+(G1320-'Hybrid Calculator'!$B$12)^2+((H1320-'Hybrid Calculator'!$E$14)/IF(A1320="Lightning",100,30000))^2+((I1320-'Hybrid Calculator'!$E$17)/IF(A1320="Lightning",100,30000))^2</f>
        <v>1.4394442731805264</v>
      </c>
      <c r="K1320" s="2">
        <f t="shared" si="80"/>
        <v>1084</v>
      </c>
      <c r="L1320" s="2">
        <f t="shared" si="81"/>
        <v>0</v>
      </c>
      <c r="M1320" s="2">
        <f t="shared" si="82"/>
        <v>0</v>
      </c>
      <c r="N1320" s="2">
        <v>1.2828098817612954</v>
      </c>
      <c r="O1320" s="2">
        <f t="shared" si="83"/>
        <v>0</v>
      </c>
      <c r="P1320" s="2">
        <v>-7.5911078508529499</v>
      </c>
      <c r="Q1320" s="2">
        <v>-0.30252461742156811</v>
      </c>
    </row>
    <row r="1321" spans="1:17" ht="15">
      <c r="A1321" s="2" t="s">
        <v>81</v>
      </c>
      <c r="B1321" s="2">
        <v>985.97333136713132</v>
      </c>
      <c r="C1321" s="2">
        <v>794.15097082965076</v>
      </c>
      <c r="D1321" s="2">
        <v>564.25501955673099</v>
      </c>
      <c r="E1321" s="2">
        <v>161.78428548853844</v>
      </c>
      <c r="F1321" s="2">
        <v>12.120142634492368</v>
      </c>
      <c r="G1321" s="2">
        <v>0.8014932803064585</v>
      </c>
      <c r="H1321" s="2">
        <v>14070</v>
      </c>
      <c r="I1321" s="2">
        <v>1200</v>
      </c>
      <c r="J1321" s="2">
        <f>(IF(A1321='Hybrid Calculator'!$B$6,0,1))^2+((B1321-'Hybrid Calculator'!$B$7)/1500)^2+((C1321-'Hybrid Calculator'!$B$8)/1300)^2+((D1321-'Hybrid Calculator'!$B$9)/800)^2+((E1321-'Hybrid Calculator'!$B$10)/350)^2+((F1321-'Hybrid Calculator'!$B$11)/30)^2+(G1321-'Hybrid Calculator'!$B$12)^2+((H1321-'Hybrid Calculator'!$E$14)/IF(A1321="Lightning",100,30000))^2+((I1321-'Hybrid Calculator'!$E$17)/IF(A1321="Lightning",100,30000))^2</f>
        <v>1.3605966073544071</v>
      </c>
      <c r="K1321" s="2">
        <f t="shared" si="80"/>
        <v>857</v>
      </c>
      <c r="L1321" s="2">
        <f t="shared" si="81"/>
        <v>0</v>
      </c>
      <c r="M1321" s="2">
        <f t="shared" si="82"/>
        <v>0</v>
      </c>
      <c r="N1321" s="2">
        <v>-1.31505095431163</v>
      </c>
      <c r="O1321" s="2">
        <f t="shared" si="83"/>
        <v>0</v>
      </c>
      <c r="P1321" s="2">
        <v>-7.6552064917823373</v>
      </c>
      <c r="Q1321" s="2">
        <v>11.65522286650264</v>
      </c>
    </row>
    <row r="1322" spans="1:17" ht="15">
      <c r="A1322" s="2" t="s">
        <v>81</v>
      </c>
      <c r="B1322" s="2">
        <v>979.88938908092678</v>
      </c>
      <c r="C1322" s="2">
        <v>1123.3372107963078</v>
      </c>
      <c r="D1322" s="2">
        <v>426.45840402692556</v>
      </c>
      <c r="E1322" s="2">
        <v>217.11881713243201</v>
      </c>
      <c r="F1322" s="2">
        <v>8.7131832055747509</v>
      </c>
      <c r="G1322" s="2">
        <v>0.84876421954715631</v>
      </c>
      <c r="H1322" s="2">
        <v>14120</v>
      </c>
      <c r="I1322" s="2">
        <v>1200</v>
      </c>
      <c r="J1322" s="2">
        <f>(IF(A1322='Hybrid Calculator'!$B$6,0,1))^2+((B1322-'Hybrid Calculator'!$B$7)/1500)^2+((C1322-'Hybrid Calculator'!$B$8)/1300)^2+((D1322-'Hybrid Calculator'!$B$9)/800)^2+((E1322-'Hybrid Calculator'!$B$10)/350)^2+((F1322-'Hybrid Calculator'!$B$11)/30)^2+(G1322-'Hybrid Calculator'!$B$12)^2+((H1322-'Hybrid Calculator'!$E$14)/IF(A1322="Lightning",100,30000))^2+((I1322-'Hybrid Calculator'!$E$17)/IF(A1322="Lightning",100,30000))^2</f>
        <v>1.506236050026394</v>
      </c>
      <c r="K1322" s="2">
        <f t="shared" si="80"/>
        <v>1221</v>
      </c>
      <c r="L1322" s="2">
        <f t="shared" si="81"/>
        <v>0</v>
      </c>
      <c r="M1322" s="2">
        <f t="shared" si="82"/>
        <v>0</v>
      </c>
      <c r="N1322" s="2">
        <v>1.8701918874796775</v>
      </c>
      <c r="O1322" s="2">
        <f t="shared" si="83"/>
        <v>0</v>
      </c>
      <c r="P1322" s="2">
        <v>-5.1796609861485194</v>
      </c>
      <c r="Q1322" s="2">
        <v>-2.4100740828752123</v>
      </c>
    </row>
    <row r="1323" spans="1:17" ht="15">
      <c r="A1323" s="2" t="s">
        <v>81</v>
      </c>
      <c r="B1323" s="2">
        <v>965.29475973220542</v>
      </c>
      <c r="C1323" s="2">
        <v>1013.1982623366639</v>
      </c>
      <c r="D1323" s="2">
        <v>559.88314943388104</v>
      </c>
      <c r="E1323" s="2">
        <v>232.33663748949766</v>
      </c>
      <c r="F1323" s="2">
        <v>25.647009538952261</v>
      </c>
      <c r="G1323" s="2">
        <v>0.85919283609371633</v>
      </c>
      <c r="H1323" s="2">
        <v>13820</v>
      </c>
      <c r="I1323" s="2">
        <v>1200</v>
      </c>
      <c r="J1323" s="2">
        <f>(IF(A1323='Hybrid Calculator'!$B$6,0,1))^2+((B1323-'Hybrid Calculator'!$B$7)/1500)^2+((C1323-'Hybrid Calculator'!$B$8)/1300)^2+((D1323-'Hybrid Calculator'!$B$9)/800)^2+((E1323-'Hybrid Calculator'!$B$10)/350)^2+((F1323-'Hybrid Calculator'!$B$11)/30)^2+(G1323-'Hybrid Calculator'!$B$12)^2+((H1323-'Hybrid Calculator'!$E$14)/IF(A1323="Lightning",100,30000))^2+((I1323-'Hybrid Calculator'!$E$17)/IF(A1323="Lightning",100,30000))^2</f>
        <v>1.4411344224902316</v>
      </c>
      <c r="K1323" s="2">
        <f t="shared" si="80"/>
        <v>1086</v>
      </c>
      <c r="L1323" s="2">
        <f t="shared" si="81"/>
        <v>0</v>
      </c>
      <c r="M1323" s="2">
        <f t="shared" si="82"/>
        <v>0</v>
      </c>
      <c r="N1323" s="2">
        <v>1.1848780329986255</v>
      </c>
      <c r="O1323" s="2">
        <f t="shared" si="83"/>
        <v>0</v>
      </c>
      <c r="P1323" s="2">
        <v>50.354617732323277</v>
      </c>
      <c r="Q1323" s="2">
        <v>-13.528980928874944</v>
      </c>
    </row>
    <row r="1324" spans="1:17" ht="15">
      <c r="A1324" s="2" t="s">
        <v>81</v>
      </c>
      <c r="B1324" s="2">
        <v>960.48671940807253</v>
      </c>
      <c r="C1324" s="2">
        <v>998.80931071238592</v>
      </c>
      <c r="D1324" s="2">
        <v>424.68167170882225</v>
      </c>
      <c r="E1324" s="2">
        <v>82.517697808798403</v>
      </c>
      <c r="F1324" s="2">
        <v>15.036672136746347</v>
      </c>
      <c r="G1324" s="2">
        <v>0.82144245082279665</v>
      </c>
      <c r="H1324" s="2">
        <v>16565</v>
      </c>
      <c r="I1324" s="2">
        <v>1200</v>
      </c>
      <c r="J1324" s="2">
        <f>(IF(A1324='Hybrid Calculator'!$B$6,0,1))^2+((B1324-'Hybrid Calculator'!$B$7)/1500)^2+((C1324-'Hybrid Calculator'!$B$8)/1300)^2+((D1324-'Hybrid Calculator'!$B$9)/800)^2+((E1324-'Hybrid Calculator'!$B$10)/350)^2+((F1324-'Hybrid Calculator'!$B$11)/30)^2+(G1324-'Hybrid Calculator'!$B$12)^2+((H1324-'Hybrid Calculator'!$E$14)/IF(A1324="Lightning",100,30000))^2+((I1324-'Hybrid Calculator'!$E$17)/IF(A1324="Lightning",100,30000))^2</f>
        <v>1.4729539528588464</v>
      </c>
      <c r="K1324" s="2">
        <f t="shared" si="80"/>
        <v>1165</v>
      </c>
      <c r="L1324" s="2">
        <f t="shared" si="81"/>
        <v>0</v>
      </c>
      <c r="M1324" s="2">
        <f t="shared" si="82"/>
        <v>0</v>
      </c>
      <c r="N1324" s="2">
        <v>-2.4470840834983676</v>
      </c>
      <c r="O1324" s="2">
        <f t="shared" si="83"/>
        <v>0</v>
      </c>
      <c r="P1324" s="2">
        <v>-20.109958948462463</v>
      </c>
      <c r="Q1324" s="2">
        <v>7.6981723410481209</v>
      </c>
    </row>
    <row r="1325" spans="1:17" ht="15">
      <c r="A1325" s="2" t="s">
        <v>81</v>
      </c>
      <c r="B1325" s="2">
        <v>1004.0015121805482</v>
      </c>
      <c r="C1325" s="2">
        <v>610.71426570415497</v>
      </c>
      <c r="D1325" s="2">
        <v>514.04024055227637</v>
      </c>
      <c r="E1325" s="2">
        <v>314.89529185462743</v>
      </c>
      <c r="F1325" s="2">
        <v>20.732835890259594</v>
      </c>
      <c r="G1325" s="2">
        <v>0.82453459466807544</v>
      </c>
      <c r="H1325" s="2">
        <v>14855</v>
      </c>
      <c r="I1325" s="2">
        <v>1200</v>
      </c>
      <c r="J1325" s="2">
        <f>(IF(A1325='Hybrid Calculator'!$B$6,0,1))^2+((B1325-'Hybrid Calculator'!$B$7)/1500)^2+((C1325-'Hybrid Calculator'!$B$8)/1300)^2+((D1325-'Hybrid Calculator'!$B$9)/800)^2+((E1325-'Hybrid Calculator'!$B$10)/350)^2+((F1325-'Hybrid Calculator'!$B$11)/30)^2+(G1325-'Hybrid Calculator'!$B$12)^2+((H1325-'Hybrid Calculator'!$E$14)/IF(A1325="Lightning",100,30000))^2+((I1325-'Hybrid Calculator'!$E$17)/IF(A1325="Lightning",100,30000))^2</f>
        <v>1.5855607623474963</v>
      </c>
      <c r="K1325" s="2">
        <f t="shared" si="80"/>
        <v>1339</v>
      </c>
      <c r="L1325" s="2">
        <f t="shared" si="81"/>
        <v>0</v>
      </c>
      <c r="M1325" s="2">
        <f t="shared" si="82"/>
        <v>0</v>
      </c>
      <c r="N1325" s="2">
        <v>1.056853414103756</v>
      </c>
      <c r="O1325" s="2">
        <f t="shared" si="83"/>
        <v>0</v>
      </c>
      <c r="P1325" s="2">
        <v>-65.156927505023759</v>
      </c>
      <c r="Q1325" s="2">
        <v>7.3037457803626467</v>
      </c>
    </row>
    <row r="1326" spans="1:17" ht="15">
      <c r="A1326" s="2" t="s">
        <v>81</v>
      </c>
      <c r="B1326" s="2">
        <v>955.9189080260694</v>
      </c>
      <c r="C1326" s="2">
        <v>841.76658609649166</v>
      </c>
      <c r="D1326" s="2">
        <v>737.79473546892405</v>
      </c>
      <c r="E1326" s="2">
        <v>159.05224995920435</v>
      </c>
      <c r="F1326" s="2">
        <v>8.4734697286039591</v>
      </c>
      <c r="G1326" s="2">
        <v>0.79443386334227406</v>
      </c>
      <c r="H1326" s="2">
        <v>12300</v>
      </c>
      <c r="I1326" s="2">
        <v>1200</v>
      </c>
      <c r="J1326" s="2">
        <f>(IF(A1326='Hybrid Calculator'!$B$6,0,1))^2+((B1326-'Hybrid Calculator'!$B$7)/1500)^2+((C1326-'Hybrid Calculator'!$B$8)/1300)^2+((D1326-'Hybrid Calculator'!$B$9)/800)^2+((E1326-'Hybrid Calculator'!$B$10)/350)^2+((F1326-'Hybrid Calculator'!$B$11)/30)^2+(G1326-'Hybrid Calculator'!$B$12)^2+((H1326-'Hybrid Calculator'!$E$14)/IF(A1326="Lightning",100,30000))^2+((I1326-'Hybrid Calculator'!$E$17)/IF(A1326="Lightning",100,30000))^2</f>
        <v>1.4674821612574238</v>
      </c>
      <c r="K1326" s="2">
        <f t="shared" si="80"/>
        <v>1151</v>
      </c>
      <c r="L1326" s="2">
        <f t="shared" si="81"/>
        <v>0</v>
      </c>
      <c r="M1326" s="2">
        <f t="shared" si="82"/>
        <v>0</v>
      </c>
      <c r="N1326" s="2">
        <v>3.758652123438452</v>
      </c>
      <c r="O1326" s="2">
        <f t="shared" si="83"/>
        <v>0</v>
      </c>
      <c r="P1326" s="2">
        <v>30.599852842466589</v>
      </c>
      <c r="Q1326" s="2">
        <v>7.0601414211693054</v>
      </c>
    </row>
    <row r="1327" spans="1:17" ht="15">
      <c r="A1327" s="2" t="s">
        <v>81</v>
      </c>
      <c r="B1327" s="2">
        <v>983.21792870992795</v>
      </c>
      <c r="C1327" s="2">
        <v>635.51638454664499</v>
      </c>
      <c r="D1327" s="2">
        <v>696.72719174996018</v>
      </c>
      <c r="E1327" s="2">
        <v>188.29674475826323</v>
      </c>
      <c r="F1327" s="2">
        <v>25.431545235682279</v>
      </c>
      <c r="G1327" s="2">
        <v>0.853722016424872</v>
      </c>
      <c r="H1327" s="2">
        <v>16410</v>
      </c>
      <c r="I1327" s="2">
        <v>1200</v>
      </c>
      <c r="J1327" s="2">
        <f>(IF(A1327='Hybrid Calculator'!$B$6,0,1))^2+((B1327-'Hybrid Calculator'!$B$7)/1500)^2+((C1327-'Hybrid Calculator'!$B$8)/1300)^2+((D1327-'Hybrid Calculator'!$B$9)/800)^2+((E1327-'Hybrid Calculator'!$B$10)/350)^2+((F1327-'Hybrid Calculator'!$B$11)/30)^2+(G1327-'Hybrid Calculator'!$B$12)^2+((H1327-'Hybrid Calculator'!$E$14)/IF(A1327="Lightning",100,30000))^2+((I1327-'Hybrid Calculator'!$E$17)/IF(A1327="Lightning",100,30000))^2</f>
        <v>1.5398519387028724</v>
      </c>
      <c r="K1327" s="2">
        <f t="shared" si="80"/>
        <v>1282</v>
      </c>
      <c r="L1327" s="2">
        <f t="shared" si="81"/>
        <v>0</v>
      </c>
      <c r="M1327" s="2">
        <f t="shared" si="82"/>
        <v>0</v>
      </c>
      <c r="N1327" s="2">
        <v>-1.6858975419997648</v>
      </c>
      <c r="O1327" s="2">
        <f t="shared" si="83"/>
        <v>0</v>
      </c>
      <c r="P1327" s="2">
        <v>-32.898240590849127</v>
      </c>
      <c r="Q1327" s="2">
        <v>-0.19890348255830759</v>
      </c>
    </row>
    <row r="1328" spans="1:17" ht="15">
      <c r="A1328" s="2" t="s">
        <v>81</v>
      </c>
      <c r="B1328" s="2">
        <v>966.12684351857752</v>
      </c>
      <c r="C1328" s="2">
        <v>685.01114338869229</v>
      </c>
      <c r="D1328" s="2">
        <v>520.39584331214428</v>
      </c>
      <c r="E1328" s="2">
        <v>227.19771005911753</v>
      </c>
      <c r="F1328" s="2">
        <v>14.80707683134824</v>
      </c>
      <c r="G1328" s="2">
        <v>0.80513334878487519</v>
      </c>
      <c r="H1328" s="2">
        <v>17415</v>
      </c>
      <c r="I1328" s="2">
        <v>1200</v>
      </c>
      <c r="J1328" s="2">
        <f>(IF(A1328='Hybrid Calculator'!$B$6,0,1))^2+((B1328-'Hybrid Calculator'!$B$7)/1500)^2+((C1328-'Hybrid Calculator'!$B$8)/1300)^2+((D1328-'Hybrid Calculator'!$B$9)/800)^2+((E1328-'Hybrid Calculator'!$B$10)/350)^2+((F1328-'Hybrid Calculator'!$B$11)/30)^2+(G1328-'Hybrid Calculator'!$B$12)^2+((H1328-'Hybrid Calculator'!$E$14)/IF(A1328="Lightning",100,30000))^2+((I1328-'Hybrid Calculator'!$E$17)/IF(A1328="Lightning",100,30000))^2</f>
        <v>1.5109464528703529</v>
      </c>
      <c r="K1328" s="2">
        <f t="shared" si="80"/>
        <v>1228</v>
      </c>
      <c r="L1328" s="2">
        <f t="shared" si="81"/>
        <v>0</v>
      </c>
      <c r="M1328" s="2">
        <f t="shared" si="82"/>
        <v>0</v>
      </c>
      <c r="N1328" s="2">
        <v>-2.6206850927625567</v>
      </c>
      <c r="O1328" s="2">
        <f t="shared" si="83"/>
        <v>0</v>
      </c>
      <c r="P1328" s="2">
        <v>-39.924454788574621</v>
      </c>
      <c r="Q1328" s="2">
        <v>12.299950308212374</v>
      </c>
    </row>
    <row r="1329" spans="1:17" ht="15">
      <c r="A1329" s="2" t="s">
        <v>81</v>
      </c>
      <c r="B1329" s="2">
        <v>1090.9282598062418</v>
      </c>
      <c r="C1329" s="2">
        <v>1020.6114493776113</v>
      </c>
      <c r="D1329" s="2">
        <v>458.44273893162608</v>
      </c>
      <c r="E1329" s="2">
        <v>170.27959627564996</v>
      </c>
      <c r="F1329" s="2">
        <v>25.952679313253611</v>
      </c>
      <c r="G1329" s="2">
        <v>0.79231441913172607</v>
      </c>
      <c r="H1329" s="2">
        <v>12965</v>
      </c>
      <c r="I1329" s="2">
        <v>1200</v>
      </c>
      <c r="J1329" s="2">
        <f>(IF(A1329='Hybrid Calculator'!$B$6,0,1))^2+((B1329-'Hybrid Calculator'!$B$7)/1500)^2+((C1329-'Hybrid Calculator'!$B$8)/1300)^2+((D1329-'Hybrid Calculator'!$B$9)/800)^2+((E1329-'Hybrid Calculator'!$B$10)/350)^2+((F1329-'Hybrid Calculator'!$B$11)/30)^2+(G1329-'Hybrid Calculator'!$B$12)^2+((H1329-'Hybrid Calculator'!$E$14)/IF(A1329="Lightning",100,30000))^2+((I1329-'Hybrid Calculator'!$E$17)/IF(A1329="Lightning",100,30000))^2</f>
        <v>1.3222258389437842</v>
      </c>
      <c r="K1329" s="2">
        <f t="shared" si="80"/>
        <v>764</v>
      </c>
      <c r="L1329" s="2">
        <f t="shared" si="81"/>
        <v>0</v>
      </c>
      <c r="M1329" s="2">
        <f t="shared" si="82"/>
        <v>0</v>
      </c>
      <c r="N1329" s="2">
        <v>-0.26201753282421691</v>
      </c>
      <c r="O1329" s="2">
        <f t="shared" si="83"/>
        <v>0</v>
      </c>
      <c r="P1329" s="2">
        <v>-8.9795183170390374</v>
      </c>
      <c r="Q1329" s="2">
        <v>-3.6627606284980629</v>
      </c>
    </row>
    <row r="1330" spans="1:17" ht="15">
      <c r="A1330" s="2" t="s">
        <v>81</v>
      </c>
      <c r="B1330" s="2">
        <v>961.69349239207804</v>
      </c>
      <c r="C1330" s="2">
        <v>1231.9478517281823</v>
      </c>
      <c r="D1330" s="2">
        <v>412.36432921141386</v>
      </c>
      <c r="E1330" s="2">
        <v>254.69238612102345</v>
      </c>
      <c r="F1330" s="2">
        <v>21.466207899153233</v>
      </c>
      <c r="G1330" s="2">
        <v>0.83103537911782044</v>
      </c>
      <c r="H1330" s="2">
        <v>13140</v>
      </c>
      <c r="I1330" s="2">
        <v>1200</v>
      </c>
      <c r="J1330" s="2">
        <f>(IF(A1330='Hybrid Calculator'!$B$6,0,1))^2+((B1330-'Hybrid Calculator'!$B$7)/1500)^2+((C1330-'Hybrid Calculator'!$B$8)/1300)^2+((D1330-'Hybrid Calculator'!$B$9)/800)^2+((E1330-'Hybrid Calculator'!$B$10)/350)^2+((F1330-'Hybrid Calculator'!$B$11)/30)^2+(G1330-'Hybrid Calculator'!$B$12)^2+((H1330-'Hybrid Calculator'!$E$14)/IF(A1330="Lightning",100,30000))^2+((I1330-'Hybrid Calculator'!$E$17)/IF(A1330="Lightning",100,30000))^2</f>
        <v>1.4850153112996667</v>
      </c>
      <c r="K1330" s="2">
        <f t="shared" si="80"/>
        <v>1185</v>
      </c>
      <c r="L1330" s="2">
        <f t="shared" si="81"/>
        <v>0</v>
      </c>
      <c r="M1330" s="2">
        <f t="shared" si="82"/>
        <v>0</v>
      </c>
      <c r="N1330" s="2">
        <v>1.4076071351042287</v>
      </c>
      <c r="O1330" s="2">
        <f t="shared" si="83"/>
        <v>0</v>
      </c>
      <c r="P1330" s="2">
        <v>34.513583082380137</v>
      </c>
      <c r="Q1330" s="2">
        <v>-4.7335361254672534</v>
      </c>
    </row>
    <row r="1331" spans="1:17" ht="15">
      <c r="A1331" s="2" t="s">
        <v>81</v>
      </c>
      <c r="B1331" s="2">
        <v>980.60846804874018</v>
      </c>
      <c r="C1331" s="2">
        <v>797.9857757454738</v>
      </c>
      <c r="D1331" s="2">
        <v>643.42579515650868</v>
      </c>
      <c r="E1331" s="2">
        <v>246.31879797205329</v>
      </c>
      <c r="F1331" s="2">
        <v>17.346605418715626</v>
      </c>
      <c r="G1331" s="2">
        <v>0.82683935509528972</v>
      </c>
      <c r="H1331" s="2">
        <v>14785</v>
      </c>
      <c r="I1331" s="2">
        <v>1200</v>
      </c>
      <c r="J1331" s="2">
        <f>(IF(A1331='Hybrid Calculator'!$B$6,0,1))^2+((B1331-'Hybrid Calculator'!$B$7)/1500)^2+((C1331-'Hybrid Calculator'!$B$8)/1300)^2+((D1331-'Hybrid Calculator'!$B$9)/800)^2+((E1331-'Hybrid Calculator'!$B$10)/350)^2+((F1331-'Hybrid Calculator'!$B$11)/30)^2+(G1331-'Hybrid Calculator'!$B$12)^2+((H1331-'Hybrid Calculator'!$E$14)/IF(A1331="Lightning",100,30000))^2+((I1331-'Hybrid Calculator'!$E$17)/IF(A1331="Lightning",100,30000))^2</f>
        <v>1.4415503722212322</v>
      </c>
      <c r="K1331" s="2">
        <f t="shared" si="80"/>
        <v>1087</v>
      </c>
      <c r="L1331" s="2">
        <f t="shared" si="81"/>
        <v>0</v>
      </c>
      <c r="M1331" s="2">
        <f t="shared" si="82"/>
        <v>0</v>
      </c>
      <c r="N1331" s="2">
        <v>1.6225713318278849</v>
      </c>
      <c r="O1331" s="2">
        <f t="shared" si="83"/>
        <v>0</v>
      </c>
      <c r="P1331" s="2">
        <v>3.5397754637083381</v>
      </c>
      <c r="Q1331" s="2">
        <v>6.4641789398431229</v>
      </c>
    </row>
    <row r="1332" spans="1:17" ht="15">
      <c r="A1332" s="2" t="s">
        <v>81</v>
      </c>
      <c r="B1332" s="2">
        <v>1015.8536260481924</v>
      </c>
      <c r="C1332" s="2">
        <v>1216.668274521362</v>
      </c>
      <c r="D1332" s="2">
        <v>388.82575538009405</v>
      </c>
      <c r="E1332" s="2">
        <v>164.31327511789277</v>
      </c>
      <c r="F1332" s="2">
        <v>17.968869123607874</v>
      </c>
      <c r="G1332" s="2">
        <v>0.79977285526925701</v>
      </c>
      <c r="H1332" s="2">
        <v>12085</v>
      </c>
      <c r="I1332" s="2">
        <v>1200</v>
      </c>
      <c r="J1332" s="2">
        <f>(IF(A1332='Hybrid Calculator'!$B$6,0,1))^2+((B1332-'Hybrid Calculator'!$B$7)/1500)^2+((C1332-'Hybrid Calculator'!$B$8)/1300)^2+((D1332-'Hybrid Calculator'!$B$9)/800)^2+((E1332-'Hybrid Calculator'!$B$10)/350)^2+((F1332-'Hybrid Calculator'!$B$11)/30)^2+(G1332-'Hybrid Calculator'!$B$12)^2+((H1332-'Hybrid Calculator'!$E$14)/IF(A1332="Lightning",100,30000))^2+((I1332-'Hybrid Calculator'!$E$17)/IF(A1332="Lightning",100,30000))^2</f>
        <v>1.3381297210895178</v>
      </c>
      <c r="K1332" s="2">
        <f t="shared" si="80"/>
        <v>795</v>
      </c>
      <c r="L1332" s="2">
        <f t="shared" si="81"/>
        <v>0</v>
      </c>
      <c r="M1332" s="2">
        <f t="shared" si="82"/>
        <v>0</v>
      </c>
      <c r="N1332" s="2">
        <v>-0.29574559940368772</v>
      </c>
      <c r="O1332" s="2">
        <f t="shared" si="83"/>
        <v>0</v>
      </c>
      <c r="P1332" s="2">
        <v>67.78562402133366</v>
      </c>
      <c r="Q1332" s="2">
        <v>-4.8956729651638398</v>
      </c>
    </row>
    <row r="1333" spans="1:17" ht="15">
      <c r="A1333" s="2" t="s">
        <v>81</v>
      </c>
      <c r="B1333" s="2">
        <v>1079.5989526552148</v>
      </c>
      <c r="C1333" s="2">
        <v>739.00734193157405</v>
      </c>
      <c r="D1333" s="2">
        <v>472.62943731620908</v>
      </c>
      <c r="E1333" s="2">
        <v>241.60997003316879</v>
      </c>
      <c r="F1333" s="2">
        <v>20.706007907632738</v>
      </c>
      <c r="G1333" s="2">
        <v>0.83774619750212886</v>
      </c>
      <c r="H1333" s="2">
        <v>14715</v>
      </c>
      <c r="I1333" s="2">
        <v>1200</v>
      </c>
      <c r="J1333" s="2">
        <f>(IF(A1333='Hybrid Calculator'!$B$6,0,1))^2+((B1333-'Hybrid Calculator'!$B$7)/1500)^2+((C1333-'Hybrid Calculator'!$B$8)/1300)^2+((D1333-'Hybrid Calculator'!$B$9)/800)^2+((E1333-'Hybrid Calculator'!$B$10)/350)^2+((F1333-'Hybrid Calculator'!$B$11)/30)^2+(G1333-'Hybrid Calculator'!$B$12)^2+((H1333-'Hybrid Calculator'!$E$14)/IF(A1333="Lightning",100,30000))^2+((I1333-'Hybrid Calculator'!$E$17)/IF(A1333="Lightning",100,30000))^2</f>
        <v>1.3762066221555862</v>
      </c>
      <c r="K1333" s="2">
        <f t="shared" si="80"/>
        <v>907</v>
      </c>
      <c r="L1333" s="2">
        <f t="shared" si="81"/>
        <v>0</v>
      </c>
      <c r="M1333" s="2">
        <f t="shared" si="82"/>
        <v>0</v>
      </c>
      <c r="N1333" s="2">
        <v>-0.30576315213141925</v>
      </c>
      <c r="O1333" s="2">
        <f t="shared" si="83"/>
        <v>0</v>
      </c>
      <c r="P1333" s="2">
        <v>21.804385349716085</v>
      </c>
      <c r="Q1333" s="2">
        <v>-1.9605031104247246</v>
      </c>
    </row>
    <row r="1334" spans="1:17" ht="15">
      <c r="A1334" s="2" t="s">
        <v>81</v>
      </c>
      <c r="B1334" s="2">
        <v>1052.5809766957536</v>
      </c>
      <c r="C1334" s="2">
        <v>754.46034605847672</v>
      </c>
      <c r="D1334" s="2">
        <v>541.36441126465797</v>
      </c>
      <c r="E1334" s="2">
        <v>168.17968372022733</v>
      </c>
      <c r="F1334" s="2">
        <v>16.541403605602682</v>
      </c>
      <c r="G1334" s="2">
        <v>0.84418671747436747</v>
      </c>
      <c r="H1334" s="2">
        <v>14610</v>
      </c>
      <c r="I1334" s="2">
        <v>1200</v>
      </c>
      <c r="J1334" s="2">
        <f>(IF(A1334='Hybrid Calculator'!$B$6,0,1))^2+((B1334-'Hybrid Calculator'!$B$7)/1500)^2+((C1334-'Hybrid Calculator'!$B$8)/1300)^2+((D1334-'Hybrid Calculator'!$B$9)/800)^2+((E1334-'Hybrid Calculator'!$B$10)/350)^2+((F1334-'Hybrid Calculator'!$B$11)/30)^2+(G1334-'Hybrid Calculator'!$B$12)^2+((H1334-'Hybrid Calculator'!$E$14)/IF(A1334="Lightning",100,30000))^2+((I1334-'Hybrid Calculator'!$E$17)/IF(A1334="Lightning",100,30000))^2</f>
        <v>1.3143449446319631</v>
      </c>
      <c r="K1334" s="2">
        <f t="shared" si="80"/>
        <v>752</v>
      </c>
      <c r="L1334" s="2">
        <f t="shared" si="81"/>
        <v>0</v>
      </c>
      <c r="M1334" s="2">
        <f t="shared" si="82"/>
        <v>0</v>
      </c>
      <c r="N1334" s="2">
        <v>-1.2437339039215942</v>
      </c>
      <c r="O1334" s="2">
        <f t="shared" si="83"/>
        <v>0</v>
      </c>
      <c r="P1334" s="2">
        <v>-7.9768527701098719</v>
      </c>
      <c r="Q1334" s="2">
        <v>6.9833167399610829</v>
      </c>
    </row>
    <row r="1335" spans="1:17" ht="15">
      <c r="A1335" s="2" t="s">
        <v>81</v>
      </c>
      <c r="B1335" s="2">
        <v>964.61350581375882</v>
      </c>
      <c r="C1335" s="2">
        <v>1168.4243189170957</v>
      </c>
      <c r="D1335" s="2">
        <v>591.77825292572379</v>
      </c>
      <c r="E1335" s="2">
        <v>105.54898720700294</v>
      </c>
      <c r="F1335" s="2">
        <v>28.851400220301002</v>
      </c>
      <c r="G1335" s="2">
        <v>0.85409833795391021</v>
      </c>
      <c r="H1335" s="2">
        <v>13375</v>
      </c>
      <c r="I1335" s="2">
        <v>1200</v>
      </c>
      <c r="J1335" s="2">
        <f>(IF(A1335='Hybrid Calculator'!$B$6,0,1))^2+((B1335-'Hybrid Calculator'!$B$7)/1500)^2+((C1335-'Hybrid Calculator'!$B$8)/1300)^2+((D1335-'Hybrid Calculator'!$B$9)/800)^2+((E1335-'Hybrid Calculator'!$B$10)/350)^2+((F1335-'Hybrid Calculator'!$B$11)/30)^2+(G1335-'Hybrid Calculator'!$B$12)^2+((H1335-'Hybrid Calculator'!$E$14)/IF(A1335="Lightning",100,30000))^2+((I1335-'Hybrid Calculator'!$E$17)/IF(A1335="Lightning",100,30000))^2</f>
        <v>1.5025280404613364</v>
      </c>
      <c r="K1335" s="2">
        <f t="shared" si="80"/>
        <v>1215</v>
      </c>
      <c r="L1335" s="2">
        <f t="shared" si="81"/>
        <v>0</v>
      </c>
      <c r="M1335" s="2">
        <f t="shared" si="82"/>
        <v>0</v>
      </c>
      <c r="N1335" s="2">
        <v>-2.9010229964648317</v>
      </c>
      <c r="O1335" s="2">
        <f t="shared" si="83"/>
        <v>0</v>
      </c>
      <c r="P1335" s="2">
        <v>42.661957505191367</v>
      </c>
      <c r="Q1335" s="2">
        <v>-8.9536441121587131</v>
      </c>
    </row>
    <row r="1336" spans="1:17" ht="15">
      <c r="A1336" s="2" t="s">
        <v>81</v>
      </c>
      <c r="B1336" s="2">
        <v>1099.9582600779831</v>
      </c>
      <c r="C1336" s="2">
        <v>635.82150352885947</v>
      </c>
      <c r="D1336" s="2">
        <v>437.14188132435083</v>
      </c>
      <c r="E1336" s="2">
        <v>289.02412763098255</v>
      </c>
      <c r="F1336" s="2">
        <v>25.165451990440488</v>
      </c>
      <c r="G1336" s="2">
        <v>0.80644326522247867</v>
      </c>
      <c r="H1336" s="2">
        <v>15700</v>
      </c>
      <c r="I1336" s="2">
        <v>1200</v>
      </c>
      <c r="J1336" s="2">
        <f>(IF(A1336='Hybrid Calculator'!$B$6,0,1))^2+((B1336-'Hybrid Calculator'!$B$7)/1500)^2+((C1336-'Hybrid Calculator'!$B$8)/1300)^2+((D1336-'Hybrid Calculator'!$B$9)/800)^2+((E1336-'Hybrid Calculator'!$B$10)/350)^2+((F1336-'Hybrid Calculator'!$B$11)/30)^2+(G1336-'Hybrid Calculator'!$B$12)^2+((H1336-'Hybrid Calculator'!$E$14)/IF(A1336="Lightning",100,30000))^2+((I1336-'Hybrid Calculator'!$E$17)/IF(A1336="Lightning",100,30000))^2</f>
        <v>1.5612694683287378</v>
      </c>
      <c r="K1336" s="2">
        <f t="shared" si="80"/>
        <v>1319</v>
      </c>
      <c r="L1336" s="2">
        <f t="shared" si="81"/>
        <v>0</v>
      </c>
      <c r="M1336" s="2">
        <f t="shared" si="82"/>
        <v>0</v>
      </c>
      <c r="N1336" s="2">
        <v>-2.7559361547696142</v>
      </c>
      <c r="O1336" s="2">
        <f t="shared" si="83"/>
        <v>0</v>
      </c>
      <c r="P1336" s="2">
        <v>-69.752960035744763</v>
      </c>
      <c r="Q1336" s="2">
        <v>5.1326655026950903</v>
      </c>
    </row>
    <row r="1337" spans="1:17" ht="15">
      <c r="A1337" s="2" t="s">
        <v>81</v>
      </c>
      <c r="B1337" s="2">
        <v>1050.2550989040174</v>
      </c>
      <c r="C1337" s="2">
        <v>833.62475682515651</v>
      </c>
      <c r="D1337" s="2">
        <v>474.18373906984925</v>
      </c>
      <c r="E1337" s="2">
        <v>225.43901872821152</v>
      </c>
      <c r="F1337" s="2">
        <v>24.866570115555078</v>
      </c>
      <c r="G1337" s="2">
        <v>0.84350255819503217</v>
      </c>
      <c r="H1337" s="2">
        <v>13950</v>
      </c>
      <c r="I1337" s="2">
        <v>1200</v>
      </c>
      <c r="J1337" s="2">
        <f>(IF(A1337='Hybrid Calculator'!$B$6,0,1))^2+((B1337-'Hybrid Calculator'!$B$7)/1500)^2+((C1337-'Hybrid Calculator'!$B$8)/1300)^2+((D1337-'Hybrid Calculator'!$B$9)/800)^2+((E1337-'Hybrid Calculator'!$B$10)/350)^2+((F1337-'Hybrid Calculator'!$B$11)/30)^2+(G1337-'Hybrid Calculator'!$B$12)^2+((H1337-'Hybrid Calculator'!$E$14)/IF(A1337="Lightning",100,30000))^2+((I1337-'Hybrid Calculator'!$E$17)/IF(A1337="Lightning",100,30000))^2</f>
        <v>1.3718736337690964</v>
      </c>
      <c r="K1337" s="2">
        <f t="shared" si="80"/>
        <v>896</v>
      </c>
      <c r="L1337" s="2">
        <f t="shared" si="81"/>
        <v>0</v>
      </c>
      <c r="M1337" s="2">
        <f t="shared" si="82"/>
        <v>0</v>
      </c>
      <c r="N1337" s="2">
        <v>-0.15111773142126594</v>
      </c>
      <c r="O1337" s="2">
        <f t="shared" si="83"/>
        <v>0</v>
      </c>
      <c r="P1337" s="2">
        <v>2.1060723849809619</v>
      </c>
      <c r="Q1337" s="2">
        <v>-5.7806218339778752</v>
      </c>
    </row>
    <row r="1338" spans="1:17" ht="15">
      <c r="A1338" s="2" t="s">
        <v>81</v>
      </c>
      <c r="B1338" s="2">
        <v>1062.5790556659922</v>
      </c>
      <c r="C1338" s="2">
        <v>764.85140357399359</v>
      </c>
      <c r="D1338" s="2">
        <v>741.37119017541409</v>
      </c>
      <c r="E1338" s="2">
        <v>95.471200167667121</v>
      </c>
      <c r="F1338" s="2">
        <v>8.7458949806168675</v>
      </c>
      <c r="G1338" s="2">
        <v>0.84738761220825842</v>
      </c>
      <c r="H1338" s="2">
        <v>13350</v>
      </c>
      <c r="I1338" s="2">
        <v>1200</v>
      </c>
      <c r="J1338" s="2">
        <f>(IF(A1338='Hybrid Calculator'!$B$6,0,1))^2+((B1338-'Hybrid Calculator'!$B$7)/1500)^2+((C1338-'Hybrid Calculator'!$B$8)/1300)^2+((D1338-'Hybrid Calculator'!$B$9)/800)^2+((E1338-'Hybrid Calculator'!$B$10)/350)^2+((F1338-'Hybrid Calculator'!$B$11)/30)^2+(G1338-'Hybrid Calculator'!$B$12)^2+((H1338-'Hybrid Calculator'!$E$14)/IF(A1338="Lightning",100,30000))^2+((I1338-'Hybrid Calculator'!$E$17)/IF(A1338="Lightning",100,30000))^2</f>
        <v>1.4825138318671414</v>
      </c>
      <c r="K1338" s="2">
        <f t="shared" si="80"/>
        <v>1181</v>
      </c>
      <c r="L1338" s="2">
        <f t="shared" si="81"/>
        <v>0</v>
      </c>
      <c r="M1338" s="2">
        <f t="shared" si="82"/>
        <v>0</v>
      </c>
      <c r="N1338" s="2">
        <v>-0.49447866382027428</v>
      </c>
      <c r="O1338" s="2">
        <f t="shared" si="83"/>
        <v>0</v>
      </c>
      <c r="P1338" s="2">
        <v>15.217943536404164</v>
      </c>
      <c r="Q1338" s="2">
        <v>4.319247332284931</v>
      </c>
    </row>
    <row r="1339" spans="1:17" ht="15">
      <c r="A1339" s="2" t="s">
        <v>81</v>
      </c>
      <c r="B1339" s="2">
        <v>1088.1393262534402</v>
      </c>
      <c r="C1339" s="2">
        <v>805.58288195170462</v>
      </c>
      <c r="D1339" s="2">
        <v>534.63067291304469</v>
      </c>
      <c r="E1339" s="2">
        <v>120.78610928263515</v>
      </c>
      <c r="F1339" s="2">
        <v>13.066219090949744</v>
      </c>
      <c r="G1339" s="2">
        <v>0.82667318621650343</v>
      </c>
      <c r="H1339" s="2">
        <v>14640</v>
      </c>
      <c r="I1339" s="2">
        <v>1200</v>
      </c>
      <c r="J1339" s="2">
        <f>(IF(A1339='Hybrid Calculator'!$B$6,0,1))^2+((B1339-'Hybrid Calculator'!$B$7)/1500)^2+((C1339-'Hybrid Calculator'!$B$8)/1300)^2+((D1339-'Hybrid Calculator'!$B$9)/800)^2+((E1339-'Hybrid Calculator'!$B$10)/350)^2+((F1339-'Hybrid Calculator'!$B$11)/30)^2+(G1339-'Hybrid Calculator'!$B$12)^2+((H1339-'Hybrid Calculator'!$E$14)/IF(A1339="Lightning",100,30000))^2+((I1339-'Hybrid Calculator'!$E$17)/IF(A1339="Lightning",100,30000))^2</f>
        <v>1.331346908550429</v>
      </c>
      <c r="K1339" s="2">
        <f t="shared" si="80"/>
        <v>778</v>
      </c>
      <c r="L1339" s="2">
        <f t="shared" si="81"/>
        <v>0</v>
      </c>
      <c r="M1339" s="2">
        <f t="shared" si="82"/>
        <v>0</v>
      </c>
      <c r="N1339" s="2">
        <v>-0.64310389398215762</v>
      </c>
      <c r="O1339" s="2">
        <f t="shared" si="83"/>
        <v>0</v>
      </c>
      <c r="P1339" s="2">
        <v>-48.484635209733369</v>
      </c>
      <c r="Q1339" s="2">
        <v>14.036711048942379</v>
      </c>
    </row>
    <row r="1340" spans="1:17" ht="15">
      <c r="A1340" s="2" t="s">
        <v>81</v>
      </c>
      <c r="B1340" s="2">
        <v>1045.835728617385</v>
      </c>
      <c r="C1340" s="2">
        <v>823.54387788800523</v>
      </c>
      <c r="D1340" s="2">
        <v>397.25274723023176</v>
      </c>
      <c r="E1340" s="2">
        <v>250.94411916332319</v>
      </c>
      <c r="F1340" s="2">
        <v>14.069124490022659</v>
      </c>
      <c r="G1340" s="2">
        <v>0.83020306935766719</v>
      </c>
      <c r="H1340" s="2">
        <v>14530</v>
      </c>
      <c r="I1340" s="2">
        <v>1200</v>
      </c>
      <c r="J1340" s="2">
        <f>(IF(A1340='Hybrid Calculator'!$B$6,0,1))^2+((B1340-'Hybrid Calculator'!$B$7)/1500)^2+((C1340-'Hybrid Calculator'!$B$8)/1300)^2+((D1340-'Hybrid Calculator'!$B$9)/800)^2+((E1340-'Hybrid Calculator'!$B$10)/350)^2+((F1340-'Hybrid Calculator'!$B$11)/30)^2+(G1340-'Hybrid Calculator'!$B$12)^2+((H1340-'Hybrid Calculator'!$E$14)/IF(A1340="Lightning",100,30000))^2+((I1340-'Hybrid Calculator'!$E$17)/IF(A1340="Lightning",100,30000))^2</f>
        <v>1.420405918810786</v>
      </c>
      <c r="K1340" s="2">
        <f t="shared" si="80"/>
        <v>1039</v>
      </c>
      <c r="L1340" s="2">
        <f t="shared" si="81"/>
        <v>0</v>
      </c>
      <c r="M1340" s="2">
        <f t="shared" si="82"/>
        <v>0</v>
      </c>
      <c r="N1340" s="2">
        <v>-1.7118992252225951</v>
      </c>
      <c r="O1340" s="2">
        <f t="shared" si="83"/>
        <v>0</v>
      </c>
      <c r="P1340" s="2">
        <v>-15.724456961029773</v>
      </c>
      <c r="Q1340" s="2">
        <v>2.0847703387287311</v>
      </c>
    </row>
    <row r="1341" spans="1:17" ht="15">
      <c r="A1341" s="2" t="s">
        <v>81</v>
      </c>
      <c r="B1341" s="2">
        <v>997.05424989806488</v>
      </c>
      <c r="C1341" s="2">
        <v>863.12768028583378</v>
      </c>
      <c r="D1341" s="2">
        <v>599.52120603993535</v>
      </c>
      <c r="E1341" s="2">
        <v>317.44425782933831</v>
      </c>
      <c r="F1341" s="2">
        <v>26.680672785732895</v>
      </c>
      <c r="G1341" s="2">
        <v>0.80292507824953652</v>
      </c>
      <c r="H1341" s="2">
        <v>12015</v>
      </c>
      <c r="I1341" s="2">
        <v>1200</v>
      </c>
      <c r="J1341" s="2">
        <f>(IF(A1341='Hybrid Calculator'!$B$6,0,1))^2+((B1341-'Hybrid Calculator'!$B$7)/1500)^2+((C1341-'Hybrid Calculator'!$B$8)/1300)^2+((D1341-'Hybrid Calculator'!$B$9)/800)^2+((E1341-'Hybrid Calculator'!$B$10)/350)^2+((F1341-'Hybrid Calculator'!$B$11)/30)^2+(G1341-'Hybrid Calculator'!$B$12)^2+((H1341-'Hybrid Calculator'!$E$14)/IF(A1341="Lightning",100,30000))^2+((I1341-'Hybrid Calculator'!$E$17)/IF(A1341="Lightning",100,30000))^2</f>
        <v>1.5611033320947016</v>
      </c>
      <c r="K1341" s="2">
        <f t="shared" si="80"/>
        <v>1317</v>
      </c>
      <c r="L1341" s="2">
        <f t="shared" si="81"/>
        <v>0</v>
      </c>
      <c r="M1341" s="2">
        <f t="shared" si="82"/>
        <v>0</v>
      </c>
      <c r="N1341" s="2">
        <v>1.0004984140487352</v>
      </c>
      <c r="O1341" s="2">
        <f t="shared" si="83"/>
        <v>0</v>
      </c>
      <c r="P1341" s="2">
        <v>-35.839811563566855</v>
      </c>
      <c r="Q1341" s="2">
        <v>-11.538430625955925</v>
      </c>
    </row>
    <row r="1342" spans="1:17" ht="15">
      <c r="A1342" s="2" t="s">
        <v>81</v>
      </c>
      <c r="B1342" s="2">
        <v>1001.6564102144912</v>
      </c>
      <c r="C1342" s="2">
        <v>1127.0307114464231</v>
      </c>
      <c r="D1342" s="2">
        <v>564.4089475274086</v>
      </c>
      <c r="E1342" s="2">
        <v>297.38140558591112</v>
      </c>
      <c r="F1342" s="2">
        <v>16.197189609520137</v>
      </c>
      <c r="G1342" s="2">
        <v>0.82254453334724531</v>
      </c>
      <c r="H1342" s="2">
        <v>10755</v>
      </c>
      <c r="I1342" s="2">
        <v>1195</v>
      </c>
      <c r="J1342" s="2">
        <f>(IF(A1342='Hybrid Calculator'!$B$6,0,1))^2+((B1342-'Hybrid Calculator'!$B$7)/1500)^2+((C1342-'Hybrid Calculator'!$B$8)/1300)^2+((D1342-'Hybrid Calculator'!$B$9)/800)^2+((E1342-'Hybrid Calculator'!$B$10)/350)^2+((F1342-'Hybrid Calculator'!$B$11)/30)^2+(G1342-'Hybrid Calculator'!$B$12)^2+((H1342-'Hybrid Calculator'!$E$14)/IF(A1342="Lightning",100,30000))^2+((I1342-'Hybrid Calculator'!$E$17)/IF(A1342="Lightning",100,30000))^2</f>
        <v>1.4436133504056212</v>
      </c>
      <c r="K1342" s="2">
        <f t="shared" si="80"/>
        <v>1094</v>
      </c>
      <c r="L1342" s="2">
        <f t="shared" si="81"/>
        <v>0</v>
      </c>
      <c r="M1342" s="2">
        <f t="shared" si="82"/>
        <v>0</v>
      </c>
      <c r="N1342" s="2">
        <v>1.7787211983198858</v>
      </c>
      <c r="O1342" s="2">
        <f t="shared" si="83"/>
        <v>0</v>
      </c>
      <c r="P1342" s="2">
        <v>36.178933022600631</v>
      </c>
      <c r="Q1342" s="2">
        <v>-7.9956002188650928</v>
      </c>
    </row>
    <row r="1343" spans="1:17" ht="15">
      <c r="A1343" s="2" t="s">
        <v>81</v>
      </c>
      <c r="B1343" s="2">
        <v>1019.7207107092254</v>
      </c>
      <c r="C1343" s="2">
        <v>822.74836702272296</v>
      </c>
      <c r="D1343" s="2">
        <v>737.11549555882812</v>
      </c>
      <c r="E1343" s="2">
        <v>276.67015469167382</v>
      </c>
      <c r="F1343" s="2">
        <v>25.446453338023275</v>
      </c>
      <c r="G1343" s="2">
        <v>0.85025080916471785</v>
      </c>
      <c r="H1343" s="2">
        <v>13585</v>
      </c>
      <c r="I1343" s="2">
        <v>1200</v>
      </c>
      <c r="J1343" s="2">
        <f>(IF(A1343='Hybrid Calculator'!$B$6,0,1))^2+((B1343-'Hybrid Calculator'!$B$7)/1500)^2+((C1343-'Hybrid Calculator'!$B$8)/1300)^2+((D1343-'Hybrid Calculator'!$B$9)/800)^2+((E1343-'Hybrid Calculator'!$B$10)/350)^2+((F1343-'Hybrid Calculator'!$B$11)/30)^2+(G1343-'Hybrid Calculator'!$B$12)^2+((H1343-'Hybrid Calculator'!$E$14)/IF(A1343="Lightning",100,30000))^2+((I1343-'Hybrid Calculator'!$E$17)/IF(A1343="Lightning",100,30000))^2</f>
        <v>1.5518870924709429</v>
      </c>
      <c r="K1343" s="2">
        <f t="shared" si="80"/>
        <v>1307</v>
      </c>
      <c r="L1343" s="2">
        <f t="shared" si="81"/>
        <v>0</v>
      </c>
      <c r="M1343" s="2">
        <f t="shared" si="82"/>
        <v>0</v>
      </c>
      <c r="N1343" s="2">
        <v>2.4422448865867921</v>
      </c>
      <c r="O1343" s="2">
        <f t="shared" si="83"/>
        <v>0</v>
      </c>
      <c r="P1343" s="2">
        <v>26.039414435193066</v>
      </c>
      <c r="Q1343" s="2">
        <v>-5.4054955972302423</v>
      </c>
    </row>
    <row r="1344" spans="1:17" ht="15">
      <c r="A1344" s="2" t="s">
        <v>81</v>
      </c>
      <c r="B1344" s="2">
        <v>974.23511184751987</v>
      </c>
      <c r="C1344" s="2">
        <v>751.48548543220386</v>
      </c>
      <c r="D1344" s="2">
        <v>522.97429013997316</v>
      </c>
      <c r="E1344" s="2">
        <v>157.95151747995988</v>
      </c>
      <c r="F1344" s="2">
        <v>13.161228461191058</v>
      </c>
      <c r="G1344" s="2">
        <v>0.85681137097300963</v>
      </c>
      <c r="H1344" s="2">
        <v>17420</v>
      </c>
      <c r="I1344" s="2">
        <v>1200</v>
      </c>
      <c r="J1344" s="2">
        <f>(IF(A1344='Hybrid Calculator'!$B$6,0,1))^2+((B1344-'Hybrid Calculator'!$B$7)/1500)^2+((C1344-'Hybrid Calculator'!$B$8)/1300)^2+((D1344-'Hybrid Calculator'!$B$9)/800)^2+((E1344-'Hybrid Calculator'!$B$10)/350)^2+((F1344-'Hybrid Calculator'!$B$11)/30)^2+(G1344-'Hybrid Calculator'!$B$12)^2+((H1344-'Hybrid Calculator'!$E$14)/IF(A1344="Lightning",100,30000))^2+((I1344-'Hybrid Calculator'!$E$17)/IF(A1344="Lightning",100,30000))^2</f>
        <v>1.4671892638174373</v>
      </c>
      <c r="K1344" s="2">
        <f t="shared" si="80"/>
        <v>1148</v>
      </c>
      <c r="L1344" s="2">
        <f t="shared" si="81"/>
        <v>0</v>
      </c>
      <c r="M1344" s="2">
        <f t="shared" si="82"/>
        <v>0</v>
      </c>
      <c r="N1344" s="2">
        <v>-2.3491848184690411</v>
      </c>
      <c r="O1344" s="2">
        <f t="shared" si="83"/>
        <v>0</v>
      </c>
      <c r="P1344" s="2">
        <v>-47.886038892904708</v>
      </c>
      <c r="Q1344" s="2">
        <v>11.785586005270602</v>
      </c>
    </row>
    <row r="1345" spans="1:17" ht="15">
      <c r="A1345" s="2" t="s">
        <v>81</v>
      </c>
      <c r="B1345" s="2">
        <v>1059.8100552917458</v>
      </c>
      <c r="C1345" s="2">
        <v>676.67698620352894</v>
      </c>
      <c r="D1345" s="2">
        <v>450.86437622085214</v>
      </c>
      <c r="E1345" s="2">
        <v>186.41012690030038</v>
      </c>
      <c r="F1345" s="2">
        <v>19.043622982222587</v>
      </c>
      <c r="G1345" s="2">
        <v>0.80825720735359941</v>
      </c>
      <c r="H1345" s="2">
        <v>16275</v>
      </c>
      <c r="I1345" s="2">
        <v>1200</v>
      </c>
      <c r="J1345" s="2">
        <f>(IF(A1345='Hybrid Calculator'!$B$6,0,1))^2+((B1345-'Hybrid Calculator'!$B$7)/1500)^2+((C1345-'Hybrid Calculator'!$B$8)/1300)^2+((D1345-'Hybrid Calculator'!$B$9)/800)^2+((E1345-'Hybrid Calculator'!$B$10)/350)^2+((F1345-'Hybrid Calculator'!$B$11)/30)^2+(G1345-'Hybrid Calculator'!$B$12)^2+((H1345-'Hybrid Calculator'!$E$14)/IF(A1345="Lightning",100,30000))^2+((I1345-'Hybrid Calculator'!$E$17)/IF(A1345="Lightning",100,30000))^2</f>
        <v>1.3861437699696149</v>
      </c>
      <c r="K1345" s="2">
        <f t="shared" si="80"/>
        <v>938</v>
      </c>
      <c r="L1345" s="2">
        <f t="shared" si="81"/>
        <v>0</v>
      </c>
      <c r="M1345" s="2">
        <f t="shared" si="82"/>
        <v>0</v>
      </c>
      <c r="N1345" s="2">
        <v>-4.1264586024166476</v>
      </c>
      <c r="O1345" s="2">
        <f t="shared" si="83"/>
        <v>0</v>
      </c>
      <c r="P1345" s="2">
        <v>-13.583028231530534</v>
      </c>
      <c r="Q1345" s="2">
        <v>11.542003706195146</v>
      </c>
    </row>
    <row r="1346" spans="1:17" ht="15">
      <c r="A1346" s="2" t="s">
        <v>81</v>
      </c>
      <c r="B1346" s="2">
        <v>988.82887614890933</v>
      </c>
      <c r="C1346" s="2">
        <v>1122.0884899958037</v>
      </c>
      <c r="D1346" s="2">
        <v>532.92581383138895</v>
      </c>
      <c r="E1346" s="2">
        <v>257.93430114397779</v>
      </c>
      <c r="F1346" s="2">
        <v>21.343323210254312</v>
      </c>
      <c r="G1346" s="2">
        <v>0.79719104896532378</v>
      </c>
      <c r="H1346" s="2">
        <v>11180</v>
      </c>
      <c r="I1346" s="2">
        <v>1195</v>
      </c>
      <c r="J1346" s="2">
        <f>(IF(A1346='Hybrid Calculator'!$B$6,0,1))^2+((B1346-'Hybrid Calculator'!$B$7)/1500)^2+((C1346-'Hybrid Calculator'!$B$8)/1300)^2+((D1346-'Hybrid Calculator'!$B$9)/800)^2+((E1346-'Hybrid Calculator'!$B$10)/350)^2+((F1346-'Hybrid Calculator'!$B$11)/30)^2+(G1346-'Hybrid Calculator'!$B$12)^2+((H1346-'Hybrid Calculator'!$E$14)/IF(A1346="Lightning",100,30000))^2+((I1346-'Hybrid Calculator'!$E$17)/IF(A1346="Lightning",100,30000))^2</f>
        <v>1.3738188972534471</v>
      </c>
      <c r="K1346" s="2">
        <f t="shared" ref="K1346:K1409" si="84">RANK(J1346,$J$2:$J$1401,1)</f>
        <v>903</v>
      </c>
      <c r="L1346" s="2">
        <f t="shared" ref="L1346:L1409" si="85">IF(K1346&lt;=7,1,0)</f>
        <v>0</v>
      </c>
      <c r="M1346" s="2">
        <f t="shared" ref="M1346:M1409" si="86">IF(L1346=1,1/(J1346+0.000001),0)</f>
        <v>0</v>
      </c>
      <c r="N1346" s="2">
        <v>2.0430126416851522</v>
      </c>
      <c r="O1346" s="2">
        <f t="shared" ref="O1346:O1401" si="87">M1346</f>
        <v>0</v>
      </c>
      <c r="P1346" s="2">
        <v>-17.480517591430271</v>
      </c>
      <c r="Q1346" s="2">
        <v>-7.847728091519798</v>
      </c>
    </row>
    <row r="1347" spans="1:17" ht="15">
      <c r="A1347" s="2" t="s">
        <v>81</v>
      </c>
      <c r="B1347" s="2">
        <v>1009.8471602075733</v>
      </c>
      <c r="C1347" s="2">
        <v>728.9370632963255</v>
      </c>
      <c r="D1347" s="2">
        <v>453.83230680599809</v>
      </c>
      <c r="E1347" s="2">
        <v>308.07090193964541</v>
      </c>
      <c r="F1347" s="2">
        <v>10.381991170812398</v>
      </c>
      <c r="G1347" s="2">
        <v>0.8060589288035408</v>
      </c>
      <c r="H1347" s="2">
        <v>14345</v>
      </c>
      <c r="I1347" s="2">
        <v>1200</v>
      </c>
      <c r="J1347" s="2">
        <f>(IF(A1347='Hybrid Calculator'!$B$6,0,1))^2+((B1347-'Hybrid Calculator'!$B$7)/1500)^2+((C1347-'Hybrid Calculator'!$B$8)/1300)^2+((D1347-'Hybrid Calculator'!$B$9)/800)^2+((E1347-'Hybrid Calculator'!$B$10)/350)^2+((F1347-'Hybrid Calculator'!$B$11)/30)^2+(G1347-'Hybrid Calculator'!$B$12)^2+((H1347-'Hybrid Calculator'!$E$14)/IF(A1347="Lightning",100,30000))^2+((I1347-'Hybrid Calculator'!$E$17)/IF(A1347="Lightning",100,30000))^2</f>
        <v>1.5945794084815992</v>
      </c>
      <c r="K1347" s="2">
        <f t="shared" si="84"/>
        <v>1346</v>
      </c>
      <c r="L1347" s="2">
        <f t="shared" si="85"/>
        <v>0</v>
      </c>
      <c r="M1347" s="2">
        <f t="shared" si="86"/>
        <v>0</v>
      </c>
      <c r="N1347" s="2">
        <v>3.5253741458916465E-2</v>
      </c>
      <c r="O1347" s="2">
        <f t="shared" si="87"/>
        <v>0</v>
      </c>
      <c r="P1347" s="2">
        <v>-3.8299157340902639</v>
      </c>
      <c r="Q1347" s="2">
        <v>13.177390196556075</v>
      </c>
    </row>
    <row r="1348" spans="1:17" ht="15">
      <c r="A1348" s="2" t="s">
        <v>81</v>
      </c>
      <c r="B1348" s="2">
        <v>1002.341516665183</v>
      </c>
      <c r="C1348" s="2">
        <v>809.89500858122483</v>
      </c>
      <c r="D1348" s="2">
        <v>745.44790498912334</v>
      </c>
      <c r="E1348" s="2">
        <v>216.54950604541227</v>
      </c>
      <c r="F1348" s="2">
        <v>19.049916510470212</v>
      </c>
      <c r="G1348" s="2">
        <v>0.82014163673622542</v>
      </c>
      <c r="H1348" s="2">
        <v>12070</v>
      </c>
      <c r="I1348" s="2">
        <v>1200</v>
      </c>
      <c r="J1348" s="2">
        <f>(IF(A1348='Hybrid Calculator'!$B$6,0,1))^2+((B1348-'Hybrid Calculator'!$B$7)/1500)^2+((C1348-'Hybrid Calculator'!$B$8)/1300)^2+((D1348-'Hybrid Calculator'!$B$9)/800)^2+((E1348-'Hybrid Calculator'!$B$10)/350)^2+((F1348-'Hybrid Calculator'!$B$11)/30)^2+(G1348-'Hybrid Calculator'!$B$12)^2+((H1348-'Hybrid Calculator'!$E$14)/IF(A1348="Lightning",100,30000))^2+((I1348-'Hybrid Calculator'!$E$17)/IF(A1348="Lightning",100,30000))^2</f>
        <v>1.373037271008358</v>
      </c>
      <c r="K1348" s="2">
        <f t="shared" si="84"/>
        <v>898</v>
      </c>
      <c r="L1348" s="2">
        <f t="shared" si="85"/>
        <v>0</v>
      </c>
      <c r="M1348" s="2">
        <f t="shared" si="86"/>
        <v>0</v>
      </c>
      <c r="N1348" s="2">
        <v>-1.7569971316125077</v>
      </c>
      <c r="O1348" s="2">
        <f t="shared" si="87"/>
        <v>0</v>
      </c>
      <c r="P1348" s="2">
        <v>-2.0294361609976477</v>
      </c>
      <c r="Q1348" s="2">
        <v>-5.2393538482956501</v>
      </c>
    </row>
    <row r="1349" spans="1:17" ht="15">
      <c r="A1349" s="2" t="s">
        <v>81</v>
      </c>
      <c r="B1349" s="2">
        <v>1085.2042301907204</v>
      </c>
      <c r="C1349" s="2">
        <v>628.89642086811364</v>
      </c>
      <c r="D1349" s="2">
        <v>515.16287950798869</v>
      </c>
      <c r="E1349" s="2">
        <v>227.77514000888914</v>
      </c>
      <c r="F1349" s="2">
        <v>27.706745467614383</v>
      </c>
      <c r="G1349" s="2">
        <v>0.79538674255833031</v>
      </c>
      <c r="H1349" s="2">
        <v>15590</v>
      </c>
      <c r="I1349" s="2">
        <v>1200</v>
      </c>
      <c r="J1349" s="2">
        <f>(IF(A1349='Hybrid Calculator'!$B$6,0,1))^2+((B1349-'Hybrid Calculator'!$B$7)/1500)^2+((C1349-'Hybrid Calculator'!$B$8)/1300)^2+((D1349-'Hybrid Calculator'!$B$9)/800)^2+((E1349-'Hybrid Calculator'!$B$10)/350)^2+((F1349-'Hybrid Calculator'!$B$11)/30)^2+(G1349-'Hybrid Calculator'!$B$12)^2+((H1349-'Hybrid Calculator'!$E$14)/IF(A1349="Lightning",100,30000))^2+((I1349-'Hybrid Calculator'!$E$17)/IF(A1349="Lightning",100,30000))^2</f>
        <v>1.4946280177356408</v>
      </c>
      <c r="K1349" s="2">
        <f t="shared" si="84"/>
        <v>1197</v>
      </c>
      <c r="L1349" s="2">
        <f t="shared" si="85"/>
        <v>0</v>
      </c>
      <c r="M1349" s="2">
        <f t="shared" si="86"/>
        <v>0</v>
      </c>
      <c r="N1349" s="2">
        <v>-4.4742576097946483</v>
      </c>
      <c r="O1349" s="2">
        <f t="shared" si="87"/>
        <v>0</v>
      </c>
      <c r="P1349" s="2">
        <v>16.327337889167211</v>
      </c>
      <c r="Q1349" s="2">
        <v>-8.3366222034892417</v>
      </c>
    </row>
    <row r="1350" spans="1:17" ht="15">
      <c r="A1350" s="2" t="s">
        <v>81</v>
      </c>
      <c r="B1350" s="2">
        <v>1039.9366016034037</v>
      </c>
      <c r="C1350" s="2">
        <v>1064.5077729481272</v>
      </c>
      <c r="D1350" s="2">
        <v>475.66810082644224</v>
      </c>
      <c r="E1350" s="2">
        <v>198.72207681881264</v>
      </c>
      <c r="F1350" s="2">
        <v>23.3061768040061</v>
      </c>
      <c r="G1350" s="2">
        <v>0.79362149344990029</v>
      </c>
      <c r="H1350" s="2">
        <v>12300</v>
      </c>
      <c r="I1350" s="2">
        <v>1200</v>
      </c>
      <c r="J1350" s="2">
        <f>(IF(A1350='Hybrid Calculator'!$B$6,0,1))^2+((B1350-'Hybrid Calculator'!$B$7)/1500)^2+((C1350-'Hybrid Calculator'!$B$8)/1300)^2+((D1350-'Hybrid Calculator'!$B$9)/800)^2+((E1350-'Hybrid Calculator'!$B$10)/350)^2+((F1350-'Hybrid Calculator'!$B$11)/30)^2+(G1350-'Hybrid Calculator'!$B$12)^2+((H1350-'Hybrid Calculator'!$E$14)/IF(A1350="Lightning",100,30000))^2+((I1350-'Hybrid Calculator'!$E$17)/IF(A1350="Lightning",100,30000))^2</f>
        <v>1.3080616984259408</v>
      </c>
      <c r="K1350" s="2">
        <f t="shared" si="84"/>
        <v>744</v>
      </c>
      <c r="L1350" s="2">
        <f t="shared" si="85"/>
        <v>0</v>
      </c>
      <c r="M1350" s="2">
        <f t="shared" si="86"/>
        <v>0</v>
      </c>
      <c r="N1350" s="2">
        <v>-0.44941124860150694</v>
      </c>
      <c r="O1350" s="2">
        <f t="shared" si="87"/>
        <v>0</v>
      </c>
      <c r="P1350" s="2">
        <v>42.460115717982262</v>
      </c>
      <c r="Q1350" s="2">
        <v>-7.8331721945753543</v>
      </c>
    </row>
    <row r="1351" spans="1:17" ht="15">
      <c r="A1351" s="2" t="s">
        <v>81</v>
      </c>
      <c r="B1351" s="2">
        <v>1067.279860295821</v>
      </c>
      <c r="C1351" s="2">
        <v>794.43275516387075</v>
      </c>
      <c r="D1351" s="2">
        <v>402.45127649977803</v>
      </c>
      <c r="E1351" s="2">
        <v>177.15186385437846</v>
      </c>
      <c r="F1351" s="2">
        <v>9.3375298217870295</v>
      </c>
      <c r="G1351" s="2">
        <v>0.79324579009320595</v>
      </c>
      <c r="H1351" s="2">
        <v>15565</v>
      </c>
      <c r="I1351" s="2">
        <v>1200</v>
      </c>
      <c r="J1351" s="2">
        <f>(IF(A1351='Hybrid Calculator'!$B$6,0,1))^2+((B1351-'Hybrid Calculator'!$B$7)/1500)^2+((C1351-'Hybrid Calculator'!$B$8)/1300)^2+((D1351-'Hybrid Calculator'!$B$9)/800)^2+((E1351-'Hybrid Calculator'!$B$10)/350)^2+((F1351-'Hybrid Calculator'!$B$11)/30)^2+(G1351-'Hybrid Calculator'!$B$12)^2+((H1351-'Hybrid Calculator'!$E$14)/IF(A1351="Lightning",100,30000))^2+((I1351-'Hybrid Calculator'!$E$17)/IF(A1351="Lightning",100,30000))^2</f>
        <v>1.4425762345340791</v>
      </c>
      <c r="K1351" s="2">
        <f t="shared" si="84"/>
        <v>1091</v>
      </c>
      <c r="L1351" s="2">
        <f t="shared" si="85"/>
        <v>0</v>
      </c>
      <c r="M1351" s="2">
        <f t="shared" si="86"/>
        <v>0</v>
      </c>
      <c r="N1351" s="2">
        <v>1.195195605348033</v>
      </c>
      <c r="O1351" s="2">
        <f t="shared" si="87"/>
        <v>0</v>
      </c>
      <c r="P1351" s="2">
        <v>18.902325137918979</v>
      </c>
      <c r="Q1351" s="2">
        <v>13.174482550467474</v>
      </c>
    </row>
    <row r="1352" spans="1:17" ht="15">
      <c r="A1352" s="2" t="s">
        <v>81</v>
      </c>
      <c r="B1352" s="2">
        <v>1082.5098335044459</v>
      </c>
      <c r="C1352" s="2">
        <v>1102.7714625117369</v>
      </c>
      <c r="D1352" s="2">
        <v>455.8963268995285</v>
      </c>
      <c r="E1352" s="2">
        <v>316.22476676246151</v>
      </c>
      <c r="F1352" s="2">
        <v>15.824280592612922</v>
      </c>
      <c r="G1352" s="2">
        <v>0.79587654590373857</v>
      </c>
      <c r="H1352" s="2">
        <v>11405</v>
      </c>
      <c r="I1352" s="2">
        <v>1195</v>
      </c>
      <c r="J1352" s="2">
        <f>(IF(A1352='Hybrid Calculator'!$B$6,0,1))^2+((B1352-'Hybrid Calculator'!$B$7)/1500)^2+((C1352-'Hybrid Calculator'!$B$8)/1300)^2+((D1352-'Hybrid Calculator'!$B$9)/800)^2+((E1352-'Hybrid Calculator'!$B$10)/350)^2+((F1352-'Hybrid Calculator'!$B$11)/30)^2+(G1352-'Hybrid Calculator'!$B$12)^2+((H1352-'Hybrid Calculator'!$E$14)/IF(A1352="Lightning",100,30000))^2+((I1352-'Hybrid Calculator'!$E$17)/IF(A1352="Lightning",100,30000))^2</f>
        <v>1.4718558195760727</v>
      </c>
      <c r="K1352" s="2">
        <f t="shared" si="84"/>
        <v>1162</v>
      </c>
      <c r="L1352" s="2">
        <f t="shared" si="85"/>
        <v>0</v>
      </c>
      <c r="M1352" s="2">
        <f t="shared" si="86"/>
        <v>0</v>
      </c>
      <c r="N1352" s="2">
        <v>0.3528523540036872</v>
      </c>
      <c r="O1352" s="2">
        <f t="shared" si="87"/>
        <v>0</v>
      </c>
      <c r="P1352" s="2">
        <v>19.406457683739063</v>
      </c>
      <c r="Q1352" s="2">
        <v>2.4123010725202221</v>
      </c>
    </row>
    <row r="1353" spans="1:17" ht="15">
      <c r="A1353" s="2" t="s">
        <v>81</v>
      </c>
      <c r="B1353" s="2">
        <v>1028.6661644349806</v>
      </c>
      <c r="C1353" s="2">
        <v>958.65410538390279</v>
      </c>
      <c r="D1353" s="2">
        <v>521.20512193068862</v>
      </c>
      <c r="E1353" s="2">
        <v>142.50554288271815</v>
      </c>
      <c r="F1353" s="2">
        <v>16.604978767689317</v>
      </c>
      <c r="G1353" s="2">
        <v>0.85197158374823634</v>
      </c>
      <c r="H1353" s="2">
        <v>13180</v>
      </c>
      <c r="I1353" s="2">
        <v>1200</v>
      </c>
      <c r="J1353" s="2">
        <f>(IF(A1353='Hybrid Calculator'!$B$6,0,1))^2+((B1353-'Hybrid Calculator'!$B$7)/1500)^2+((C1353-'Hybrid Calculator'!$B$8)/1300)^2+((D1353-'Hybrid Calculator'!$B$9)/800)^2+((E1353-'Hybrid Calculator'!$B$10)/350)^2+((F1353-'Hybrid Calculator'!$B$11)/30)^2+(G1353-'Hybrid Calculator'!$B$12)^2+((H1353-'Hybrid Calculator'!$E$14)/IF(A1353="Lightning",100,30000))^2+((I1353-'Hybrid Calculator'!$E$17)/IF(A1353="Lightning",100,30000))^2</f>
        <v>1.2760587224202771</v>
      </c>
      <c r="K1353" s="2">
        <f t="shared" si="84"/>
        <v>705</v>
      </c>
      <c r="L1353" s="2">
        <f t="shared" si="85"/>
        <v>0</v>
      </c>
      <c r="M1353" s="2">
        <f t="shared" si="86"/>
        <v>0</v>
      </c>
      <c r="N1353" s="2">
        <v>-1.7336319468466002</v>
      </c>
      <c r="O1353" s="2">
        <f t="shared" si="87"/>
        <v>0</v>
      </c>
      <c r="P1353" s="2">
        <v>36.871951502167576</v>
      </c>
      <c r="Q1353" s="2">
        <v>3.5316967176474918</v>
      </c>
    </row>
    <row r="1354" spans="1:17" ht="15">
      <c r="A1354" s="2" t="s">
        <v>81</v>
      </c>
      <c r="B1354" s="2">
        <v>1008.0254988744855</v>
      </c>
      <c r="C1354" s="2">
        <v>942.00507852947339</v>
      </c>
      <c r="D1354" s="2">
        <v>538.78981787711382</v>
      </c>
      <c r="E1354" s="2">
        <v>246.26818251097575</v>
      </c>
      <c r="F1354" s="2">
        <v>17.284974610432982</v>
      </c>
      <c r="G1354" s="2">
        <v>0.82677203842671587</v>
      </c>
      <c r="H1354" s="2">
        <v>12385</v>
      </c>
      <c r="I1354" s="2">
        <v>1200</v>
      </c>
      <c r="J1354" s="2">
        <f>(IF(A1354='Hybrid Calculator'!$B$6,0,1))^2+((B1354-'Hybrid Calculator'!$B$7)/1500)^2+((C1354-'Hybrid Calculator'!$B$8)/1300)^2+((D1354-'Hybrid Calculator'!$B$9)/800)^2+((E1354-'Hybrid Calculator'!$B$10)/350)^2+((F1354-'Hybrid Calculator'!$B$11)/30)^2+(G1354-'Hybrid Calculator'!$B$12)^2+((H1354-'Hybrid Calculator'!$E$14)/IF(A1354="Lightning",100,30000))^2+((I1354-'Hybrid Calculator'!$E$17)/IF(A1354="Lightning",100,30000))^2</f>
        <v>1.3325662110819498</v>
      </c>
      <c r="K1354" s="2">
        <f t="shared" si="84"/>
        <v>781</v>
      </c>
      <c r="L1354" s="2">
        <f t="shared" si="85"/>
        <v>0</v>
      </c>
      <c r="M1354" s="2">
        <f t="shared" si="86"/>
        <v>0</v>
      </c>
      <c r="N1354" s="2">
        <v>3.5364773762018444</v>
      </c>
      <c r="O1354" s="2">
        <f t="shared" si="87"/>
        <v>0</v>
      </c>
      <c r="P1354" s="2">
        <v>0.29493048772246766</v>
      </c>
      <c r="Q1354" s="2">
        <v>5.0874524520730802</v>
      </c>
    </row>
    <row r="1355" spans="1:17" ht="15">
      <c r="A1355" s="2" t="s">
        <v>81</v>
      </c>
      <c r="B1355" s="2">
        <v>1083.9688420877792</v>
      </c>
      <c r="C1355" s="2">
        <v>696.57421188894659</v>
      </c>
      <c r="D1355" s="2">
        <v>438.30069610849023</v>
      </c>
      <c r="E1355" s="2">
        <v>86.635733647271991</v>
      </c>
      <c r="F1355" s="2">
        <v>21.513827238697559</v>
      </c>
      <c r="G1355" s="2">
        <v>0.82333905417937792</v>
      </c>
      <c r="H1355" s="2">
        <v>17510</v>
      </c>
      <c r="I1355" s="2">
        <v>1200</v>
      </c>
      <c r="J1355" s="2">
        <f>(IF(A1355='Hybrid Calculator'!$B$6,0,1))^2+((B1355-'Hybrid Calculator'!$B$7)/1500)^2+((C1355-'Hybrid Calculator'!$B$8)/1300)^2+((D1355-'Hybrid Calculator'!$B$9)/800)^2+((E1355-'Hybrid Calculator'!$B$10)/350)^2+((F1355-'Hybrid Calculator'!$B$11)/30)^2+(G1355-'Hybrid Calculator'!$B$12)^2+((H1355-'Hybrid Calculator'!$E$14)/IF(A1355="Lightning",100,30000))^2+((I1355-'Hybrid Calculator'!$E$17)/IF(A1355="Lightning",100,30000))^2</f>
        <v>1.4547040307544969</v>
      </c>
      <c r="K1355" s="2">
        <f t="shared" si="84"/>
        <v>1116</v>
      </c>
      <c r="L1355" s="2">
        <f t="shared" si="85"/>
        <v>0</v>
      </c>
      <c r="M1355" s="2">
        <f t="shared" si="86"/>
        <v>0</v>
      </c>
      <c r="N1355" s="2">
        <v>-4.1755279824738238</v>
      </c>
      <c r="O1355" s="2">
        <f t="shared" si="87"/>
        <v>0</v>
      </c>
      <c r="P1355" s="2">
        <v>-0.46873237357431208</v>
      </c>
      <c r="Q1355" s="2">
        <v>3.5916375854333182</v>
      </c>
    </row>
    <row r="1356" spans="1:17" ht="15">
      <c r="A1356" s="2" t="s">
        <v>81</v>
      </c>
      <c r="B1356" s="2">
        <v>964.71774305682629</v>
      </c>
      <c r="C1356" s="2">
        <v>975.57805875549093</v>
      </c>
      <c r="D1356" s="2">
        <v>517.19640977680683</v>
      </c>
      <c r="E1356" s="2">
        <v>266.50683033047244</v>
      </c>
      <c r="F1356" s="2">
        <v>15.988008410669863</v>
      </c>
      <c r="G1356" s="2">
        <v>0.84375129981664942</v>
      </c>
      <c r="H1356" s="2">
        <v>14180</v>
      </c>
      <c r="I1356" s="2">
        <v>1200</v>
      </c>
      <c r="J1356" s="2">
        <f>(IF(A1356='Hybrid Calculator'!$B$6,0,1))^2+((B1356-'Hybrid Calculator'!$B$7)/1500)^2+((C1356-'Hybrid Calculator'!$B$8)/1300)^2+((D1356-'Hybrid Calculator'!$B$9)/800)^2+((E1356-'Hybrid Calculator'!$B$10)/350)^2+((F1356-'Hybrid Calculator'!$B$11)/30)^2+(G1356-'Hybrid Calculator'!$B$12)^2+((H1356-'Hybrid Calculator'!$E$14)/IF(A1356="Lightning",100,30000))^2+((I1356-'Hybrid Calculator'!$E$17)/IF(A1356="Lightning",100,30000))^2</f>
        <v>1.445710465810762</v>
      </c>
      <c r="K1356" s="2">
        <f t="shared" si="84"/>
        <v>1099</v>
      </c>
      <c r="L1356" s="2">
        <f t="shared" si="85"/>
        <v>0</v>
      </c>
      <c r="M1356" s="2">
        <f t="shared" si="86"/>
        <v>0</v>
      </c>
      <c r="N1356" s="2">
        <v>1.868800214482377</v>
      </c>
      <c r="O1356" s="2">
        <f t="shared" si="87"/>
        <v>0</v>
      </c>
      <c r="P1356" s="2">
        <v>30.67157523178048</v>
      </c>
      <c r="Q1356" s="2">
        <v>5.5986999585230706</v>
      </c>
    </row>
    <row r="1357" spans="1:17" ht="15">
      <c r="A1357" s="2" t="s">
        <v>81</v>
      </c>
      <c r="B1357" s="2">
        <v>951.40605143969879</v>
      </c>
      <c r="C1357" s="2">
        <v>1220.4590623732656</v>
      </c>
      <c r="D1357" s="2">
        <v>580.30217988416553</v>
      </c>
      <c r="E1357" s="2">
        <v>223.99929984938353</v>
      </c>
      <c r="F1357" s="2">
        <v>29.436693373601884</v>
      </c>
      <c r="G1357" s="2">
        <v>0.81300833206623802</v>
      </c>
      <c r="H1357" s="2">
        <v>12320</v>
      </c>
      <c r="I1357" s="2">
        <v>1200</v>
      </c>
      <c r="J1357" s="2">
        <f>(IF(A1357='Hybrid Calculator'!$B$6,0,1))^2+((B1357-'Hybrid Calculator'!$B$7)/1500)^2+((C1357-'Hybrid Calculator'!$B$8)/1300)^2+((D1357-'Hybrid Calculator'!$B$9)/800)^2+((E1357-'Hybrid Calculator'!$B$10)/350)^2+((F1357-'Hybrid Calculator'!$B$11)/30)^2+(G1357-'Hybrid Calculator'!$B$12)^2+((H1357-'Hybrid Calculator'!$E$14)/IF(A1357="Lightning",100,30000))^2+((I1357-'Hybrid Calculator'!$E$17)/IF(A1357="Lightning",100,30000))^2</f>
        <v>1.5374342376233752</v>
      </c>
      <c r="K1357" s="2">
        <f t="shared" si="84"/>
        <v>1278</v>
      </c>
      <c r="L1357" s="2">
        <f t="shared" si="85"/>
        <v>0</v>
      </c>
      <c r="M1357" s="2">
        <f t="shared" si="86"/>
        <v>0</v>
      </c>
      <c r="N1357" s="2">
        <v>1.9120825114623301</v>
      </c>
      <c r="O1357" s="2">
        <f t="shared" si="87"/>
        <v>0</v>
      </c>
      <c r="P1357" s="2">
        <v>-7.3569743075872793</v>
      </c>
      <c r="Q1357" s="2">
        <v>-14.760732569922766</v>
      </c>
    </row>
    <row r="1358" spans="1:17" ht="15">
      <c r="A1358" s="2" t="s">
        <v>81</v>
      </c>
      <c r="B1358" s="2">
        <v>962.09503724239767</v>
      </c>
      <c r="C1358" s="2">
        <v>1151.529757573735</v>
      </c>
      <c r="D1358" s="2">
        <v>702.71975602954626</v>
      </c>
      <c r="E1358" s="2">
        <v>171.45766851725057</v>
      </c>
      <c r="F1358" s="2">
        <v>19.854098934680223</v>
      </c>
      <c r="G1358" s="2">
        <v>0.79389054909581325</v>
      </c>
      <c r="H1358" s="2">
        <v>10555</v>
      </c>
      <c r="I1358" s="2">
        <v>1195</v>
      </c>
      <c r="J1358" s="2">
        <f>(IF(A1358='Hybrid Calculator'!$B$6,0,1))^2+((B1358-'Hybrid Calculator'!$B$7)/1500)^2+((C1358-'Hybrid Calculator'!$B$8)/1300)^2+((D1358-'Hybrid Calculator'!$B$9)/800)^2+((E1358-'Hybrid Calculator'!$B$10)/350)^2+((F1358-'Hybrid Calculator'!$B$11)/30)^2+(G1358-'Hybrid Calculator'!$B$12)^2+((H1358-'Hybrid Calculator'!$E$14)/IF(A1358="Lightning",100,30000))^2+((I1358-'Hybrid Calculator'!$E$17)/IF(A1358="Lightning",100,30000))^2</f>
        <v>1.3438616773863752</v>
      </c>
      <c r="K1358" s="2">
        <f t="shared" si="84"/>
        <v>814</v>
      </c>
      <c r="L1358" s="2">
        <f t="shared" si="85"/>
        <v>0</v>
      </c>
      <c r="M1358" s="2">
        <f t="shared" si="86"/>
        <v>0</v>
      </c>
      <c r="N1358" s="2">
        <v>0.76349931299083096</v>
      </c>
      <c r="O1358" s="2">
        <f t="shared" si="87"/>
        <v>0</v>
      </c>
      <c r="P1358" s="2">
        <v>-2.6810075311818764</v>
      </c>
      <c r="Q1358" s="2">
        <v>-12.441601944578679</v>
      </c>
    </row>
    <row r="1359" spans="1:17" ht="15">
      <c r="A1359" s="2" t="s">
        <v>81</v>
      </c>
      <c r="B1359" s="2">
        <v>991.42983501078561</v>
      </c>
      <c r="C1359" s="2">
        <v>736.63660332094878</v>
      </c>
      <c r="D1359" s="2">
        <v>470.36122130230069</v>
      </c>
      <c r="E1359" s="2">
        <v>302.69712574779987</v>
      </c>
      <c r="F1359" s="2">
        <v>29.318206781987101</v>
      </c>
      <c r="G1359" s="2">
        <v>0.8324368078960106</v>
      </c>
      <c r="H1359" s="2">
        <v>16525</v>
      </c>
      <c r="I1359" s="2">
        <v>1200</v>
      </c>
      <c r="J1359" s="2">
        <f>(IF(A1359='Hybrid Calculator'!$B$6,0,1))^2+((B1359-'Hybrid Calculator'!$B$7)/1500)^2+((C1359-'Hybrid Calculator'!$B$8)/1300)^2+((D1359-'Hybrid Calculator'!$B$9)/800)^2+((E1359-'Hybrid Calculator'!$B$10)/350)^2+((F1359-'Hybrid Calculator'!$B$11)/30)^2+(G1359-'Hybrid Calculator'!$B$12)^2+((H1359-'Hybrid Calculator'!$E$14)/IF(A1359="Lightning",100,30000))^2+((I1359-'Hybrid Calculator'!$E$17)/IF(A1359="Lightning",100,30000))^2</f>
        <v>1.716173043864027</v>
      </c>
      <c r="K1359" s="2">
        <f t="shared" si="84"/>
        <v>1392</v>
      </c>
      <c r="L1359" s="2">
        <f t="shared" si="85"/>
        <v>0</v>
      </c>
      <c r="M1359" s="2">
        <f t="shared" si="86"/>
        <v>0</v>
      </c>
      <c r="N1359" s="2">
        <v>-4.6059216667049157</v>
      </c>
      <c r="O1359" s="2">
        <f t="shared" si="87"/>
        <v>0</v>
      </c>
      <c r="P1359" s="2">
        <v>-46.040747750801984</v>
      </c>
      <c r="Q1359" s="2">
        <v>-7.3561535775223774</v>
      </c>
    </row>
    <row r="1360" spans="1:17" ht="15">
      <c r="A1360" s="2" t="s">
        <v>81</v>
      </c>
      <c r="B1360" s="2">
        <v>1074.3969597388059</v>
      </c>
      <c r="C1360" s="2">
        <v>967.55087113706395</v>
      </c>
      <c r="D1360" s="2">
        <v>483.6760638281703</v>
      </c>
      <c r="E1360" s="2">
        <v>107.85673394100741</v>
      </c>
      <c r="F1360" s="2">
        <v>11.439053073525429</v>
      </c>
      <c r="G1360" s="2">
        <v>0.84412497146287935</v>
      </c>
      <c r="H1360" s="2">
        <v>13715</v>
      </c>
      <c r="I1360" s="2">
        <v>1200</v>
      </c>
      <c r="J1360" s="2">
        <f>(IF(A1360='Hybrid Calculator'!$B$6,0,1))^2+((B1360-'Hybrid Calculator'!$B$7)/1500)^2+((C1360-'Hybrid Calculator'!$B$8)/1300)^2+((D1360-'Hybrid Calculator'!$B$9)/800)^2+((E1360-'Hybrid Calculator'!$B$10)/350)^2+((F1360-'Hybrid Calculator'!$B$11)/30)^2+(G1360-'Hybrid Calculator'!$B$12)^2+((H1360-'Hybrid Calculator'!$E$14)/IF(A1360="Lightning",100,30000))^2+((I1360-'Hybrid Calculator'!$E$17)/IF(A1360="Lightning",100,30000))^2</f>
        <v>1.3427163675512288</v>
      </c>
      <c r="K1360" s="2">
        <f t="shared" si="84"/>
        <v>811</v>
      </c>
      <c r="L1360" s="2">
        <f t="shared" si="85"/>
        <v>0</v>
      </c>
      <c r="M1360" s="2">
        <f t="shared" si="86"/>
        <v>0</v>
      </c>
      <c r="N1360" s="2">
        <v>-1.4071145425176894</v>
      </c>
      <c r="O1360" s="2">
        <f t="shared" si="87"/>
        <v>0</v>
      </c>
      <c r="P1360" s="2">
        <v>20.791860747044666</v>
      </c>
      <c r="Q1360" s="2">
        <v>9.5536550400279339</v>
      </c>
    </row>
    <row r="1361" spans="1:17" ht="15">
      <c r="A1361" s="2" t="s">
        <v>81</v>
      </c>
      <c r="B1361" s="2">
        <v>1022.7023829822429</v>
      </c>
      <c r="C1361" s="2">
        <v>900.92275941278785</v>
      </c>
      <c r="D1361" s="2">
        <v>571.26507880166173</v>
      </c>
      <c r="E1361" s="2">
        <v>173.57470320537686</v>
      </c>
      <c r="F1361" s="2">
        <v>29.284553235862404</v>
      </c>
      <c r="G1361" s="2">
        <v>0.81599042495246976</v>
      </c>
      <c r="H1361" s="2">
        <v>12995</v>
      </c>
      <c r="I1361" s="2">
        <v>1200</v>
      </c>
      <c r="J1361" s="2">
        <f>(IF(A1361='Hybrid Calculator'!$B$6,0,1))^2+((B1361-'Hybrid Calculator'!$B$7)/1500)^2+((C1361-'Hybrid Calculator'!$B$8)/1300)^2+((D1361-'Hybrid Calculator'!$B$9)/800)^2+((E1361-'Hybrid Calculator'!$B$10)/350)^2+((F1361-'Hybrid Calculator'!$B$11)/30)^2+(G1361-'Hybrid Calculator'!$B$12)^2+((H1361-'Hybrid Calculator'!$E$14)/IF(A1361="Lightning",100,30000))^2+((I1361-'Hybrid Calculator'!$E$17)/IF(A1361="Lightning",100,30000))^2</f>
        <v>1.4029090371291779</v>
      </c>
      <c r="K1361" s="2">
        <f t="shared" si="84"/>
        <v>984</v>
      </c>
      <c r="L1361" s="2">
        <f t="shared" si="85"/>
        <v>0</v>
      </c>
      <c r="M1361" s="2">
        <f t="shared" si="86"/>
        <v>0</v>
      </c>
      <c r="N1361" s="2">
        <v>-6.3393992611139538E-2</v>
      </c>
      <c r="O1361" s="2">
        <f t="shared" si="87"/>
        <v>0</v>
      </c>
      <c r="P1361" s="2">
        <v>-4.9668216169679908</v>
      </c>
      <c r="Q1361" s="2">
        <v>-10.720299734581431</v>
      </c>
    </row>
    <row r="1362" spans="1:17" ht="15">
      <c r="A1362" s="2" t="s">
        <v>81</v>
      </c>
      <c r="B1362" s="2">
        <v>1084.1826227726415</v>
      </c>
      <c r="C1362" s="2">
        <v>884.18358360650018</v>
      </c>
      <c r="D1362" s="2">
        <v>647.19802588224411</v>
      </c>
      <c r="E1362" s="2">
        <v>104.03676969697699</v>
      </c>
      <c r="F1362" s="2">
        <v>17.952523137442768</v>
      </c>
      <c r="G1362" s="2">
        <v>0.81790087785338983</v>
      </c>
      <c r="H1362" s="2">
        <v>13075</v>
      </c>
      <c r="I1362" s="2">
        <v>1200</v>
      </c>
      <c r="J1362" s="2">
        <f>(IF(A1362='Hybrid Calculator'!$B$6,0,1))^2+((B1362-'Hybrid Calculator'!$B$7)/1500)^2+((C1362-'Hybrid Calculator'!$B$8)/1300)^2+((D1362-'Hybrid Calculator'!$B$9)/800)^2+((E1362-'Hybrid Calculator'!$B$10)/350)^2+((F1362-'Hybrid Calculator'!$B$11)/30)^2+(G1362-'Hybrid Calculator'!$B$12)^2+((H1362-'Hybrid Calculator'!$E$14)/IF(A1362="Lightning",100,30000))^2+((I1362-'Hybrid Calculator'!$E$17)/IF(A1362="Lightning",100,30000))^2</f>
        <v>1.2937896551125385</v>
      </c>
      <c r="K1362" s="2">
        <f t="shared" si="84"/>
        <v>722</v>
      </c>
      <c r="L1362" s="2">
        <f t="shared" si="85"/>
        <v>0</v>
      </c>
      <c r="M1362" s="2">
        <f t="shared" si="86"/>
        <v>0</v>
      </c>
      <c r="N1362" s="2">
        <v>-1.278725715759748</v>
      </c>
      <c r="O1362" s="2">
        <f t="shared" si="87"/>
        <v>0</v>
      </c>
      <c r="P1362" s="2">
        <v>9.9425077237533515</v>
      </c>
      <c r="Q1362" s="2">
        <v>-3.0765714226199634</v>
      </c>
    </row>
    <row r="1363" spans="1:17" ht="15">
      <c r="A1363" s="2" t="s">
        <v>81</v>
      </c>
      <c r="B1363" s="2">
        <v>1060.0681091542356</v>
      </c>
      <c r="C1363" s="2">
        <v>1054.1339828632772</v>
      </c>
      <c r="D1363" s="2">
        <v>363.08903312310576</v>
      </c>
      <c r="E1363" s="2">
        <v>278.30401672516018</v>
      </c>
      <c r="F1363" s="2">
        <v>12.616166760679334</v>
      </c>
      <c r="G1363" s="2">
        <v>0.82236168463714421</v>
      </c>
      <c r="H1363" s="2">
        <v>12615</v>
      </c>
      <c r="I1363" s="2">
        <v>1200</v>
      </c>
      <c r="J1363" s="2">
        <f>(IF(A1363='Hybrid Calculator'!$B$6,0,1))^2+((B1363-'Hybrid Calculator'!$B$7)/1500)^2+((C1363-'Hybrid Calculator'!$B$8)/1300)^2+((D1363-'Hybrid Calculator'!$B$9)/800)^2+((E1363-'Hybrid Calculator'!$B$10)/350)^2+((F1363-'Hybrid Calculator'!$B$11)/30)^2+(G1363-'Hybrid Calculator'!$B$12)^2+((H1363-'Hybrid Calculator'!$E$14)/IF(A1363="Lightning",100,30000))^2+((I1363-'Hybrid Calculator'!$E$17)/IF(A1363="Lightning",100,30000))^2</f>
        <v>1.4629447785841496</v>
      </c>
      <c r="K1363" s="2">
        <f t="shared" si="84"/>
        <v>1143</v>
      </c>
      <c r="L1363" s="2">
        <f t="shared" si="85"/>
        <v>0</v>
      </c>
      <c r="M1363" s="2">
        <f t="shared" si="86"/>
        <v>0</v>
      </c>
      <c r="N1363" s="2">
        <v>1.3491831828238503</v>
      </c>
      <c r="O1363" s="2">
        <f t="shared" si="87"/>
        <v>0</v>
      </c>
      <c r="P1363" s="2">
        <v>-19.697687631731696</v>
      </c>
      <c r="Q1363" s="2">
        <v>4.7698146075010754</v>
      </c>
    </row>
    <row r="1364" spans="1:17" ht="15">
      <c r="A1364" s="2" t="s">
        <v>81</v>
      </c>
      <c r="B1364" s="2">
        <v>989.42615687847137</v>
      </c>
      <c r="C1364" s="2">
        <v>1073.1494451290928</v>
      </c>
      <c r="D1364" s="2">
        <v>739.9062680080533</v>
      </c>
      <c r="E1364" s="2">
        <v>95.7395587884821</v>
      </c>
      <c r="F1364" s="2">
        <v>25.433626441285014</v>
      </c>
      <c r="G1364" s="2">
        <v>0.81623623972060166</v>
      </c>
      <c r="H1364" s="2">
        <v>11205</v>
      </c>
      <c r="I1364" s="2">
        <v>1195</v>
      </c>
      <c r="J1364" s="2">
        <f>(IF(A1364='Hybrid Calculator'!$B$6,0,1))^2+((B1364-'Hybrid Calculator'!$B$7)/1500)^2+((C1364-'Hybrid Calculator'!$B$8)/1300)^2+((D1364-'Hybrid Calculator'!$B$9)/800)^2+((E1364-'Hybrid Calculator'!$B$10)/350)^2+((F1364-'Hybrid Calculator'!$B$11)/30)^2+(G1364-'Hybrid Calculator'!$B$12)^2+((H1364-'Hybrid Calculator'!$E$14)/IF(A1364="Lightning",100,30000))^2+((I1364-'Hybrid Calculator'!$E$17)/IF(A1364="Lightning",100,30000))^2</f>
        <v>1.4209629477595838</v>
      </c>
      <c r="K1364" s="2">
        <f t="shared" si="84"/>
        <v>1040</v>
      </c>
      <c r="L1364" s="2">
        <f t="shared" si="85"/>
        <v>0</v>
      </c>
      <c r="M1364" s="2">
        <f t="shared" si="86"/>
        <v>0</v>
      </c>
      <c r="N1364" s="2">
        <v>2.6786279769890484</v>
      </c>
      <c r="O1364" s="2">
        <f t="shared" si="87"/>
        <v>0</v>
      </c>
      <c r="P1364" s="2">
        <v>47.587551130393877</v>
      </c>
      <c r="Q1364" s="2">
        <v>-8.9055042581487669</v>
      </c>
    </row>
    <row r="1365" spans="1:17" ht="15">
      <c r="A1365" s="2" t="s">
        <v>81</v>
      </c>
      <c r="B1365" s="2">
        <v>1052.0561924786307</v>
      </c>
      <c r="C1365" s="2">
        <v>1116.5146509418264</v>
      </c>
      <c r="D1365" s="2">
        <v>720.95576981082559</v>
      </c>
      <c r="E1365" s="2">
        <v>109.48222099803388</v>
      </c>
      <c r="F1365" s="2">
        <v>25.857289609033614</v>
      </c>
      <c r="G1365" s="2">
        <v>0.84784536570776259</v>
      </c>
      <c r="H1365" s="2">
        <v>10985</v>
      </c>
      <c r="I1365" s="2">
        <v>1195</v>
      </c>
      <c r="J1365" s="2">
        <f>(IF(A1365='Hybrid Calculator'!$B$6,0,1))^2+((B1365-'Hybrid Calculator'!$B$7)/1500)^2+((C1365-'Hybrid Calculator'!$B$8)/1300)^2+((D1365-'Hybrid Calculator'!$B$9)/800)^2+((E1365-'Hybrid Calculator'!$B$10)/350)^2+((F1365-'Hybrid Calculator'!$B$11)/30)^2+(G1365-'Hybrid Calculator'!$B$12)^2+((H1365-'Hybrid Calculator'!$E$14)/IF(A1365="Lightning",100,30000))^2+((I1365-'Hybrid Calculator'!$E$17)/IF(A1365="Lightning",100,30000))^2</f>
        <v>1.3888319129355191</v>
      </c>
      <c r="K1365" s="2">
        <f t="shared" si="84"/>
        <v>945</v>
      </c>
      <c r="L1365" s="2">
        <f t="shared" si="85"/>
        <v>0</v>
      </c>
      <c r="M1365" s="2">
        <f t="shared" si="86"/>
        <v>0</v>
      </c>
      <c r="N1365" s="2">
        <v>-2.3043914435074555</v>
      </c>
      <c r="O1365" s="2">
        <f t="shared" si="87"/>
        <v>0</v>
      </c>
      <c r="P1365" s="2">
        <v>59.575836340173282</v>
      </c>
      <c r="Q1365" s="2">
        <v>-14.397832332522057</v>
      </c>
    </row>
    <row r="1366" spans="1:17" ht="15">
      <c r="A1366" s="2" t="s">
        <v>81</v>
      </c>
      <c r="B1366" s="2">
        <v>979.80333871673793</v>
      </c>
      <c r="C1366" s="2">
        <v>1197.0799211994745</v>
      </c>
      <c r="D1366" s="2">
        <v>386.47922314703465</v>
      </c>
      <c r="E1366" s="2">
        <v>250.83500436274335</v>
      </c>
      <c r="F1366" s="2">
        <v>25.129542195238173</v>
      </c>
      <c r="G1366" s="2">
        <v>0.81041462252615026</v>
      </c>
      <c r="H1366" s="2">
        <v>11660</v>
      </c>
      <c r="I1366" s="2">
        <v>1195</v>
      </c>
      <c r="J1366" s="2">
        <f>(IF(A1366='Hybrid Calculator'!$B$6,0,1))^2+((B1366-'Hybrid Calculator'!$B$7)/1500)^2+((C1366-'Hybrid Calculator'!$B$8)/1300)^2+((D1366-'Hybrid Calculator'!$B$9)/800)^2+((E1366-'Hybrid Calculator'!$B$10)/350)^2+((F1366-'Hybrid Calculator'!$B$11)/30)^2+(G1366-'Hybrid Calculator'!$B$12)^2+((H1366-'Hybrid Calculator'!$E$14)/IF(A1366="Lightning",100,30000))^2+((I1366-'Hybrid Calculator'!$E$17)/IF(A1366="Lightning",100,30000))^2</f>
        <v>1.4627233087244449</v>
      </c>
      <c r="K1366" s="2">
        <f t="shared" si="84"/>
        <v>1141</v>
      </c>
      <c r="L1366" s="2">
        <f t="shared" si="85"/>
        <v>0</v>
      </c>
      <c r="M1366" s="2">
        <f t="shared" si="86"/>
        <v>0</v>
      </c>
      <c r="N1366" s="2">
        <v>-2.550148875880609</v>
      </c>
      <c r="O1366" s="2">
        <f t="shared" si="87"/>
        <v>0</v>
      </c>
      <c r="P1366" s="2">
        <v>16.063492563455839</v>
      </c>
      <c r="Q1366" s="2">
        <v>-15.951220622408073</v>
      </c>
    </row>
    <row r="1367" spans="1:17" ht="15">
      <c r="A1367" s="2" t="s">
        <v>81</v>
      </c>
      <c r="B1367" s="2">
        <v>1095.7840793184005</v>
      </c>
      <c r="C1367" s="2">
        <v>1163.4965113829821</v>
      </c>
      <c r="D1367" s="2">
        <v>524.80242503806949</v>
      </c>
      <c r="E1367" s="2">
        <v>268.1023010937497</v>
      </c>
      <c r="F1367" s="2">
        <v>11.673565890174359</v>
      </c>
      <c r="G1367" s="2">
        <v>0.79463539324700838</v>
      </c>
      <c r="H1367" s="2">
        <v>10930</v>
      </c>
      <c r="I1367" s="2">
        <v>1195</v>
      </c>
      <c r="J1367" s="2">
        <f>(IF(A1367='Hybrid Calculator'!$B$6,0,1))^2+((B1367-'Hybrid Calculator'!$B$7)/1500)^2+((C1367-'Hybrid Calculator'!$B$8)/1300)^2+((D1367-'Hybrid Calculator'!$B$9)/800)^2+((E1367-'Hybrid Calculator'!$B$10)/350)^2+((F1367-'Hybrid Calculator'!$B$11)/30)^2+(G1367-'Hybrid Calculator'!$B$12)^2+((H1367-'Hybrid Calculator'!$E$14)/IF(A1367="Lightning",100,30000))^2+((I1367-'Hybrid Calculator'!$E$17)/IF(A1367="Lightning",100,30000))^2</f>
        <v>1.4066173028914501</v>
      </c>
      <c r="K1367" s="2">
        <f t="shared" si="84"/>
        <v>996</v>
      </c>
      <c r="L1367" s="2">
        <f t="shared" si="85"/>
        <v>0</v>
      </c>
      <c r="M1367" s="2">
        <f t="shared" si="86"/>
        <v>0</v>
      </c>
      <c r="N1367" s="2">
        <v>5.7050649528336805</v>
      </c>
      <c r="O1367" s="2">
        <f t="shared" si="87"/>
        <v>0</v>
      </c>
      <c r="P1367" s="2">
        <v>32.092409021172898</v>
      </c>
      <c r="Q1367" s="2">
        <v>-6.9845435518618615</v>
      </c>
    </row>
    <row r="1368" spans="1:17" ht="15">
      <c r="A1368" s="2" t="s">
        <v>81</v>
      </c>
      <c r="B1368" s="2">
        <v>976.14265824668109</v>
      </c>
      <c r="C1368" s="2">
        <v>1222.3890953580849</v>
      </c>
      <c r="D1368" s="2">
        <v>357.62775298207998</v>
      </c>
      <c r="E1368" s="2">
        <v>254.97480363817886</v>
      </c>
      <c r="F1368" s="2">
        <v>29.4757692925632</v>
      </c>
      <c r="G1368" s="2">
        <v>0.84751199733698745</v>
      </c>
      <c r="H1368" s="2">
        <v>13595</v>
      </c>
      <c r="I1368" s="2">
        <v>1200</v>
      </c>
      <c r="J1368" s="2">
        <f>(IF(A1368='Hybrid Calculator'!$B$6,0,1))^2+((B1368-'Hybrid Calculator'!$B$7)/1500)^2+((C1368-'Hybrid Calculator'!$B$8)/1300)^2+((D1368-'Hybrid Calculator'!$B$9)/800)^2+((E1368-'Hybrid Calculator'!$B$10)/350)^2+((F1368-'Hybrid Calculator'!$B$11)/30)^2+(G1368-'Hybrid Calculator'!$B$12)^2+((H1368-'Hybrid Calculator'!$E$14)/IF(A1368="Lightning",100,30000))^2+((I1368-'Hybrid Calculator'!$E$17)/IF(A1368="Lightning",100,30000))^2</f>
        <v>1.6332233652481654</v>
      </c>
      <c r="K1368" s="2">
        <f t="shared" si="84"/>
        <v>1370</v>
      </c>
      <c r="L1368" s="2">
        <f t="shared" si="85"/>
        <v>0</v>
      </c>
      <c r="M1368" s="2">
        <f t="shared" si="86"/>
        <v>0</v>
      </c>
      <c r="N1368" s="2">
        <v>2.2362517614137971</v>
      </c>
      <c r="O1368" s="2">
        <f t="shared" si="87"/>
        <v>0</v>
      </c>
      <c r="P1368" s="2">
        <v>-5.9983731577040089</v>
      </c>
      <c r="Q1368" s="2">
        <v>-11.439283943493706</v>
      </c>
    </row>
    <row r="1369" spans="1:17" ht="15">
      <c r="A1369" s="2" t="s">
        <v>81</v>
      </c>
      <c r="B1369" s="2">
        <v>1035.3844419238158</v>
      </c>
      <c r="C1369" s="2">
        <v>702.28155318181962</v>
      </c>
      <c r="D1369" s="2">
        <v>599.69486193731427</v>
      </c>
      <c r="E1369" s="2">
        <v>226.55837323516607</v>
      </c>
      <c r="F1369" s="2">
        <v>19.899910705629736</v>
      </c>
      <c r="G1369" s="2">
        <v>0.80292067553382374</v>
      </c>
      <c r="H1369" s="2">
        <v>13990</v>
      </c>
      <c r="I1369" s="2">
        <v>1200</v>
      </c>
      <c r="J1369" s="2">
        <f>(IF(A1369='Hybrid Calculator'!$B$6,0,1))^2+((B1369-'Hybrid Calculator'!$B$7)/1500)^2+((C1369-'Hybrid Calculator'!$B$8)/1300)^2+((D1369-'Hybrid Calculator'!$B$9)/800)^2+((E1369-'Hybrid Calculator'!$B$10)/350)^2+((F1369-'Hybrid Calculator'!$B$11)/30)^2+(G1369-'Hybrid Calculator'!$B$12)^2+((H1369-'Hybrid Calculator'!$E$14)/IF(A1369="Lightning",100,30000))^2+((I1369-'Hybrid Calculator'!$E$17)/IF(A1369="Lightning",100,30000))^2</f>
        <v>1.3636730088987756</v>
      </c>
      <c r="K1369" s="2">
        <f t="shared" si="84"/>
        <v>867</v>
      </c>
      <c r="L1369" s="2">
        <f t="shared" si="85"/>
        <v>0</v>
      </c>
      <c r="M1369" s="2">
        <f t="shared" si="86"/>
        <v>0</v>
      </c>
      <c r="N1369" s="2">
        <v>-3.3077730425144694</v>
      </c>
      <c r="O1369" s="2">
        <f t="shared" si="87"/>
        <v>0</v>
      </c>
      <c r="P1369" s="2">
        <v>5.8191747157952705</v>
      </c>
      <c r="Q1369" s="2">
        <v>-3.1909400339727654</v>
      </c>
    </row>
    <row r="1370" spans="1:17" ht="15">
      <c r="A1370" s="2" t="s">
        <v>81</v>
      </c>
      <c r="B1370" s="2">
        <v>1083.7031927192584</v>
      </c>
      <c r="C1370" s="2">
        <v>783.17528433399275</v>
      </c>
      <c r="D1370" s="2">
        <v>715.29244408011436</v>
      </c>
      <c r="E1370" s="2">
        <v>142.44352593785152</v>
      </c>
      <c r="F1370" s="2">
        <v>18.474525204859674</v>
      </c>
      <c r="G1370" s="2">
        <v>0.80355490961810583</v>
      </c>
      <c r="H1370" s="2">
        <v>13035</v>
      </c>
      <c r="I1370" s="2">
        <v>1200</v>
      </c>
      <c r="J1370" s="2">
        <f>(IF(A1370='Hybrid Calculator'!$B$6,0,1))^2+((B1370-'Hybrid Calculator'!$B$7)/1500)^2+((C1370-'Hybrid Calculator'!$B$8)/1300)^2+((D1370-'Hybrid Calculator'!$B$9)/800)^2+((E1370-'Hybrid Calculator'!$B$10)/350)^2+((F1370-'Hybrid Calculator'!$B$11)/30)^2+(G1370-'Hybrid Calculator'!$B$12)^2+((H1370-'Hybrid Calculator'!$E$14)/IF(A1370="Lightning",100,30000))^2+((I1370-'Hybrid Calculator'!$E$17)/IF(A1370="Lightning",100,30000))^2</f>
        <v>1.3164519732849462</v>
      </c>
      <c r="K1370" s="2">
        <f t="shared" si="84"/>
        <v>757</v>
      </c>
      <c r="L1370" s="2">
        <f t="shared" si="85"/>
        <v>0</v>
      </c>
      <c r="M1370" s="2">
        <f t="shared" si="86"/>
        <v>0</v>
      </c>
      <c r="N1370" s="2">
        <v>9.7548258985511893E-2</v>
      </c>
      <c r="O1370" s="2">
        <f t="shared" si="87"/>
        <v>0</v>
      </c>
      <c r="P1370" s="2">
        <v>-56.687409757779733</v>
      </c>
      <c r="Q1370" s="2">
        <v>3.9060192503366125</v>
      </c>
    </row>
    <row r="1371" spans="1:17" ht="15">
      <c r="A1371" s="2" t="s">
        <v>81</v>
      </c>
      <c r="B1371" s="2">
        <v>961.62132452009246</v>
      </c>
      <c r="C1371" s="2">
        <v>689.2970122396946</v>
      </c>
      <c r="D1371" s="2">
        <v>634.76459076628089</v>
      </c>
      <c r="E1371" s="2">
        <v>251.79527052212507</v>
      </c>
      <c r="F1371" s="2">
        <v>15.188089342322201</v>
      </c>
      <c r="G1371" s="2">
        <v>0.8396555317472667</v>
      </c>
      <c r="H1371" s="2">
        <v>15835</v>
      </c>
      <c r="I1371" s="2">
        <v>1200</v>
      </c>
      <c r="J1371" s="2">
        <f>(IF(A1371='Hybrid Calculator'!$B$6,0,1))^2+((B1371-'Hybrid Calculator'!$B$7)/1500)^2+((C1371-'Hybrid Calculator'!$B$8)/1300)^2+((D1371-'Hybrid Calculator'!$B$9)/800)^2+((E1371-'Hybrid Calculator'!$B$10)/350)^2+((F1371-'Hybrid Calculator'!$B$11)/30)^2+(G1371-'Hybrid Calculator'!$B$12)^2+((H1371-'Hybrid Calculator'!$E$14)/IF(A1371="Lightning",100,30000))^2+((I1371-'Hybrid Calculator'!$E$17)/IF(A1371="Lightning",100,30000))^2</f>
        <v>1.5146389365977673</v>
      </c>
      <c r="K1371" s="2">
        <f t="shared" si="84"/>
        <v>1237</v>
      </c>
      <c r="L1371" s="2">
        <f t="shared" si="85"/>
        <v>0</v>
      </c>
      <c r="M1371" s="2">
        <f t="shared" si="86"/>
        <v>0</v>
      </c>
      <c r="N1371" s="2">
        <v>1.2005661241290966</v>
      </c>
      <c r="O1371" s="2">
        <f t="shared" si="87"/>
        <v>0</v>
      </c>
      <c r="P1371" s="2">
        <v>-23.30994209135406</v>
      </c>
      <c r="Q1371" s="2">
        <v>4.6798158926509359</v>
      </c>
    </row>
    <row r="1372" spans="1:17" ht="15">
      <c r="A1372" s="2" t="s">
        <v>81</v>
      </c>
      <c r="B1372" s="2">
        <v>1074.6204189024866</v>
      </c>
      <c r="C1372" s="2">
        <v>765.46338194748387</v>
      </c>
      <c r="D1372" s="2">
        <v>404.94173411279917</v>
      </c>
      <c r="E1372" s="2">
        <v>320.2508101076819</v>
      </c>
      <c r="F1372" s="2">
        <v>11.406610453501344</v>
      </c>
      <c r="G1372" s="2">
        <v>0.80100466731237252</v>
      </c>
      <c r="H1372" s="2">
        <v>14345</v>
      </c>
      <c r="I1372" s="2">
        <v>1200</v>
      </c>
      <c r="J1372" s="2">
        <f>(IF(A1372='Hybrid Calculator'!$B$6,0,1))^2+((B1372-'Hybrid Calculator'!$B$7)/1500)^2+((C1372-'Hybrid Calculator'!$B$8)/1300)^2+((D1372-'Hybrid Calculator'!$B$9)/800)^2+((E1372-'Hybrid Calculator'!$B$10)/350)^2+((F1372-'Hybrid Calculator'!$B$11)/30)^2+(G1372-'Hybrid Calculator'!$B$12)^2+((H1372-'Hybrid Calculator'!$E$14)/IF(A1372="Lightning",100,30000))^2+((I1372-'Hybrid Calculator'!$E$17)/IF(A1372="Lightning",100,30000))^2</f>
        <v>1.5943790971822815</v>
      </c>
      <c r="K1372" s="2">
        <f t="shared" si="84"/>
        <v>1345</v>
      </c>
      <c r="L1372" s="2">
        <f t="shared" si="85"/>
        <v>0</v>
      </c>
      <c r="M1372" s="2">
        <f t="shared" si="86"/>
        <v>0</v>
      </c>
      <c r="N1372" s="2">
        <v>0.43436135182733437</v>
      </c>
      <c r="O1372" s="2">
        <f t="shared" si="87"/>
        <v>0</v>
      </c>
      <c r="P1372" s="2">
        <v>2.2672104471389503</v>
      </c>
      <c r="Q1372" s="2">
        <v>8.7892952534580218</v>
      </c>
    </row>
    <row r="1373" spans="1:17" ht="15">
      <c r="A1373" s="2" t="s">
        <v>81</v>
      </c>
      <c r="B1373" s="2">
        <v>1070.2549161040224</v>
      </c>
      <c r="C1373" s="2">
        <v>1248.4323899494484</v>
      </c>
      <c r="D1373" s="2">
        <v>705.27679258957505</v>
      </c>
      <c r="E1373" s="2">
        <v>328.50771971978247</v>
      </c>
      <c r="F1373" s="2">
        <v>18.664153643418103</v>
      </c>
      <c r="G1373" s="2">
        <v>0.82670801884029066</v>
      </c>
      <c r="H1373" s="2">
        <v>9370</v>
      </c>
      <c r="I1373" s="2">
        <v>1195</v>
      </c>
      <c r="J1373" s="2">
        <f>(IF(A1373='Hybrid Calculator'!$B$6,0,1))^2+((B1373-'Hybrid Calculator'!$B$7)/1500)^2+((C1373-'Hybrid Calculator'!$B$8)/1300)^2+((D1373-'Hybrid Calculator'!$B$9)/800)^2+((E1373-'Hybrid Calculator'!$B$10)/350)^2+((F1373-'Hybrid Calculator'!$B$11)/30)^2+(G1373-'Hybrid Calculator'!$B$12)^2+((H1373-'Hybrid Calculator'!$E$14)/IF(A1373="Lightning",100,30000))^2+((I1373-'Hybrid Calculator'!$E$17)/IF(A1373="Lightning",100,30000))^2</f>
        <v>1.5739383623441803</v>
      </c>
      <c r="K1373" s="2">
        <f t="shared" si="84"/>
        <v>1329</v>
      </c>
      <c r="L1373" s="2">
        <f t="shared" si="85"/>
        <v>0</v>
      </c>
      <c r="M1373" s="2">
        <f t="shared" si="86"/>
        <v>0</v>
      </c>
      <c r="N1373" s="2">
        <v>3.4634865557879948</v>
      </c>
      <c r="O1373" s="2">
        <f t="shared" si="87"/>
        <v>0</v>
      </c>
      <c r="P1373" s="2">
        <v>27.018458214976363</v>
      </c>
      <c r="Q1373" s="2">
        <v>-4.5378222475637813</v>
      </c>
    </row>
    <row r="1374" spans="1:17" ht="15">
      <c r="A1374" s="2" t="s">
        <v>81</v>
      </c>
      <c r="B1374" s="2">
        <v>968.01518034189939</v>
      </c>
      <c r="C1374" s="2">
        <v>1048.3647827408276</v>
      </c>
      <c r="D1374" s="2">
        <v>438.26822061091661</v>
      </c>
      <c r="E1374" s="2">
        <v>301.46223444724455</v>
      </c>
      <c r="F1374" s="2">
        <v>28.663305779919028</v>
      </c>
      <c r="G1374" s="2">
        <v>0.83533077539177614</v>
      </c>
      <c r="H1374" s="2">
        <v>13955</v>
      </c>
      <c r="I1374" s="2">
        <v>1200</v>
      </c>
      <c r="J1374" s="2">
        <f>(IF(A1374='Hybrid Calculator'!$B$6,0,1))^2+((B1374-'Hybrid Calculator'!$B$7)/1500)^2+((C1374-'Hybrid Calculator'!$B$8)/1300)^2+((D1374-'Hybrid Calculator'!$B$9)/800)^2+((E1374-'Hybrid Calculator'!$B$10)/350)^2+((F1374-'Hybrid Calculator'!$B$11)/30)^2+(G1374-'Hybrid Calculator'!$B$12)^2+((H1374-'Hybrid Calculator'!$E$14)/IF(A1374="Lightning",100,30000))^2+((I1374-'Hybrid Calculator'!$E$17)/IF(A1374="Lightning",100,30000))^2</f>
        <v>1.640696170243606</v>
      </c>
      <c r="K1374" s="2">
        <f t="shared" si="84"/>
        <v>1375</v>
      </c>
      <c r="L1374" s="2">
        <f t="shared" si="85"/>
        <v>0</v>
      </c>
      <c r="M1374" s="2">
        <f t="shared" si="86"/>
        <v>0</v>
      </c>
      <c r="N1374" s="2">
        <v>-0.46246750626792732</v>
      </c>
      <c r="O1374" s="2">
        <f t="shared" si="87"/>
        <v>0</v>
      </c>
      <c r="P1374" s="2">
        <v>56.094067510548939</v>
      </c>
      <c r="Q1374" s="2">
        <v>-15.743662662956581</v>
      </c>
    </row>
    <row r="1375" spans="1:17" ht="15">
      <c r="A1375" s="2" t="s">
        <v>81</v>
      </c>
      <c r="B1375" s="2">
        <v>978.77776442328468</v>
      </c>
      <c r="C1375" s="2">
        <v>789.5264100516215</v>
      </c>
      <c r="D1375" s="2">
        <v>719.92945084348321</v>
      </c>
      <c r="E1375" s="2">
        <v>150.99527376703918</v>
      </c>
      <c r="F1375" s="2">
        <v>27.103398520965129</v>
      </c>
      <c r="G1375" s="2">
        <v>0.83968919735867531</v>
      </c>
      <c r="H1375" s="2">
        <v>15025</v>
      </c>
      <c r="I1375" s="2">
        <v>1200</v>
      </c>
      <c r="J1375" s="2">
        <f>(IF(A1375='Hybrid Calculator'!$B$6,0,1))^2+((B1375-'Hybrid Calculator'!$B$7)/1500)^2+((C1375-'Hybrid Calculator'!$B$8)/1300)^2+((D1375-'Hybrid Calculator'!$B$9)/800)^2+((E1375-'Hybrid Calculator'!$B$10)/350)^2+((F1375-'Hybrid Calculator'!$B$11)/30)^2+(G1375-'Hybrid Calculator'!$B$12)^2+((H1375-'Hybrid Calculator'!$E$14)/IF(A1375="Lightning",100,30000))^2+((I1375-'Hybrid Calculator'!$E$17)/IF(A1375="Lightning",100,30000))^2</f>
        <v>1.4995755600600194</v>
      </c>
      <c r="K1375" s="2">
        <f t="shared" si="84"/>
        <v>1210</v>
      </c>
      <c r="L1375" s="2">
        <f t="shared" si="85"/>
        <v>0</v>
      </c>
      <c r="M1375" s="2">
        <f t="shared" si="86"/>
        <v>0</v>
      </c>
      <c r="N1375" s="2">
        <v>-3.4791870628969548</v>
      </c>
      <c r="O1375" s="2">
        <f t="shared" si="87"/>
        <v>0</v>
      </c>
      <c r="P1375" s="2">
        <v>-48.979507516207832</v>
      </c>
      <c r="Q1375" s="2">
        <v>-5.7605856230807149</v>
      </c>
    </row>
    <row r="1376" spans="1:17" ht="15">
      <c r="A1376" s="2" t="s">
        <v>81</v>
      </c>
      <c r="B1376" s="2">
        <v>980.95850634854287</v>
      </c>
      <c r="C1376" s="2">
        <v>1003.8233517319895</v>
      </c>
      <c r="D1376" s="2">
        <v>422.60669060051441</v>
      </c>
      <c r="E1376" s="2">
        <v>171.31188149331138</v>
      </c>
      <c r="F1376" s="2">
        <v>27.233248964883387</v>
      </c>
      <c r="G1376" s="2">
        <v>0.80567607975332067</v>
      </c>
      <c r="H1376" s="2">
        <v>13385</v>
      </c>
      <c r="I1376" s="2">
        <v>1200</v>
      </c>
      <c r="J1376" s="2">
        <f>(IF(A1376='Hybrid Calculator'!$B$6,0,1))^2+((B1376-'Hybrid Calculator'!$B$7)/1500)^2+((C1376-'Hybrid Calculator'!$B$8)/1300)^2+((D1376-'Hybrid Calculator'!$B$9)/800)^2+((E1376-'Hybrid Calculator'!$B$10)/350)^2+((F1376-'Hybrid Calculator'!$B$11)/30)^2+(G1376-'Hybrid Calculator'!$B$12)^2+((H1376-'Hybrid Calculator'!$E$14)/IF(A1376="Lightning",100,30000))^2+((I1376-'Hybrid Calculator'!$E$17)/IF(A1376="Lightning",100,30000))^2</f>
        <v>1.3987635008361194</v>
      </c>
      <c r="K1376" s="2">
        <f t="shared" si="84"/>
        <v>973</v>
      </c>
      <c r="L1376" s="2">
        <f t="shared" si="85"/>
        <v>0</v>
      </c>
      <c r="M1376" s="2">
        <f t="shared" si="86"/>
        <v>0</v>
      </c>
      <c r="N1376" s="2">
        <v>-0.78892109486238837</v>
      </c>
      <c r="O1376" s="2">
        <f t="shared" si="87"/>
        <v>0</v>
      </c>
      <c r="P1376" s="2">
        <v>49.261437040127475</v>
      </c>
      <c r="Q1376" s="2">
        <v>-9.0843383808030467</v>
      </c>
    </row>
    <row r="1377" spans="1:17" ht="15">
      <c r="A1377" s="2" t="s">
        <v>81</v>
      </c>
      <c r="B1377" s="2">
        <v>971.46087571745738</v>
      </c>
      <c r="C1377" s="2">
        <v>1248.1097856070846</v>
      </c>
      <c r="D1377" s="2">
        <v>654.20419378206134</v>
      </c>
      <c r="E1377" s="2">
        <v>317.55142174195498</v>
      </c>
      <c r="F1377" s="2">
        <v>15.857697832863778</v>
      </c>
      <c r="G1377" s="2">
        <v>0.82079600039869549</v>
      </c>
      <c r="H1377" s="2">
        <v>11240</v>
      </c>
      <c r="I1377" s="2">
        <v>1195</v>
      </c>
      <c r="J1377" s="2">
        <f>(IF(A1377='Hybrid Calculator'!$B$6,0,1))^2+((B1377-'Hybrid Calculator'!$B$7)/1500)^2+((C1377-'Hybrid Calculator'!$B$8)/1300)^2+((D1377-'Hybrid Calculator'!$B$9)/800)^2+((E1377-'Hybrid Calculator'!$B$10)/350)^2+((F1377-'Hybrid Calculator'!$B$11)/30)^2+(G1377-'Hybrid Calculator'!$B$12)^2+((H1377-'Hybrid Calculator'!$E$14)/IF(A1377="Lightning",100,30000))^2+((I1377-'Hybrid Calculator'!$E$17)/IF(A1377="Lightning",100,30000))^2</f>
        <v>1.5999370963869675</v>
      </c>
      <c r="K1377" s="2">
        <f t="shared" si="84"/>
        <v>1354</v>
      </c>
      <c r="L1377" s="2">
        <f t="shared" si="85"/>
        <v>0</v>
      </c>
      <c r="M1377" s="2">
        <f t="shared" si="86"/>
        <v>0</v>
      </c>
      <c r="N1377" s="2">
        <v>1.1912214338451577</v>
      </c>
      <c r="O1377" s="2">
        <f t="shared" si="87"/>
        <v>0</v>
      </c>
      <c r="P1377" s="2">
        <v>39.535697134499969</v>
      </c>
      <c r="Q1377" s="2">
        <v>-10.565892149972569</v>
      </c>
    </row>
    <row r="1378" spans="1:17" ht="15">
      <c r="A1378" s="2" t="s">
        <v>81</v>
      </c>
      <c r="B1378" s="2">
        <v>1011.3133904989809</v>
      </c>
      <c r="C1378" s="2">
        <v>1062.4988856608979</v>
      </c>
      <c r="D1378" s="2">
        <v>726.06085445731878</v>
      </c>
      <c r="E1378" s="2">
        <v>322.6204735529609</v>
      </c>
      <c r="F1378" s="2">
        <v>21.442680720239878</v>
      </c>
      <c r="G1378" s="2">
        <v>0.82601612217957154</v>
      </c>
      <c r="H1378" s="2">
        <v>10130</v>
      </c>
      <c r="I1378" s="2">
        <v>1195</v>
      </c>
      <c r="J1378" s="2">
        <f>(IF(A1378='Hybrid Calculator'!$B$6,0,1))^2+((B1378-'Hybrid Calculator'!$B$7)/1500)^2+((C1378-'Hybrid Calculator'!$B$8)/1300)^2+((D1378-'Hybrid Calculator'!$B$9)/800)^2+((E1378-'Hybrid Calculator'!$B$10)/350)^2+((F1378-'Hybrid Calculator'!$B$11)/30)^2+(G1378-'Hybrid Calculator'!$B$12)^2+((H1378-'Hybrid Calculator'!$E$14)/IF(A1378="Lightning",100,30000))^2+((I1378-'Hybrid Calculator'!$E$17)/IF(A1378="Lightning",100,30000))^2</f>
        <v>1.5499516348765308</v>
      </c>
      <c r="K1378" s="2">
        <f t="shared" si="84"/>
        <v>1300</v>
      </c>
      <c r="L1378" s="2">
        <f t="shared" si="85"/>
        <v>0</v>
      </c>
      <c r="M1378" s="2">
        <f t="shared" si="86"/>
        <v>0</v>
      </c>
      <c r="N1378" s="2">
        <v>-1.0632653627848754</v>
      </c>
      <c r="O1378" s="2">
        <f t="shared" si="87"/>
        <v>0</v>
      </c>
      <c r="P1378" s="2">
        <v>39.43588700910459</v>
      </c>
      <c r="Q1378" s="2">
        <v>-12.084895705264671</v>
      </c>
    </row>
    <row r="1379" spans="1:17" ht="15">
      <c r="A1379" s="2" t="s">
        <v>81</v>
      </c>
      <c r="B1379" s="2">
        <v>955.68624493898824</v>
      </c>
      <c r="C1379" s="2">
        <v>956.49148307275027</v>
      </c>
      <c r="D1379" s="2">
        <v>497.26513968780637</v>
      </c>
      <c r="E1379" s="2">
        <v>205.66627189517021</v>
      </c>
      <c r="F1379" s="2">
        <v>26.501410523895174</v>
      </c>
      <c r="G1379" s="2">
        <v>0.80128203369211404</v>
      </c>
      <c r="H1379" s="2">
        <v>15035</v>
      </c>
      <c r="I1379" s="2">
        <v>1200</v>
      </c>
      <c r="J1379" s="2">
        <f>(IF(A1379='Hybrid Calculator'!$B$6,0,1))^2+((B1379-'Hybrid Calculator'!$B$7)/1500)^2+((C1379-'Hybrid Calculator'!$B$8)/1300)^2+((D1379-'Hybrid Calculator'!$B$9)/800)^2+((E1379-'Hybrid Calculator'!$B$10)/350)^2+((F1379-'Hybrid Calculator'!$B$11)/30)^2+(G1379-'Hybrid Calculator'!$B$12)^2+((H1379-'Hybrid Calculator'!$E$14)/IF(A1379="Lightning",100,30000))^2+((I1379-'Hybrid Calculator'!$E$17)/IF(A1379="Lightning",100,30000))^2</f>
        <v>1.4524299086763324</v>
      </c>
      <c r="K1379" s="2">
        <f t="shared" si="84"/>
        <v>1113</v>
      </c>
      <c r="L1379" s="2">
        <f t="shared" si="85"/>
        <v>0</v>
      </c>
      <c r="M1379" s="2">
        <f t="shared" si="86"/>
        <v>0</v>
      </c>
      <c r="N1379" s="2">
        <v>1.3430574460208504</v>
      </c>
      <c r="O1379" s="2">
        <f t="shared" si="87"/>
        <v>0</v>
      </c>
      <c r="P1379" s="2">
        <v>21.277692308397036</v>
      </c>
      <c r="Q1379" s="2">
        <v>-3.2642097997447763</v>
      </c>
    </row>
    <row r="1380" spans="1:17" ht="15">
      <c r="A1380" s="2" t="s">
        <v>81</v>
      </c>
      <c r="B1380" s="2">
        <v>1046.6481561074033</v>
      </c>
      <c r="C1380" s="2">
        <v>1065.6377763603814</v>
      </c>
      <c r="D1380" s="2">
        <v>364.2402745783329</v>
      </c>
      <c r="E1380" s="2">
        <v>197.1685554436408</v>
      </c>
      <c r="F1380" s="2">
        <v>12.291480108164251</v>
      </c>
      <c r="G1380" s="2">
        <v>0.83174716477980837</v>
      </c>
      <c r="H1380" s="2">
        <v>13145</v>
      </c>
      <c r="I1380" s="2">
        <v>1200</v>
      </c>
      <c r="J1380" s="2">
        <f>(IF(A1380='Hybrid Calculator'!$B$6,0,1))^2+((B1380-'Hybrid Calculator'!$B$7)/1500)^2+((C1380-'Hybrid Calculator'!$B$8)/1300)^2+((D1380-'Hybrid Calculator'!$B$9)/800)^2+((E1380-'Hybrid Calculator'!$B$10)/350)^2+((F1380-'Hybrid Calculator'!$B$11)/30)^2+(G1380-'Hybrid Calculator'!$B$12)^2+((H1380-'Hybrid Calculator'!$E$14)/IF(A1380="Lightning",100,30000))^2+((I1380-'Hybrid Calculator'!$E$17)/IF(A1380="Lightning",100,30000))^2</f>
        <v>1.3731299103184182</v>
      </c>
      <c r="K1380" s="2">
        <f t="shared" si="84"/>
        <v>899</v>
      </c>
      <c r="L1380" s="2">
        <f t="shared" si="85"/>
        <v>0</v>
      </c>
      <c r="M1380" s="2">
        <f t="shared" si="86"/>
        <v>0</v>
      </c>
      <c r="N1380" s="2">
        <v>-1.0086641349307968</v>
      </c>
      <c r="O1380" s="2">
        <f t="shared" si="87"/>
        <v>0</v>
      </c>
      <c r="P1380" s="2">
        <v>-17.960603694964448</v>
      </c>
      <c r="Q1380" s="2">
        <v>5.7308776998972917</v>
      </c>
    </row>
    <row r="1381" spans="1:17" ht="15">
      <c r="A1381" s="2" t="s">
        <v>81</v>
      </c>
      <c r="B1381" s="2">
        <v>1043.4801805648021</v>
      </c>
      <c r="C1381" s="2">
        <v>742.84756723791361</v>
      </c>
      <c r="D1381" s="2">
        <v>504.03130492195487</v>
      </c>
      <c r="E1381" s="2">
        <v>237.65775379259139</v>
      </c>
      <c r="F1381" s="2">
        <v>15.185077363159508</v>
      </c>
      <c r="G1381" s="2">
        <v>0.84756357244215907</v>
      </c>
      <c r="H1381" s="2">
        <v>14405</v>
      </c>
      <c r="I1381" s="2">
        <v>1200</v>
      </c>
      <c r="J1381" s="2">
        <f>(IF(A1381='Hybrid Calculator'!$B$6,0,1))^2+((B1381-'Hybrid Calculator'!$B$7)/1500)^2+((C1381-'Hybrid Calculator'!$B$8)/1300)^2+((D1381-'Hybrid Calculator'!$B$9)/800)^2+((E1381-'Hybrid Calculator'!$B$10)/350)^2+((F1381-'Hybrid Calculator'!$B$11)/30)^2+(G1381-'Hybrid Calculator'!$B$12)^2+((H1381-'Hybrid Calculator'!$E$14)/IF(A1381="Lightning",100,30000))^2+((I1381-'Hybrid Calculator'!$E$17)/IF(A1381="Lightning",100,30000))^2</f>
        <v>1.3777027046667816</v>
      </c>
      <c r="K1381" s="2">
        <f t="shared" si="84"/>
        <v>912</v>
      </c>
      <c r="L1381" s="2">
        <f t="shared" si="85"/>
        <v>0</v>
      </c>
      <c r="M1381" s="2">
        <f t="shared" si="86"/>
        <v>0</v>
      </c>
      <c r="N1381" s="2">
        <v>-0.88004112787970712</v>
      </c>
      <c r="O1381" s="2">
        <f t="shared" si="87"/>
        <v>0</v>
      </c>
      <c r="P1381" s="2">
        <v>-55.90494977503522</v>
      </c>
      <c r="Q1381" s="2">
        <v>4.5214952209607873</v>
      </c>
    </row>
    <row r="1382" spans="1:17" ht="15">
      <c r="A1382" s="2" t="s">
        <v>81</v>
      </c>
      <c r="B1382" s="2">
        <v>951.16628454998136</v>
      </c>
      <c r="C1382" s="2">
        <v>795.86993245175108</v>
      </c>
      <c r="D1382" s="2">
        <v>536.31288204342127</v>
      </c>
      <c r="E1382" s="2">
        <v>170.25657182792202</v>
      </c>
      <c r="F1382" s="2">
        <v>19.373020129278302</v>
      </c>
      <c r="G1382" s="2">
        <v>0.82666785299079493</v>
      </c>
      <c r="H1382" s="2">
        <v>16605</v>
      </c>
      <c r="I1382" s="2">
        <v>1200</v>
      </c>
      <c r="J1382" s="2">
        <f>(IF(A1382='Hybrid Calculator'!$B$6,0,1))^2+((B1382-'Hybrid Calculator'!$B$7)/1500)^2+((C1382-'Hybrid Calculator'!$B$8)/1300)^2+((D1382-'Hybrid Calculator'!$B$9)/800)^2+((E1382-'Hybrid Calculator'!$B$10)/350)^2+((F1382-'Hybrid Calculator'!$B$11)/30)^2+(G1382-'Hybrid Calculator'!$B$12)^2+((H1382-'Hybrid Calculator'!$E$14)/IF(A1382="Lightning",100,30000))^2+((I1382-'Hybrid Calculator'!$E$17)/IF(A1382="Lightning",100,30000))^2</f>
        <v>1.413875055992128</v>
      </c>
      <c r="K1382" s="2">
        <f t="shared" si="84"/>
        <v>1019</v>
      </c>
      <c r="L1382" s="2">
        <f t="shared" si="85"/>
        <v>0</v>
      </c>
      <c r="M1382" s="2">
        <f t="shared" si="86"/>
        <v>0</v>
      </c>
      <c r="N1382" s="2">
        <v>-0.69768973110149091</v>
      </c>
      <c r="O1382" s="2">
        <f t="shared" si="87"/>
        <v>0</v>
      </c>
      <c r="P1382" s="2">
        <v>-40.725348329275221</v>
      </c>
      <c r="Q1382" s="2">
        <v>2.2822060370331201</v>
      </c>
    </row>
    <row r="1383" spans="1:17" ht="15">
      <c r="A1383" s="2" t="s">
        <v>81</v>
      </c>
      <c r="B1383" s="2">
        <v>1071.5756766148843</v>
      </c>
      <c r="C1383" s="2">
        <v>766.95287351030856</v>
      </c>
      <c r="D1383" s="2">
        <v>525.52241766825318</v>
      </c>
      <c r="E1383" s="2">
        <v>296.6852739173919</v>
      </c>
      <c r="F1383" s="2">
        <v>18.083421916235238</v>
      </c>
      <c r="G1383" s="2">
        <v>0.80609559910837569</v>
      </c>
      <c r="H1383" s="2">
        <v>13455</v>
      </c>
      <c r="I1383" s="2">
        <v>1200</v>
      </c>
      <c r="J1383" s="2">
        <f>(IF(A1383='Hybrid Calculator'!$B$6,0,1))^2+((B1383-'Hybrid Calculator'!$B$7)/1500)^2+((C1383-'Hybrid Calculator'!$B$8)/1300)^2+((D1383-'Hybrid Calculator'!$B$9)/800)^2+((E1383-'Hybrid Calculator'!$B$10)/350)^2+((F1383-'Hybrid Calculator'!$B$11)/30)^2+(G1383-'Hybrid Calculator'!$B$12)^2+((H1383-'Hybrid Calculator'!$E$14)/IF(A1383="Lightning",100,30000))^2+((I1383-'Hybrid Calculator'!$E$17)/IF(A1383="Lightning",100,30000))^2</f>
        <v>1.4378394386701638</v>
      </c>
      <c r="K1383" s="2">
        <f t="shared" si="84"/>
        <v>1078</v>
      </c>
      <c r="L1383" s="2">
        <f t="shared" si="85"/>
        <v>0</v>
      </c>
      <c r="M1383" s="2">
        <f t="shared" si="86"/>
        <v>0</v>
      </c>
      <c r="N1383" s="2">
        <v>-0.84234217908093001</v>
      </c>
      <c r="O1383" s="2">
        <f t="shared" si="87"/>
        <v>0</v>
      </c>
      <c r="P1383" s="2">
        <v>-38.794917963035459</v>
      </c>
      <c r="Q1383" s="2">
        <v>3.7917417345606736</v>
      </c>
    </row>
    <row r="1384" spans="1:17" ht="15">
      <c r="A1384" s="2" t="s">
        <v>81</v>
      </c>
      <c r="B1384" s="2">
        <v>1098.1575680663809</v>
      </c>
      <c r="C1384" s="2">
        <v>649.38218403840438</v>
      </c>
      <c r="D1384" s="2">
        <v>555.12658916413784</v>
      </c>
      <c r="E1384" s="2">
        <v>98.909766047727317</v>
      </c>
      <c r="F1384" s="2">
        <v>15.686587614007294</v>
      </c>
      <c r="G1384" s="2">
        <v>0.80413268466247245</v>
      </c>
      <c r="H1384" s="2">
        <v>16405</v>
      </c>
      <c r="I1384" s="2">
        <v>1200</v>
      </c>
      <c r="J1384" s="2">
        <f>(IF(A1384='Hybrid Calculator'!$B$6,0,1))^2+((B1384-'Hybrid Calculator'!$B$7)/1500)^2+((C1384-'Hybrid Calculator'!$B$8)/1300)^2+((D1384-'Hybrid Calculator'!$B$9)/800)^2+((E1384-'Hybrid Calculator'!$B$10)/350)^2+((F1384-'Hybrid Calculator'!$B$11)/30)^2+(G1384-'Hybrid Calculator'!$B$12)^2+((H1384-'Hybrid Calculator'!$E$14)/IF(A1384="Lightning",100,30000))^2+((I1384-'Hybrid Calculator'!$E$17)/IF(A1384="Lightning",100,30000))^2</f>
        <v>1.4051367627005498</v>
      </c>
      <c r="K1384" s="2">
        <f t="shared" si="84"/>
        <v>993</v>
      </c>
      <c r="L1384" s="2">
        <f t="shared" si="85"/>
        <v>0</v>
      </c>
      <c r="M1384" s="2">
        <f t="shared" si="86"/>
        <v>0</v>
      </c>
      <c r="N1384" s="2">
        <v>-1.7544243014231711</v>
      </c>
      <c r="O1384" s="2">
        <f t="shared" si="87"/>
        <v>0</v>
      </c>
      <c r="P1384" s="2">
        <v>-0.63358447209884616</v>
      </c>
      <c r="Q1384" s="2">
        <v>14.960714791964165</v>
      </c>
    </row>
    <row r="1385" spans="1:17" ht="15">
      <c r="A1385" s="2" t="s">
        <v>81</v>
      </c>
      <c r="B1385" s="2">
        <v>1014.0214176266454</v>
      </c>
      <c r="C1385" s="2">
        <v>754.20248084701598</v>
      </c>
      <c r="D1385" s="2">
        <v>404.07757638022304</v>
      </c>
      <c r="E1385" s="2">
        <v>312.65717492904514</v>
      </c>
      <c r="F1385" s="2">
        <v>29.394187062513083</v>
      </c>
      <c r="G1385" s="2">
        <v>0.81040730679407724</v>
      </c>
      <c r="H1385" s="2">
        <v>14540</v>
      </c>
      <c r="I1385" s="2">
        <v>1200</v>
      </c>
      <c r="J1385" s="2">
        <f>(IF(A1385='Hybrid Calculator'!$B$6,0,1))^2+((B1385-'Hybrid Calculator'!$B$7)/1500)^2+((C1385-'Hybrid Calculator'!$B$8)/1300)^2+((D1385-'Hybrid Calculator'!$B$9)/800)^2+((E1385-'Hybrid Calculator'!$B$10)/350)^2+((F1385-'Hybrid Calculator'!$B$11)/30)^2+(G1385-'Hybrid Calculator'!$B$12)^2+((H1385-'Hybrid Calculator'!$E$14)/IF(A1385="Lightning",100,30000))^2+((I1385-'Hybrid Calculator'!$E$17)/IF(A1385="Lightning",100,30000))^2</f>
        <v>1.6776390018737262</v>
      </c>
      <c r="K1385" s="2">
        <f t="shared" si="84"/>
        <v>1390</v>
      </c>
      <c r="L1385" s="2">
        <f t="shared" si="85"/>
        <v>0</v>
      </c>
      <c r="M1385" s="2">
        <f t="shared" si="86"/>
        <v>0</v>
      </c>
      <c r="N1385" s="2">
        <v>-4.406785742677755</v>
      </c>
      <c r="O1385" s="2">
        <f t="shared" si="87"/>
        <v>0</v>
      </c>
      <c r="P1385" s="2">
        <v>-38.595928046864628</v>
      </c>
      <c r="Q1385" s="2">
        <v>-3.8772601722715763</v>
      </c>
    </row>
    <row r="1386" spans="1:17" ht="15">
      <c r="A1386" s="2" t="s">
        <v>81</v>
      </c>
      <c r="B1386" s="2">
        <v>1020.9116343874484</v>
      </c>
      <c r="C1386" s="2">
        <v>1135.768841940444</v>
      </c>
      <c r="D1386" s="2">
        <v>433.12313836067915</v>
      </c>
      <c r="E1386" s="2">
        <v>227.69187412457541</v>
      </c>
      <c r="F1386" s="2">
        <v>19.069889783859253</v>
      </c>
      <c r="G1386" s="2">
        <v>0.83290991639951251</v>
      </c>
      <c r="H1386" s="2">
        <v>11905</v>
      </c>
      <c r="I1386" s="2">
        <v>1195</v>
      </c>
      <c r="J1386" s="2">
        <f>(IF(A1386='Hybrid Calculator'!$B$6,0,1))^2+((B1386-'Hybrid Calculator'!$B$7)/1500)^2+((C1386-'Hybrid Calculator'!$B$8)/1300)^2+((D1386-'Hybrid Calculator'!$B$9)/800)^2+((E1386-'Hybrid Calculator'!$B$10)/350)^2+((F1386-'Hybrid Calculator'!$B$11)/30)^2+(G1386-'Hybrid Calculator'!$B$12)^2+((H1386-'Hybrid Calculator'!$E$14)/IF(A1386="Lightning",100,30000))^2+((I1386-'Hybrid Calculator'!$E$17)/IF(A1386="Lightning",100,30000))^2</f>
        <v>1.3353611916694066</v>
      </c>
      <c r="K1386" s="2">
        <f t="shared" si="84"/>
        <v>787</v>
      </c>
      <c r="L1386" s="2">
        <f t="shared" si="85"/>
        <v>0</v>
      </c>
      <c r="M1386" s="2">
        <f t="shared" si="86"/>
        <v>0</v>
      </c>
      <c r="N1386" s="2">
        <v>-1.576271304190044</v>
      </c>
      <c r="O1386" s="2">
        <f t="shared" si="87"/>
        <v>0</v>
      </c>
      <c r="P1386" s="2">
        <v>-4.331941680500222</v>
      </c>
      <c r="Q1386" s="2">
        <v>-7.799924145707223</v>
      </c>
    </row>
    <row r="1387" spans="1:17" ht="15">
      <c r="A1387" s="2" t="s">
        <v>81</v>
      </c>
      <c r="B1387" s="2">
        <v>1017.1014220570214</v>
      </c>
      <c r="C1387" s="2">
        <v>946.49185778107494</v>
      </c>
      <c r="D1387" s="2">
        <v>450.31829299405217</v>
      </c>
      <c r="E1387" s="2">
        <v>80.670696143060923</v>
      </c>
      <c r="F1387" s="2">
        <v>25.557277909014374</v>
      </c>
      <c r="G1387" s="2">
        <v>0.8511068103974686</v>
      </c>
      <c r="H1387" s="2">
        <v>16885</v>
      </c>
      <c r="I1387" s="2">
        <v>1200</v>
      </c>
      <c r="J1387" s="2">
        <f>(IF(A1387='Hybrid Calculator'!$B$6,0,1))^2+((B1387-'Hybrid Calculator'!$B$7)/1500)^2+((C1387-'Hybrid Calculator'!$B$8)/1300)^2+((D1387-'Hybrid Calculator'!$B$9)/800)^2+((E1387-'Hybrid Calculator'!$B$10)/350)^2+((F1387-'Hybrid Calculator'!$B$11)/30)^2+(G1387-'Hybrid Calculator'!$B$12)^2+((H1387-'Hybrid Calculator'!$E$14)/IF(A1387="Lightning",100,30000))^2+((I1387-'Hybrid Calculator'!$E$17)/IF(A1387="Lightning",100,30000))^2</f>
        <v>1.4952991053458387</v>
      </c>
      <c r="K1387" s="2">
        <f t="shared" si="84"/>
        <v>1199</v>
      </c>
      <c r="L1387" s="2">
        <f t="shared" si="85"/>
        <v>0</v>
      </c>
      <c r="M1387" s="2">
        <f t="shared" si="86"/>
        <v>0</v>
      </c>
      <c r="N1387" s="2">
        <v>-0.71278173017316249</v>
      </c>
      <c r="O1387" s="2">
        <f t="shared" si="87"/>
        <v>0</v>
      </c>
      <c r="P1387" s="2">
        <v>23.78395986162468</v>
      </c>
      <c r="Q1387" s="2">
        <v>-7.3813050270197209</v>
      </c>
    </row>
    <row r="1388" spans="1:17" ht="15">
      <c r="A1388" s="2" t="s">
        <v>81</v>
      </c>
      <c r="B1388" s="2">
        <v>1039.2922620754689</v>
      </c>
      <c r="C1388" s="2">
        <v>981.07925177318975</v>
      </c>
      <c r="D1388" s="2">
        <v>716.15504678338766</v>
      </c>
      <c r="E1388" s="2">
        <v>282.29644217761233</v>
      </c>
      <c r="F1388" s="2">
        <v>11.910076137632132</v>
      </c>
      <c r="G1388" s="2">
        <v>0.82397064212942506</v>
      </c>
      <c r="H1388" s="2">
        <v>10805</v>
      </c>
      <c r="I1388" s="2">
        <v>1195</v>
      </c>
      <c r="J1388" s="2">
        <f>(IF(A1388='Hybrid Calculator'!$B$6,0,1))^2+((B1388-'Hybrid Calculator'!$B$7)/1500)^2+((C1388-'Hybrid Calculator'!$B$8)/1300)^2+((D1388-'Hybrid Calculator'!$B$9)/800)^2+((E1388-'Hybrid Calculator'!$B$10)/350)^2+((F1388-'Hybrid Calculator'!$B$11)/30)^2+(G1388-'Hybrid Calculator'!$B$12)^2+((H1388-'Hybrid Calculator'!$E$14)/IF(A1388="Lightning",100,30000))^2+((I1388-'Hybrid Calculator'!$E$17)/IF(A1388="Lightning",100,30000))^2</f>
        <v>1.470479286801998</v>
      </c>
      <c r="K1388" s="2">
        <f t="shared" si="84"/>
        <v>1160</v>
      </c>
      <c r="L1388" s="2">
        <f t="shared" si="85"/>
        <v>0</v>
      </c>
      <c r="M1388" s="2">
        <f t="shared" si="86"/>
        <v>0</v>
      </c>
      <c r="N1388" s="2">
        <v>4.5055204286531989</v>
      </c>
      <c r="O1388" s="2">
        <f t="shared" si="87"/>
        <v>0</v>
      </c>
      <c r="P1388" s="2">
        <v>5.6532192651106925</v>
      </c>
      <c r="Q1388" s="2">
        <v>-7.988924178827574</v>
      </c>
    </row>
    <row r="1389" spans="1:17" ht="15">
      <c r="A1389" s="2" t="s">
        <v>81</v>
      </c>
      <c r="B1389" s="2">
        <v>1007.1654137340374</v>
      </c>
      <c r="C1389" s="2">
        <v>798.05865983944386</v>
      </c>
      <c r="D1389" s="2">
        <v>500.28518931940198</v>
      </c>
      <c r="E1389" s="2">
        <v>298.23691669851542</v>
      </c>
      <c r="F1389" s="2">
        <v>17.92504388326779</v>
      </c>
      <c r="G1389" s="2">
        <v>0.81183774638455364</v>
      </c>
      <c r="H1389" s="2">
        <v>13395</v>
      </c>
      <c r="I1389" s="2">
        <v>1200</v>
      </c>
      <c r="J1389" s="2">
        <f>(IF(A1389='Hybrid Calculator'!$B$6,0,1))^2+((B1389-'Hybrid Calculator'!$B$7)/1500)^2+((C1389-'Hybrid Calculator'!$B$8)/1300)^2+((D1389-'Hybrid Calculator'!$B$9)/800)^2+((E1389-'Hybrid Calculator'!$B$10)/350)^2+((F1389-'Hybrid Calculator'!$B$11)/30)^2+(G1389-'Hybrid Calculator'!$B$12)^2+((H1389-'Hybrid Calculator'!$E$14)/IF(A1389="Lightning",100,30000))^2+((I1389-'Hybrid Calculator'!$E$17)/IF(A1389="Lightning",100,30000))^2</f>
        <v>1.4584159213787053</v>
      </c>
      <c r="K1389" s="2">
        <f t="shared" si="84"/>
        <v>1128</v>
      </c>
      <c r="L1389" s="2">
        <f t="shared" si="85"/>
        <v>0</v>
      </c>
      <c r="M1389" s="2">
        <f t="shared" si="86"/>
        <v>0</v>
      </c>
      <c r="N1389" s="2">
        <v>-0.10330342506645707</v>
      </c>
      <c r="O1389" s="2">
        <f t="shared" si="87"/>
        <v>0</v>
      </c>
      <c r="P1389" s="2">
        <v>-34.981362029958291</v>
      </c>
      <c r="Q1389" s="2">
        <v>7.9343059061970962</v>
      </c>
    </row>
    <row r="1390" spans="1:17" ht="15">
      <c r="A1390" s="2" t="s">
        <v>81</v>
      </c>
      <c r="B1390" s="2">
        <v>1028.8785957032815</v>
      </c>
      <c r="C1390" s="2">
        <v>1163.0005355109461</v>
      </c>
      <c r="D1390" s="2">
        <v>485.27110144495964</v>
      </c>
      <c r="E1390" s="2">
        <v>220.34991286462173</v>
      </c>
      <c r="F1390" s="2">
        <v>29.800062037073076</v>
      </c>
      <c r="G1390" s="2">
        <v>0.85190467329462993</v>
      </c>
      <c r="H1390" s="2">
        <v>11445</v>
      </c>
      <c r="I1390" s="2">
        <v>1195</v>
      </c>
      <c r="J1390" s="2">
        <f>(IF(A1390='Hybrid Calculator'!$B$6,0,1))^2+((B1390-'Hybrid Calculator'!$B$7)/1500)^2+((C1390-'Hybrid Calculator'!$B$8)/1300)^2+((D1390-'Hybrid Calculator'!$B$9)/800)^2+((E1390-'Hybrid Calculator'!$B$10)/350)^2+((F1390-'Hybrid Calculator'!$B$11)/30)^2+(G1390-'Hybrid Calculator'!$B$12)^2+((H1390-'Hybrid Calculator'!$E$14)/IF(A1390="Lightning",100,30000))^2+((I1390-'Hybrid Calculator'!$E$17)/IF(A1390="Lightning",100,30000))^2</f>
        <v>1.4571402359765</v>
      </c>
      <c r="K1390" s="2">
        <f t="shared" si="84"/>
        <v>1123</v>
      </c>
      <c r="L1390" s="2">
        <f t="shared" si="85"/>
        <v>0</v>
      </c>
      <c r="M1390" s="2">
        <f t="shared" si="86"/>
        <v>0</v>
      </c>
      <c r="N1390" s="2">
        <v>-2.8176617642165809</v>
      </c>
      <c r="O1390" s="2">
        <f t="shared" si="87"/>
        <v>0</v>
      </c>
      <c r="P1390" s="2">
        <v>11.111837262420067</v>
      </c>
      <c r="Q1390" s="2">
        <v>-19.634657762836014</v>
      </c>
    </row>
    <row r="1391" spans="1:17" ht="15">
      <c r="A1391" s="2" t="s">
        <v>81</v>
      </c>
      <c r="B1391" s="2">
        <v>993.07712855516002</v>
      </c>
      <c r="C1391" s="2">
        <v>1218.8800524920225</v>
      </c>
      <c r="D1391" s="2">
        <v>364.04213299974799</v>
      </c>
      <c r="E1391" s="2">
        <v>314.91162166465074</v>
      </c>
      <c r="F1391" s="2">
        <v>14.694014446344227</v>
      </c>
      <c r="G1391" s="2">
        <v>0.8523311707656831</v>
      </c>
      <c r="H1391" s="2">
        <v>13145</v>
      </c>
      <c r="I1391" s="2">
        <v>1200</v>
      </c>
      <c r="J1391" s="2">
        <f>(IF(A1391='Hybrid Calculator'!$B$6,0,1))^2+((B1391-'Hybrid Calculator'!$B$7)/1500)^2+((C1391-'Hybrid Calculator'!$B$8)/1300)^2+((D1391-'Hybrid Calculator'!$B$9)/800)^2+((E1391-'Hybrid Calculator'!$B$10)/350)^2+((F1391-'Hybrid Calculator'!$B$11)/30)^2+(G1391-'Hybrid Calculator'!$B$12)^2+((H1391-'Hybrid Calculator'!$E$14)/IF(A1391="Lightning",100,30000))^2+((I1391-'Hybrid Calculator'!$E$17)/IF(A1391="Lightning",100,30000))^2</f>
        <v>1.6235262422646601</v>
      </c>
      <c r="K1391" s="2">
        <f t="shared" si="84"/>
        <v>1365</v>
      </c>
      <c r="L1391" s="2">
        <f t="shared" si="85"/>
        <v>0</v>
      </c>
      <c r="M1391" s="2">
        <f t="shared" si="86"/>
        <v>0</v>
      </c>
      <c r="N1391" s="2">
        <v>3.644501649620878</v>
      </c>
      <c r="O1391" s="2">
        <f t="shared" si="87"/>
        <v>0</v>
      </c>
      <c r="P1391" s="2">
        <v>59.260216154035334</v>
      </c>
      <c r="Q1391" s="2">
        <v>4.4055022670351036</v>
      </c>
    </row>
    <row r="1392" spans="1:17" ht="15">
      <c r="A1392" s="2" t="s">
        <v>81</v>
      </c>
      <c r="B1392" s="2">
        <v>1075.5432921461761</v>
      </c>
      <c r="C1392" s="2">
        <v>746.33584202965721</v>
      </c>
      <c r="D1392" s="2">
        <v>424.3991369381547</v>
      </c>
      <c r="E1392" s="2">
        <v>153.64948192844167</v>
      </c>
      <c r="F1392" s="2">
        <v>26.737306067720056</v>
      </c>
      <c r="G1392" s="2">
        <v>0.79501412268029525</v>
      </c>
      <c r="H1392" s="2">
        <v>16150</v>
      </c>
      <c r="I1392" s="2">
        <v>1200</v>
      </c>
      <c r="J1392" s="2">
        <f>(IF(A1392='Hybrid Calculator'!$B$6,0,1))^2+((B1392-'Hybrid Calculator'!$B$7)/1500)^2+((C1392-'Hybrid Calculator'!$B$8)/1300)^2+((D1392-'Hybrid Calculator'!$B$9)/800)^2+((E1392-'Hybrid Calculator'!$B$10)/350)^2+((F1392-'Hybrid Calculator'!$B$11)/30)^2+(G1392-'Hybrid Calculator'!$B$12)^2+((H1392-'Hybrid Calculator'!$E$14)/IF(A1392="Lightning",100,30000))^2+((I1392-'Hybrid Calculator'!$E$17)/IF(A1392="Lightning",100,30000))^2</f>
        <v>1.4352353517755077</v>
      </c>
      <c r="K1392" s="2">
        <f t="shared" si="84"/>
        <v>1071</v>
      </c>
      <c r="L1392" s="2">
        <f t="shared" si="85"/>
        <v>0</v>
      </c>
      <c r="M1392" s="2">
        <f t="shared" si="86"/>
        <v>0</v>
      </c>
      <c r="N1392" s="2">
        <v>-1.6676565784312629</v>
      </c>
      <c r="O1392" s="2">
        <f t="shared" si="87"/>
        <v>0</v>
      </c>
      <c r="P1392" s="2">
        <v>-19.09524665194067</v>
      </c>
      <c r="Q1392" s="2">
        <v>0.71309694419005609</v>
      </c>
    </row>
    <row r="1393" spans="1:17" ht="15">
      <c r="A1393" s="2" t="s">
        <v>81</v>
      </c>
      <c r="B1393" s="2">
        <v>1085.2114600711502</v>
      </c>
      <c r="C1393" s="2">
        <v>777.60221802163869</v>
      </c>
      <c r="D1393" s="2">
        <v>494.85947722569108</v>
      </c>
      <c r="E1393" s="2">
        <v>277.34767661429942</v>
      </c>
      <c r="F1393" s="2">
        <v>25.638140075374395</v>
      </c>
      <c r="G1393" s="2">
        <v>0.85459872989449659</v>
      </c>
      <c r="H1393" s="2">
        <v>13800</v>
      </c>
      <c r="I1393" s="2">
        <v>1200</v>
      </c>
      <c r="J1393" s="2">
        <f>(IF(A1393='Hybrid Calculator'!$B$6,0,1))^2+((B1393-'Hybrid Calculator'!$B$7)/1500)^2+((C1393-'Hybrid Calculator'!$B$8)/1300)^2+((D1393-'Hybrid Calculator'!$B$9)/800)^2+((E1393-'Hybrid Calculator'!$B$10)/350)^2+((F1393-'Hybrid Calculator'!$B$11)/30)^2+(G1393-'Hybrid Calculator'!$B$12)^2+((H1393-'Hybrid Calculator'!$E$14)/IF(A1393="Lightning",100,30000))^2+((I1393-'Hybrid Calculator'!$E$17)/IF(A1393="Lightning",100,30000))^2</f>
        <v>1.4562588489177859</v>
      </c>
      <c r="K1393" s="2">
        <f t="shared" si="84"/>
        <v>1119</v>
      </c>
      <c r="L1393" s="2">
        <f t="shared" si="85"/>
        <v>0</v>
      </c>
      <c r="M1393" s="2">
        <f t="shared" si="86"/>
        <v>0</v>
      </c>
      <c r="N1393" s="2">
        <v>0.29067529739475617</v>
      </c>
      <c r="O1393" s="2">
        <f t="shared" si="87"/>
        <v>0</v>
      </c>
      <c r="P1393" s="2">
        <v>3.3503592525125896</v>
      </c>
      <c r="Q1393" s="2">
        <v>-4.2776250198194248</v>
      </c>
    </row>
    <row r="1394" spans="1:17" ht="15">
      <c r="A1394" s="2" t="s">
        <v>81</v>
      </c>
      <c r="B1394" s="2">
        <v>1063.130934140645</v>
      </c>
      <c r="C1394" s="2">
        <v>832.09616296226159</v>
      </c>
      <c r="D1394" s="2">
        <v>700.21473281085491</v>
      </c>
      <c r="E1394" s="2">
        <v>125.34948588116094</v>
      </c>
      <c r="F1394" s="2">
        <v>22.256293271668255</v>
      </c>
      <c r="G1394" s="2">
        <v>0.83375483319861821</v>
      </c>
      <c r="H1394" s="2">
        <v>12900</v>
      </c>
      <c r="I1394" s="2">
        <v>1200</v>
      </c>
      <c r="J1394" s="2">
        <f>(IF(A1394='Hybrid Calculator'!$B$6,0,1))^2+((B1394-'Hybrid Calculator'!$B$7)/1500)^2+((C1394-'Hybrid Calculator'!$B$8)/1300)^2+((D1394-'Hybrid Calculator'!$B$9)/800)^2+((E1394-'Hybrid Calculator'!$B$10)/350)^2+((F1394-'Hybrid Calculator'!$B$11)/30)^2+(G1394-'Hybrid Calculator'!$B$12)^2+((H1394-'Hybrid Calculator'!$E$14)/IF(A1394="Lightning",100,30000))^2+((I1394-'Hybrid Calculator'!$E$17)/IF(A1394="Lightning",100,30000))^2</f>
        <v>1.3268541529378624</v>
      </c>
      <c r="K1394" s="2">
        <f t="shared" si="84"/>
        <v>771</v>
      </c>
      <c r="L1394" s="2">
        <f t="shared" si="85"/>
        <v>0</v>
      </c>
      <c r="M1394" s="2">
        <f t="shared" si="86"/>
        <v>0</v>
      </c>
      <c r="N1394" s="2">
        <v>-1.7582310575968449</v>
      </c>
      <c r="O1394" s="2">
        <f t="shared" si="87"/>
        <v>0</v>
      </c>
      <c r="P1394" s="2">
        <v>-51.125830945799862</v>
      </c>
      <c r="Q1394" s="2">
        <v>-4.0709748935739754</v>
      </c>
    </row>
    <row r="1395" spans="1:17" ht="15">
      <c r="A1395" s="2" t="s">
        <v>81</v>
      </c>
      <c r="B1395" s="2">
        <v>1018.8741690828465</v>
      </c>
      <c r="C1395" s="2">
        <v>867.37889093346894</v>
      </c>
      <c r="D1395" s="2">
        <v>412.6924398355186</v>
      </c>
      <c r="E1395" s="2">
        <v>97.402753583155572</v>
      </c>
      <c r="F1395" s="2">
        <v>19.213399581145495</v>
      </c>
      <c r="G1395" s="2">
        <v>0.83178141420707108</v>
      </c>
      <c r="H1395" s="2">
        <v>15525</v>
      </c>
      <c r="I1395" s="2">
        <v>1200</v>
      </c>
      <c r="J1395" s="2">
        <f>(IF(A1395='Hybrid Calculator'!$B$6,0,1))^2+((B1395-'Hybrid Calculator'!$B$7)/1500)^2+((C1395-'Hybrid Calculator'!$B$8)/1300)^2+((D1395-'Hybrid Calculator'!$B$9)/800)^2+((E1395-'Hybrid Calculator'!$B$10)/350)^2+((F1395-'Hybrid Calculator'!$B$11)/30)^2+(G1395-'Hybrid Calculator'!$B$12)^2+((H1395-'Hybrid Calculator'!$E$14)/IF(A1395="Lightning",100,30000))^2+((I1395-'Hybrid Calculator'!$E$17)/IF(A1395="Lightning",100,30000))^2</f>
        <v>1.3763006804865685</v>
      </c>
      <c r="K1395" s="2">
        <f t="shared" si="84"/>
        <v>908</v>
      </c>
      <c r="L1395" s="2">
        <f t="shared" si="85"/>
        <v>0</v>
      </c>
      <c r="M1395" s="2">
        <f t="shared" si="86"/>
        <v>0</v>
      </c>
      <c r="N1395" s="2">
        <v>-1.2591240415547702</v>
      </c>
      <c r="O1395" s="2">
        <f t="shared" si="87"/>
        <v>0</v>
      </c>
      <c r="P1395" s="2">
        <v>24.22826190913338</v>
      </c>
      <c r="Q1395" s="2">
        <v>8.7090482311859887</v>
      </c>
    </row>
    <row r="1396" spans="1:17" ht="15">
      <c r="A1396" s="2" t="s">
        <v>81</v>
      </c>
      <c r="B1396" s="2">
        <v>1094.3047570530325</v>
      </c>
      <c r="C1396" s="2">
        <v>648.29021113691851</v>
      </c>
      <c r="D1396" s="2">
        <v>422.08422254770994</v>
      </c>
      <c r="E1396" s="2">
        <v>133.10213501797989</v>
      </c>
      <c r="F1396" s="2">
        <v>20.347086064517498</v>
      </c>
      <c r="G1396" s="2">
        <v>0.83017057033488528</v>
      </c>
      <c r="H1396" s="2">
        <v>17770</v>
      </c>
      <c r="I1396" s="2">
        <v>1200</v>
      </c>
      <c r="J1396" s="2">
        <f>(IF(A1396='Hybrid Calculator'!$B$6,0,1))^2+((B1396-'Hybrid Calculator'!$B$7)/1500)^2+((C1396-'Hybrid Calculator'!$B$8)/1300)^2+((D1396-'Hybrid Calculator'!$B$9)/800)^2+((E1396-'Hybrid Calculator'!$B$10)/350)^2+((F1396-'Hybrid Calculator'!$B$11)/30)^2+(G1396-'Hybrid Calculator'!$B$12)^2+((H1396-'Hybrid Calculator'!$E$14)/IF(A1396="Lightning",100,30000))^2+((I1396-'Hybrid Calculator'!$E$17)/IF(A1396="Lightning",100,30000))^2</f>
        <v>1.4388112454539133</v>
      </c>
      <c r="K1396" s="2">
        <f t="shared" si="84"/>
        <v>1083</v>
      </c>
      <c r="L1396" s="2">
        <f t="shared" si="85"/>
        <v>0</v>
      </c>
      <c r="M1396" s="2">
        <f t="shared" si="86"/>
        <v>0</v>
      </c>
      <c r="N1396" s="2">
        <v>-3.1665728506592359</v>
      </c>
      <c r="O1396" s="2">
        <f t="shared" si="87"/>
        <v>0</v>
      </c>
      <c r="P1396" s="2">
        <v>-51.866378989335772</v>
      </c>
      <c r="Q1396" s="2">
        <v>13.013484746599033</v>
      </c>
    </row>
    <row r="1397" spans="1:17" ht="15">
      <c r="A1397" s="2" t="s">
        <v>81</v>
      </c>
      <c r="B1397" s="2">
        <v>1024.3320278008468</v>
      </c>
      <c r="C1397" s="2">
        <v>833.93673559185117</v>
      </c>
      <c r="D1397" s="2">
        <v>441.23397441580892</v>
      </c>
      <c r="E1397" s="2">
        <v>158.55728967115283</v>
      </c>
      <c r="F1397" s="2">
        <v>19.581404461059719</v>
      </c>
      <c r="G1397" s="2">
        <v>0.85508103901054711</v>
      </c>
      <c r="H1397" s="2">
        <v>17400</v>
      </c>
      <c r="I1397" s="2">
        <v>1200</v>
      </c>
      <c r="J1397" s="2">
        <f>(IF(A1397='Hybrid Calculator'!$B$6,0,1))^2+((B1397-'Hybrid Calculator'!$B$7)/1500)^2+((C1397-'Hybrid Calculator'!$B$8)/1300)^2+((D1397-'Hybrid Calculator'!$B$9)/800)^2+((E1397-'Hybrid Calculator'!$B$10)/350)^2+((F1397-'Hybrid Calculator'!$B$11)/30)^2+(G1397-'Hybrid Calculator'!$B$12)^2+((H1397-'Hybrid Calculator'!$E$14)/IF(A1397="Lightning",100,30000))^2+((I1397-'Hybrid Calculator'!$E$17)/IF(A1397="Lightning",100,30000))^2</f>
        <v>1.4160287967444647</v>
      </c>
      <c r="K1397" s="2">
        <f t="shared" si="84"/>
        <v>1028</v>
      </c>
      <c r="L1397" s="2">
        <f t="shared" si="85"/>
        <v>0</v>
      </c>
      <c r="M1397" s="2">
        <f t="shared" si="86"/>
        <v>0</v>
      </c>
      <c r="N1397" s="2">
        <v>-0.38420239211339435</v>
      </c>
      <c r="O1397" s="2">
        <f t="shared" si="87"/>
        <v>0</v>
      </c>
      <c r="P1397" s="2">
        <v>9.4019049124981393</v>
      </c>
      <c r="Q1397" s="2">
        <v>-0.9491152944225405</v>
      </c>
    </row>
    <row r="1398" spans="1:17" ht="15">
      <c r="A1398" s="2" t="s">
        <v>81</v>
      </c>
      <c r="B1398" s="2">
        <v>1066.5021351771429</v>
      </c>
      <c r="C1398" s="2">
        <v>608.51902888389304</v>
      </c>
      <c r="D1398" s="2">
        <v>682.30593502521515</v>
      </c>
      <c r="E1398" s="2">
        <v>99.328147114720196</v>
      </c>
      <c r="F1398" s="2">
        <v>29.392194810323417</v>
      </c>
      <c r="G1398" s="2">
        <v>0.82900956496363509</v>
      </c>
      <c r="H1398" s="2">
        <v>15385</v>
      </c>
      <c r="I1398" s="2">
        <v>1200</v>
      </c>
      <c r="J1398" s="2">
        <f>(IF(A1398='Hybrid Calculator'!$B$6,0,1))^2+((B1398-'Hybrid Calculator'!$B$7)/1500)^2+((C1398-'Hybrid Calculator'!$B$8)/1300)^2+((D1398-'Hybrid Calculator'!$B$9)/800)^2+((E1398-'Hybrid Calculator'!$B$10)/350)^2+((F1398-'Hybrid Calculator'!$B$11)/30)^2+(G1398-'Hybrid Calculator'!$B$12)^2+((H1398-'Hybrid Calculator'!$E$14)/IF(A1398="Lightning",100,30000))^2+((I1398-'Hybrid Calculator'!$E$17)/IF(A1398="Lightning",100,30000))^2</f>
        <v>1.559244465562645</v>
      </c>
      <c r="K1398" s="2">
        <f t="shared" si="84"/>
        <v>1316</v>
      </c>
      <c r="L1398" s="2">
        <f t="shared" si="85"/>
        <v>0</v>
      </c>
      <c r="M1398" s="2">
        <f t="shared" si="86"/>
        <v>0</v>
      </c>
      <c r="N1398" s="2">
        <v>-0.21062433290919103</v>
      </c>
      <c r="O1398" s="2">
        <f t="shared" si="87"/>
        <v>0</v>
      </c>
      <c r="P1398" s="2">
        <v>-29.428825475727081</v>
      </c>
      <c r="Q1398" s="2">
        <v>-3.5408968849101257</v>
      </c>
    </row>
    <row r="1399" spans="1:17" ht="15">
      <c r="A1399" s="2" t="s">
        <v>81</v>
      </c>
      <c r="B1399" s="2">
        <v>1062.9371446440928</v>
      </c>
      <c r="C1399" s="2">
        <v>1189.7619192488492</v>
      </c>
      <c r="D1399" s="2">
        <v>388.20422952994704</v>
      </c>
      <c r="E1399" s="2">
        <v>323.49095264915377</v>
      </c>
      <c r="F1399" s="2">
        <v>15.653828678186983</v>
      </c>
      <c r="G1399" s="2">
        <v>0.83573562824167313</v>
      </c>
      <c r="H1399" s="2">
        <v>11245</v>
      </c>
      <c r="I1399" s="2">
        <v>1195</v>
      </c>
      <c r="J1399" s="2">
        <f>(IF(A1399='Hybrid Calculator'!$B$6,0,1))^2+((B1399-'Hybrid Calculator'!$B$7)/1500)^2+((C1399-'Hybrid Calculator'!$B$8)/1300)^2+((D1399-'Hybrid Calculator'!$B$9)/800)^2+((E1399-'Hybrid Calculator'!$B$10)/350)^2+((F1399-'Hybrid Calculator'!$B$11)/30)^2+(G1399-'Hybrid Calculator'!$B$12)^2+((H1399-'Hybrid Calculator'!$E$14)/IF(A1399="Lightning",100,30000))^2+((I1399-'Hybrid Calculator'!$E$17)/IF(A1399="Lightning",100,30000))^2</f>
        <v>1.5418269592479459</v>
      </c>
      <c r="K1399" s="2">
        <f t="shared" si="84"/>
        <v>1285</v>
      </c>
      <c r="L1399" s="2">
        <f t="shared" si="85"/>
        <v>0</v>
      </c>
      <c r="M1399" s="2">
        <f t="shared" si="86"/>
        <v>0</v>
      </c>
      <c r="N1399" s="2">
        <v>2.1431607443468863</v>
      </c>
      <c r="O1399" s="2">
        <f t="shared" si="87"/>
        <v>0</v>
      </c>
      <c r="P1399" s="2">
        <v>-14.217938068782132</v>
      </c>
      <c r="Q1399" s="2">
        <v>0.27030405473578867</v>
      </c>
    </row>
    <row r="1400" spans="1:17" ht="15">
      <c r="A1400" s="2" t="s">
        <v>81</v>
      </c>
      <c r="B1400" s="2">
        <v>1017.9515609517694</v>
      </c>
      <c r="C1400" s="2">
        <v>848.74823916470632</v>
      </c>
      <c r="D1400" s="2">
        <v>606.14757854491472</v>
      </c>
      <c r="E1400" s="2">
        <v>169.12791457260028</v>
      </c>
      <c r="F1400" s="2">
        <v>25.689843660220504</v>
      </c>
      <c r="G1400" s="2">
        <v>0.84794734888942913</v>
      </c>
      <c r="H1400" s="2">
        <v>13170</v>
      </c>
      <c r="I1400" s="2">
        <v>1200</v>
      </c>
      <c r="J1400" s="2">
        <f>(IF(A1400='Hybrid Calculator'!$B$6,0,1))^2+((B1400-'Hybrid Calculator'!$B$7)/1500)^2+((C1400-'Hybrid Calculator'!$B$8)/1300)^2+((D1400-'Hybrid Calculator'!$B$9)/800)^2+((E1400-'Hybrid Calculator'!$B$10)/350)^2+((F1400-'Hybrid Calculator'!$B$11)/30)^2+(G1400-'Hybrid Calculator'!$B$12)^2+((H1400-'Hybrid Calculator'!$E$14)/IF(A1400="Lightning",100,30000))^2+((I1400-'Hybrid Calculator'!$E$17)/IF(A1400="Lightning",100,30000))^2</f>
        <v>1.3452452912527018</v>
      </c>
      <c r="K1400" s="2">
        <f t="shared" si="84"/>
        <v>817</v>
      </c>
      <c r="L1400" s="2">
        <f t="shared" si="85"/>
        <v>0</v>
      </c>
      <c r="M1400" s="2">
        <f t="shared" si="86"/>
        <v>0</v>
      </c>
      <c r="N1400" s="2">
        <v>-3.5953367614861236</v>
      </c>
      <c r="O1400" s="2">
        <f t="shared" si="87"/>
        <v>0</v>
      </c>
      <c r="P1400" s="2">
        <v>-48.192319979223612</v>
      </c>
      <c r="Q1400" s="2">
        <v>-11.894775487509719</v>
      </c>
    </row>
    <row r="1401" spans="1:17" ht="15">
      <c r="A1401" s="2" t="s">
        <v>81</v>
      </c>
      <c r="B1401" s="2">
        <v>1027.8348766849376</v>
      </c>
      <c r="C1401" s="2">
        <v>1178.60483082477</v>
      </c>
      <c r="D1401" s="2">
        <v>725.06017396226525</v>
      </c>
      <c r="E1401" s="2">
        <v>286.5573304425925</v>
      </c>
      <c r="F1401" s="2">
        <v>21.153531555552036</v>
      </c>
      <c r="G1401" s="2">
        <v>0.81961000208277257</v>
      </c>
      <c r="H1401" s="2">
        <v>9765</v>
      </c>
      <c r="I1401" s="2">
        <v>1195</v>
      </c>
      <c r="J1401" s="2">
        <f>(IF(A1401='Hybrid Calculator'!$B$6,0,1))^2+((B1401-'Hybrid Calculator'!$B$7)/1500)^2+((C1401-'Hybrid Calculator'!$B$8)/1300)^2+((D1401-'Hybrid Calculator'!$B$9)/800)^2+((E1401-'Hybrid Calculator'!$B$10)/350)^2+((F1401-'Hybrid Calculator'!$B$11)/30)^2+(G1401-'Hybrid Calculator'!$B$12)^2+((H1401-'Hybrid Calculator'!$E$14)/IF(A1401="Lightning",100,30000))^2+((I1401-'Hybrid Calculator'!$E$17)/IF(A1401="Lightning",100,30000))^2</f>
        <v>1.4795853276156701</v>
      </c>
      <c r="K1401" s="2">
        <f t="shared" si="84"/>
        <v>1177</v>
      </c>
      <c r="L1401" s="2">
        <f t="shared" si="85"/>
        <v>0</v>
      </c>
      <c r="M1401" s="2">
        <f t="shared" si="86"/>
        <v>0</v>
      </c>
      <c r="N1401" s="2">
        <v>1.2140723358005232</v>
      </c>
      <c r="O1401" s="2">
        <f t="shared" si="87"/>
        <v>0</v>
      </c>
      <c r="P1401" s="2">
        <v>-9.5448479607557601</v>
      </c>
      <c r="Q1401" s="2">
        <v>-8.5866122327406629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>
      <selection sqref="A1:F1"/>
    </sheetView>
  </sheetViews>
  <sheetFormatPr baseColWidth="10" defaultColWidth="8.83203125" defaultRowHeight="14"/>
  <cols>
    <col min="1" max="6" width="25" customWidth="1"/>
  </cols>
  <sheetData>
    <row r="1" spans="1:6" ht="15">
      <c r="A1" s="16" t="s">
        <v>99</v>
      </c>
      <c r="B1" s="16"/>
      <c r="C1" s="16"/>
      <c r="D1" s="16"/>
      <c r="E1" s="16"/>
      <c r="F1" s="16"/>
    </row>
    <row r="2" spans="1:6" ht="15">
      <c r="A2" s="2"/>
      <c r="B2" s="2"/>
      <c r="C2" s="2"/>
      <c r="D2" s="2"/>
      <c r="E2" s="2"/>
      <c r="F2" s="2"/>
    </row>
    <row r="3" spans="1:6" ht="15">
      <c r="A3" s="9" t="s">
        <v>100</v>
      </c>
      <c r="B3" s="9" t="s">
        <v>101</v>
      </c>
      <c r="C3" s="9" t="s">
        <v>102</v>
      </c>
      <c r="D3" s="9" t="s">
        <v>103</v>
      </c>
      <c r="E3" s="9" t="s">
        <v>104</v>
      </c>
      <c r="F3" s="2"/>
    </row>
    <row r="4" spans="1:6" ht="15">
      <c r="A4" s="2" t="s">
        <v>105</v>
      </c>
      <c r="B4" s="11">
        <v>0.80292269674688466</v>
      </c>
      <c r="C4" s="11">
        <v>1.3268845868283912</v>
      </c>
      <c r="D4" s="11">
        <v>0.60877373760344189</v>
      </c>
      <c r="E4" s="11">
        <v>0.9998867803665854</v>
      </c>
      <c r="F4" s="2"/>
    </row>
    <row r="5" spans="1:6" ht="15">
      <c r="A5" s="2" t="s">
        <v>106</v>
      </c>
      <c r="B5" s="11">
        <v>12.3111195841096</v>
      </c>
      <c r="C5" s="11">
        <v>20.36728343332161</v>
      </c>
      <c r="D5" s="11">
        <v>1.0555353274270178</v>
      </c>
      <c r="E5" s="11">
        <v>0.99972397169306604</v>
      </c>
      <c r="F5" s="2"/>
    </row>
    <row r="6" spans="1:6" ht="15">
      <c r="A6" s="2" t="s">
        <v>107</v>
      </c>
      <c r="B6" s="11">
        <v>4.095831849727654</v>
      </c>
      <c r="C6" s="11">
        <v>4.9528733296199166</v>
      </c>
      <c r="D6" s="11">
        <v>0.33259657104977292</v>
      </c>
      <c r="E6" s="11">
        <v>0.99942422284383359</v>
      </c>
      <c r="F6" s="2"/>
    </row>
    <row r="7" spans="1:6" ht="15">
      <c r="A7" s="2"/>
      <c r="B7" s="2"/>
      <c r="C7" s="2"/>
      <c r="D7" s="2"/>
      <c r="E7" s="2"/>
      <c r="F7" s="2"/>
    </row>
    <row r="8" spans="1:6" ht="15">
      <c r="A8" s="9" t="s">
        <v>57</v>
      </c>
      <c r="B8" s="9" t="s">
        <v>108</v>
      </c>
      <c r="C8" s="2"/>
      <c r="D8" s="2"/>
      <c r="E8" s="2"/>
      <c r="F8" s="2"/>
    </row>
    <row r="9" spans="1:6" ht="15">
      <c r="A9" s="2" t="s">
        <v>78</v>
      </c>
      <c r="B9" s="2">
        <v>1400</v>
      </c>
      <c r="C9" s="2"/>
      <c r="D9" s="2"/>
      <c r="E9" s="2"/>
      <c r="F9" s="2"/>
    </row>
    <row r="10" spans="1:6" ht="15">
      <c r="A10" s="2" t="s">
        <v>79</v>
      </c>
      <c r="B10" s="2">
        <v>300</v>
      </c>
      <c r="C10" s="2"/>
      <c r="D10" s="2"/>
      <c r="E10" s="2"/>
      <c r="F10" s="2"/>
    </row>
    <row r="11" spans="1:6" ht="15">
      <c r="A11" s="2" t="s">
        <v>80</v>
      </c>
      <c r="B11" s="2">
        <v>300</v>
      </c>
      <c r="C11" s="2"/>
      <c r="D11" s="2"/>
      <c r="E11" s="2"/>
      <c r="F11" s="2"/>
    </row>
    <row r="12" spans="1:6" ht="15">
      <c r="A12" s="2"/>
      <c r="B12" s="2"/>
      <c r="C12" s="2"/>
      <c r="D12" s="2"/>
      <c r="E12" s="2"/>
      <c r="F12" s="2"/>
    </row>
    <row r="13" spans="1:6" ht="15">
      <c r="A13" s="9" t="s">
        <v>109</v>
      </c>
      <c r="B13" s="9" t="s">
        <v>110</v>
      </c>
      <c r="C13" s="9" t="s">
        <v>111</v>
      </c>
      <c r="D13" s="2"/>
      <c r="E13" s="2"/>
      <c r="F13" s="2"/>
    </row>
    <row r="14" spans="1:6" ht="15">
      <c r="A14" s="2" t="s">
        <v>112</v>
      </c>
      <c r="B14" s="2" t="s">
        <v>113</v>
      </c>
      <c r="C14" s="2" t="s">
        <v>114</v>
      </c>
      <c r="D14" s="2"/>
      <c r="E14" s="2"/>
      <c r="F14" s="2"/>
    </row>
    <row r="15" spans="1:6" ht="15">
      <c r="A15" s="2" t="s">
        <v>115</v>
      </c>
      <c r="B15" s="2" t="s">
        <v>116</v>
      </c>
      <c r="C15" s="2" t="s">
        <v>114</v>
      </c>
      <c r="D15" s="2"/>
      <c r="E15" s="2"/>
      <c r="F15" s="2"/>
    </row>
    <row r="16" spans="1:6" ht="15">
      <c r="A16" s="2" t="s">
        <v>117</v>
      </c>
      <c r="B16" s="2" t="s">
        <v>118</v>
      </c>
      <c r="C16" s="2" t="s">
        <v>119</v>
      </c>
      <c r="D16" s="2"/>
      <c r="E16" s="2"/>
      <c r="F16" s="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workbookViewId="0">
      <selection sqref="A1:F1"/>
    </sheetView>
  </sheetViews>
  <sheetFormatPr baseColWidth="10" defaultColWidth="8.83203125" defaultRowHeight="14"/>
  <cols>
    <col min="1" max="1" width="24" customWidth="1"/>
    <col min="2" max="2" width="90" customWidth="1"/>
  </cols>
  <sheetData>
    <row r="1" spans="1:6" ht="15">
      <c r="A1" s="16" t="s">
        <v>120</v>
      </c>
      <c r="B1" s="16"/>
      <c r="C1" s="16"/>
      <c r="D1" s="16"/>
      <c r="E1" s="16"/>
      <c r="F1" s="16"/>
    </row>
    <row r="2" spans="1:6" ht="15">
      <c r="A2" s="2"/>
      <c r="B2" s="2"/>
      <c r="C2" s="2"/>
      <c r="D2" s="2"/>
      <c r="E2" s="2"/>
      <c r="F2" s="2"/>
    </row>
    <row r="3" spans="1:6" ht="15">
      <c r="A3" s="12" t="s">
        <v>121</v>
      </c>
      <c r="B3" s="12" t="s">
        <v>122</v>
      </c>
      <c r="C3" s="2"/>
      <c r="D3" s="2"/>
      <c r="E3" s="2"/>
      <c r="F3" s="2"/>
    </row>
    <row r="4" spans="1:6" ht="15">
      <c r="A4" s="13" t="s">
        <v>123</v>
      </c>
      <c r="B4" s="13" t="s">
        <v>124</v>
      </c>
      <c r="C4" s="2"/>
      <c r="D4" s="2"/>
      <c r="E4" s="2"/>
      <c r="F4" s="2"/>
    </row>
    <row r="5" spans="1:6" ht="15">
      <c r="A5" s="13" t="s">
        <v>10</v>
      </c>
      <c r="B5" s="13" t="s">
        <v>125</v>
      </c>
      <c r="C5" s="2"/>
      <c r="D5" s="2"/>
      <c r="E5" s="2"/>
      <c r="F5" s="2"/>
    </row>
    <row r="6" spans="1:6" ht="15">
      <c r="A6" s="13" t="s">
        <v>126</v>
      </c>
      <c r="B6" s="13" t="s">
        <v>127</v>
      </c>
      <c r="C6" s="2"/>
      <c r="D6" s="2"/>
      <c r="E6" s="2"/>
      <c r="F6" s="2"/>
    </row>
    <row r="7" spans="1:6" ht="15">
      <c r="A7" s="13" t="s">
        <v>79</v>
      </c>
      <c r="B7" s="13" t="s">
        <v>128</v>
      </c>
      <c r="C7" s="2"/>
      <c r="D7" s="2"/>
      <c r="E7" s="2"/>
      <c r="F7" s="2"/>
    </row>
    <row r="8" spans="1:6" ht="15">
      <c r="A8" s="13" t="s">
        <v>129</v>
      </c>
      <c r="B8" s="13" t="s">
        <v>130</v>
      </c>
      <c r="C8" s="2"/>
      <c r="D8" s="2"/>
      <c r="E8" s="2"/>
      <c r="F8" s="2"/>
    </row>
    <row r="9" spans="1:6" ht="15">
      <c r="A9" s="13" t="s">
        <v>131</v>
      </c>
      <c r="B9" s="13" t="s">
        <v>132</v>
      </c>
      <c r="C9" s="2"/>
      <c r="D9" s="2"/>
      <c r="E9" s="2"/>
      <c r="F9" s="2"/>
    </row>
    <row r="10" spans="1:6" ht="15">
      <c r="A10" s="13" t="s">
        <v>133</v>
      </c>
      <c r="B10" s="13" t="s">
        <v>134</v>
      </c>
      <c r="C10" s="2"/>
      <c r="D10" s="2"/>
      <c r="E10" s="2"/>
      <c r="F10" s="2"/>
    </row>
    <row r="11" spans="1:6" ht="15">
      <c r="A11" s="13" t="s">
        <v>135</v>
      </c>
      <c r="B11" s="13" t="s">
        <v>136</v>
      </c>
      <c r="C11" s="2"/>
      <c r="D11" s="2"/>
      <c r="E11" s="2"/>
      <c r="F11" s="2"/>
    </row>
    <row r="12" spans="1:6" ht="15">
      <c r="A12" s="13" t="s">
        <v>137</v>
      </c>
      <c r="B12" s="13" t="s">
        <v>138</v>
      </c>
      <c r="C12" s="2"/>
      <c r="D12" s="2"/>
      <c r="E12" s="2"/>
      <c r="F12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Hybrid Calculator</vt:lpstr>
      <vt:lpstr>Resistor Inventory</vt:lpstr>
      <vt:lpstr>Synthetic Dataset</vt:lpstr>
      <vt:lpstr>ML Helper</vt:lpstr>
      <vt:lpstr>Model Validation</vt:lpstr>
      <vt:lpstr>Model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Faizaan Naiman Naveed Nasir - 245805041 - MITBLR</cp:lastModifiedBy>
  <dcterms:created xsi:type="dcterms:W3CDTF">2026-10-10T10:01:02Z</dcterms:created>
  <dcterms:modified xsi:type="dcterms:W3CDTF">2026-10-10T10:01:02Z</dcterms:modified>
</cp:coreProperties>
</file>